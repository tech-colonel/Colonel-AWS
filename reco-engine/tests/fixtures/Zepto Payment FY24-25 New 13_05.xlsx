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Zepto Payment track" r:id="rId1" sheetId="1"/>
    <sheet name="Pivot" r:id="rId2" sheetId="2"/>
    <sheet name="CN" r:id="rId4" sheetId="3"/>
  </sheets>
  <pivotCaches>
    <pivotCache cacheId="1" r:id="rId3"/>
  </pivotCaches>
</workbook>
</file>

<file path=xl/sharedStrings.xml><?xml version="1.0" encoding="utf-8"?>
<sst xmlns="http://schemas.openxmlformats.org/spreadsheetml/2006/main" count="4421" uniqueCount="4421">
  <si>
    <t xml:space="preserve">PO Number </t>
  </si>
  <si>
    <t xml:space="preserve">Invoice Number </t>
  </si>
  <si>
    <t>Cities</t>
  </si>
  <si>
    <t>QTY</t>
  </si>
  <si>
    <t>Delivery Date</t>
  </si>
  <si>
    <t>Courier</t>
  </si>
  <si>
    <t>LRN</t>
  </si>
  <si>
    <t>GRN</t>
  </si>
  <si>
    <t>Payment Due Date</t>
  </si>
  <si>
    <t>Payment Status</t>
  </si>
  <si>
    <t>Amount pending</t>
  </si>
  <si>
    <t>Amount Paid</t>
  </si>
  <si>
    <t>Notes</t>
  </si>
  <si>
    <t>Zepto Sheet</t>
  </si>
  <si>
    <t>INV24-25/000297</t>
  </si>
  <si>
    <t>Pune</t>
  </si>
  <si>
    <t>GrnCode5270233</t>
  </si>
  <si>
    <t>Paid</t>
  </si>
  <si>
    <t>Received on 26/12</t>
  </si>
  <si>
    <t>INV24-25/000298</t>
  </si>
  <si>
    <t>Bangalore Nelamangla</t>
  </si>
  <si>
    <t>GrnCode5141514</t>
  </si>
  <si>
    <t>INV24-25/000299</t>
  </si>
  <si>
    <t>Bhiwandi</t>
  </si>
  <si>
    <t>GrnCode5352631</t>
  </si>
  <si>
    <t>INV24-25/000300</t>
  </si>
  <si>
    <t>Faridabad</t>
  </si>
  <si>
    <t>GrnCode5627875</t>
  </si>
  <si>
    <t>Overdue</t>
  </si>
  <si>
    <t>INV24-25/000301</t>
  </si>
  <si>
    <t>Ahmedabad</t>
  </si>
  <si>
    <t>GrnCode4958034</t>
  </si>
  <si>
    <t>INV24-25/000302</t>
  </si>
  <si>
    <t>Gurgaon</t>
  </si>
  <si>
    <t>GrnCode5205406</t>
  </si>
  <si>
    <t>INV24-25/000303</t>
  </si>
  <si>
    <t>Bangalore Mylapura</t>
  </si>
  <si>
    <t>GrnCode5695247</t>
  </si>
  <si>
    <t>INV24-25/000349</t>
  </si>
  <si>
    <t>Mumbai</t>
  </si>
  <si>
    <t>GrnCode6065167</t>
  </si>
  <si>
    <t>INV24-25/000351</t>
  </si>
  <si>
    <t>GrnCode6028499</t>
  </si>
  <si>
    <t>INV24-25/000352</t>
  </si>
  <si>
    <t>GrnCode6185356</t>
  </si>
  <si>
    <t>INV24-25/000353</t>
  </si>
  <si>
    <t>GrnCode8715375</t>
  </si>
  <si>
    <t>INV24-25/000354</t>
  </si>
  <si>
    <t>GrnCode6168037</t>
  </si>
  <si>
    <t>INV24-25/000355</t>
  </si>
  <si>
    <t>GrnCode6021386</t>
  </si>
  <si>
    <t>INV24-25/000356</t>
  </si>
  <si>
    <t>GrnCode6159913</t>
  </si>
  <si>
    <t>INV24-25/000357</t>
  </si>
  <si>
    <t>GrnCode6065102</t>
  </si>
  <si>
    <t>INV24-25/000359</t>
  </si>
  <si>
    <t>GrnCode6022805</t>
  </si>
  <si>
    <t>INV24-25/000360</t>
  </si>
  <si>
    <t>Mylapura</t>
  </si>
  <si>
    <t>GrnCode6167245</t>
  </si>
  <si>
    <t>INV24-25/000362</t>
  </si>
  <si>
    <t>GrnCode6167060</t>
  </si>
  <si>
    <t>INV24-25/000368</t>
  </si>
  <si>
    <t>GrnCode6594143</t>
  </si>
  <si>
    <t>INV24-25/000369</t>
  </si>
  <si>
    <t>GrnCode6593250</t>
  </si>
  <si>
    <t>INV24-25/000370</t>
  </si>
  <si>
    <t>GrnCode8197525</t>
  </si>
  <si>
    <t>INV24-25/000371</t>
  </si>
  <si>
    <t>GrnCode6560630</t>
  </si>
  <si>
    <t>INV24-25/000372</t>
  </si>
  <si>
    <t>GrnCode6568240</t>
  </si>
  <si>
    <t>INV24-25/000376</t>
  </si>
  <si>
    <t>GrnCode7158475</t>
  </si>
  <si>
    <t>INV24-25/000377</t>
  </si>
  <si>
    <t>GrnCode7158426</t>
  </si>
  <si>
    <t>INV24-25/000378</t>
  </si>
  <si>
    <t>GrnCode6922487</t>
  </si>
  <si>
    <t>INV24-25/000379</t>
  </si>
  <si>
    <t>GrnCode6882458</t>
  </si>
  <si>
    <t>INV24-25/000380</t>
  </si>
  <si>
    <t>GrnCode7161432</t>
  </si>
  <si>
    <t>INV24-25/000381</t>
  </si>
  <si>
    <t>GrnCode19601134</t>
  </si>
  <si>
    <t>P795453</t>
  </si>
  <si>
    <t>INV24-25/000382</t>
  </si>
  <si>
    <t>GrnCode7165210</t>
  </si>
  <si>
    <t>INV24-25/000383</t>
  </si>
  <si>
    <t>GrnCode6908874</t>
  </si>
  <si>
    <t>INV24-25/000384</t>
  </si>
  <si>
    <t>GrnCode6912825</t>
  </si>
  <si>
    <t>INV24-25/000385</t>
  </si>
  <si>
    <t>GrnCode19840195</t>
  </si>
  <si>
    <t>raised</t>
  </si>
  <si>
    <t>P795451</t>
  </si>
  <si>
    <t>INV24-25/000386</t>
  </si>
  <si>
    <t>GrnCode8160198</t>
  </si>
  <si>
    <t>INV24-25/000387</t>
  </si>
  <si>
    <t>GrnCode8159552</t>
  </si>
  <si>
    <t>INV24-25/000393</t>
  </si>
  <si>
    <t>GrnCode7161911</t>
  </si>
  <si>
    <t>INV24-25/000394</t>
  </si>
  <si>
    <t>GrnCode7162058</t>
  </si>
  <si>
    <t>INV24-25/000395</t>
  </si>
  <si>
    <t>GrnCode7161963</t>
  </si>
  <si>
    <t>INV24-25/000396</t>
  </si>
  <si>
    <t>GrnCode6914804</t>
  </si>
  <si>
    <t>INV24-25/000397</t>
  </si>
  <si>
    <t>Missing GRN</t>
  </si>
  <si>
    <t>P795447</t>
  </si>
  <si>
    <t>INV24-25/000398</t>
  </si>
  <si>
    <t>GrnCode8674074</t>
  </si>
  <si>
    <t>PO no changed to 3100586034
GRN Received on 04/1 while it got delivered on 14/12</t>
  </si>
  <si>
    <t>INV24-25/000399</t>
  </si>
  <si>
    <t>GrnCode19840644</t>
  </si>
  <si>
    <t>P795448</t>
  </si>
  <si>
    <t>INV24-25/000400</t>
  </si>
  <si>
    <t>GrnCode7159121</t>
  </si>
  <si>
    <t>INV24-25/000401</t>
  </si>
  <si>
    <t>GrnCode7165267</t>
  </si>
  <si>
    <t>INV24-25/000402</t>
  </si>
  <si>
    <t>GrnCode6921042</t>
  </si>
  <si>
    <t>INV24-25/000410</t>
  </si>
  <si>
    <t>GrnCode7391103</t>
  </si>
  <si>
    <t>INV24-25/000411</t>
  </si>
  <si>
    <t>GrnCode7213464</t>
  </si>
  <si>
    <t>INV24-25/000412</t>
  </si>
  <si>
    <t>GrnCode7396585</t>
  </si>
  <si>
    <t>INV24-25/000413</t>
  </si>
  <si>
    <t>GrnCode7388876</t>
  </si>
  <si>
    <t>INV24-25/000414</t>
  </si>
  <si>
    <t>GrnCode7395662</t>
  </si>
  <si>
    <t>INV24-25/000415</t>
  </si>
  <si>
    <t>GrnCode8197412</t>
  </si>
  <si>
    <t>INV24-25/000426</t>
  </si>
  <si>
    <t>GrnCode8197039</t>
  </si>
  <si>
    <t>INV24-25/000427</t>
  </si>
  <si>
    <t>GrnCode7368742</t>
  </si>
  <si>
    <t>INV24-25/000428</t>
  </si>
  <si>
    <t>GrnCode7299637</t>
  </si>
  <si>
    <t>INV24-25/000429</t>
  </si>
  <si>
    <t xml:space="preserve">Pune </t>
  </si>
  <si>
    <t>P795446</t>
  </si>
  <si>
    <t>INV24-25/000436</t>
  </si>
  <si>
    <t>Kolkata</t>
  </si>
  <si>
    <t>GrnCode7896561</t>
  </si>
  <si>
    <t>INV24-25/000437</t>
  </si>
  <si>
    <t>Chennai</t>
  </si>
  <si>
    <t>GrnCode8896249</t>
  </si>
  <si>
    <t>Changed PO 3100518852 to 3100597010</t>
  </si>
  <si>
    <t>INV24-25/000438</t>
  </si>
  <si>
    <t>Hyderabad</t>
  </si>
  <si>
    <t>GrnCode8208334</t>
  </si>
  <si>
    <t>INV24-25/000440</t>
  </si>
  <si>
    <t>GrnCode8224836</t>
  </si>
  <si>
    <t>INV24-25/000441</t>
  </si>
  <si>
    <t>GrnCode7507656</t>
  </si>
  <si>
    <t>INV24-25/000443</t>
  </si>
  <si>
    <t>GrnCode7896757</t>
  </si>
  <si>
    <t>INV24-25/000444</t>
  </si>
  <si>
    <t>GrnCode19839739</t>
  </si>
  <si>
    <t>P795444</t>
  </si>
  <si>
    <t>INV24-25/000445</t>
  </si>
  <si>
    <t>GrnCode7520653</t>
  </si>
  <si>
    <t>INV24-25/000446</t>
  </si>
  <si>
    <t>GrnCode7851924</t>
  </si>
  <si>
    <t>INV24-25/000448</t>
  </si>
  <si>
    <t>GrnCode8208597</t>
  </si>
  <si>
    <t>INV24-25/000462</t>
  </si>
  <si>
    <t>GrnCode8689679</t>
  </si>
  <si>
    <t>INV24-25/000463</t>
  </si>
  <si>
    <t>GrnCode8546992</t>
  </si>
  <si>
    <t>INV24-25/000465</t>
  </si>
  <si>
    <t>P795450</t>
  </si>
  <si>
    <t>INV24-25/000467</t>
  </si>
  <si>
    <t>GrnCode8075732</t>
  </si>
  <si>
    <t>INV24-25/000468</t>
  </si>
  <si>
    <t>GrnCode8679470</t>
  </si>
  <si>
    <t>INV24-25/000472</t>
  </si>
  <si>
    <t>GrnCode8679559</t>
  </si>
  <si>
    <t>INV24-25/000474</t>
  </si>
  <si>
    <t>GrnCode10459103</t>
  </si>
  <si>
    <t>INV24-25/000475</t>
  </si>
  <si>
    <t>GrnCode9248884</t>
  </si>
  <si>
    <t>INV24-25/000476</t>
  </si>
  <si>
    <t>GrnCode11290875</t>
  </si>
  <si>
    <t>INV24-25/000478</t>
  </si>
  <si>
    <t>GrnCode9042226</t>
  </si>
  <si>
    <t>INV24-25/000479</t>
  </si>
  <si>
    <t>GrnCode8689273</t>
  </si>
  <si>
    <t>INV24-25/000480</t>
  </si>
  <si>
    <t>GrnCode8685493</t>
  </si>
  <si>
    <t>INV24-25/000481</t>
  </si>
  <si>
    <t>GrnCode9253468</t>
  </si>
  <si>
    <t>INV24-25/000483</t>
  </si>
  <si>
    <t>GrnCode8702289</t>
  </si>
  <si>
    <t>INV24-25/000484</t>
  </si>
  <si>
    <t>GrnCode9380283</t>
  </si>
  <si>
    <t>INV24-25/000485</t>
  </si>
  <si>
    <t>GrnCode8668858</t>
  </si>
  <si>
    <t>INV24-25/000491</t>
  </si>
  <si>
    <t>GrnCode9590228</t>
  </si>
  <si>
    <t>Delivered on 13th and GRN. on 17th</t>
  </si>
  <si>
    <t>INV24-25/000499</t>
  </si>
  <si>
    <t>GrnCode9038384</t>
  </si>
  <si>
    <t>INV24-25/000500</t>
  </si>
  <si>
    <t>GrnCode9540384</t>
  </si>
  <si>
    <t>INV24-25/000501</t>
  </si>
  <si>
    <t>GrnCode9225202</t>
  </si>
  <si>
    <t>INV24-25/000502</t>
  </si>
  <si>
    <t>GrnCode11129623</t>
  </si>
  <si>
    <t>INV24-25/000504</t>
  </si>
  <si>
    <t>GrnCode9554412</t>
  </si>
  <si>
    <t>INV24-25/000508</t>
  </si>
  <si>
    <t>GrnCode9948407</t>
  </si>
  <si>
    <t>INV24-25/000510</t>
  </si>
  <si>
    <t>GrnCode10570661</t>
  </si>
  <si>
    <t>INV24-25/000511</t>
  </si>
  <si>
    <t>GrnCode11290731</t>
  </si>
  <si>
    <t>INV24-25/000512</t>
  </si>
  <si>
    <t>GrnCode9512014</t>
  </si>
  <si>
    <t>INV24-25/000514</t>
  </si>
  <si>
    <t>GrnCode11290721</t>
  </si>
  <si>
    <t>INV24-25/000515</t>
  </si>
  <si>
    <t>GrnCode10679622</t>
  </si>
  <si>
    <t>INV24-25/000516</t>
  </si>
  <si>
    <t>GrnCode11980600</t>
  </si>
  <si>
    <t>INV24-25/000517</t>
  </si>
  <si>
    <t>GrnCode9788030</t>
  </si>
  <si>
    <t>INV24-25/000518</t>
  </si>
  <si>
    <t>GrnCode9879325</t>
  </si>
  <si>
    <t>INV24-25/000519</t>
  </si>
  <si>
    <t>GrnCode10144384</t>
  </si>
  <si>
    <t>INV24-25/000523</t>
  </si>
  <si>
    <t>GrnCode11290743</t>
  </si>
  <si>
    <t>INV24-25/000524</t>
  </si>
  <si>
    <t>P795449</t>
  </si>
  <si>
    <t>INV24-25/000525</t>
  </si>
  <si>
    <t>GrnCode11129549</t>
  </si>
  <si>
    <t>INV24-25/000526</t>
  </si>
  <si>
    <t>GrnCode9995456</t>
  </si>
  <si>
    <t xml:space="preserve"> </t>
  </si>
  <si>
    <t>INV24-25/000527</t>
  </si>
  <si>
    <t>GrnCode10030398</t>
  </si>
  <si>
    <t>INV24-25/000538</t>
  </si>
  <si>
    <t>GrnCode11740838</t>
  </si>
  <si>
    <t>INV24-25/000539</t>
  </si>
  <si>
    <t>Pune - KP</t>
  </si>
  <si>
    <t>P795445</t>
  </si>
  <si>
    <t>INV24-25/000540</t>
  </si>
  <si>
    <t>GrnCode10382280</t>
  </si>
  <si>
    <t>INV24-25/000541</t>
  </si>
  <si>
    <t>GrnCode10512578</t>
  </si>
  <si>
    <t>INV24-25/000542</t>
  </si>
  <si>
    <t>GrnCode10157126</t>
  </si>
  <si>
    <t>INV24-25/000543</t>
  </si>
  <si>
    <t>GrnCode10153104</t>
  </si>
  <si>
    <t>INV24-25/000544</t>
  </si>
  <si>
    <t>GrnCode10157583</t>
  </si>
  <si>
    <t>INV24-25/000548</t>
  </si>
  <si>
    <t>GrnCode19839957</t>
  </si>
  <si>
    <t>P795452</t>
  </si>
  <si>
    <t>INV24-25/000550</t>
  </si>
  <si>
    <t>GrnCode10410771</t>
  </si>
  <si>
    <t>INV24-25/000551</t>
  </si>
  <si>
    <t>GrnCode11904255</t>
  </si>
  <si>
    <t>INV24-25/000552</t>
  </si>
  <si>
    <t>GrnCode10621697</t>
  </si>
  <si>
    <t>INV24-25/000553</t>
  </si>
  <si>
    <t>GrnCode10589299</t>
  </si>
  <si>
    <t>INV24-25/000554</t>
  </si>
  <si>
    <t>GrnCode19601156</t>
  </si>
  <si>
    <t>P795443</t>
  </si>
  <si>
    <t>INV24-25/000560</t>
  </si>
  <si>
    <t>Confirmed by Bhargav</t>
  </si>
  <si>
    <t>INV24-25/000561</t>
  </si>
  <si>
    <t>GrnCode10596650</t>
  </si>
  <si>
    <t>INV24-25/000563</t>
  </si>
  <si>
    <t>GrnCode11970232</t>
  </si>
  <si>
    <t>INV24-25/000564</t>
  </si>
  <si>
    <t>GrnCode11210795</t>
  </si>
  <si>
    <t>INV24-25/000572</t>
  </si>
  <si>
    <t>GrnCode11262533</t>
  </si>
  <si>
    <t>INV24-25/000573</t>
  </si>
  <si>
    <t>GrnCode11035831</t>
  </si>
  <si>
    <t>INV24-25/000574</t>
  </si>
  <si>
    <t>GrnCode11970128</t>
  </si>
  <si>
    <t>P97729</t>
  </si>
  <si>
    <t>INV24-25/000578</t>
  </si>
  <si>
    <t>GrnCode11447998</t>
  </si>
  <si>
    <t>P99209</t>
  </si>
  <si>
    <t>INV24-25/000579</t>
  </si>
  <si>
    <t>GrnCode11684317</t>
  </si>
  <si>
    <t>P99356</t>
  </si>
  <si>
    <t>INV24-25/000580</t>
  </si>
  <si>
    <t>GrnCode11777275</t>
  </si>
  <si>
    <t>P100406</t>
  </si>
  <si>
    <t>INV24-25/000581</t>
  </si>
  <si>
    <t>P795463</t>
  </si>
  <si>
    <t>P102291</t>
  </si>
  <si>
    <t>INV24-25/000582</t>
  </si>
  <si>
    <t>GrnCode13039942</t>
  </si>
  <si>
    <t>P109314</t>
  </si>
  <si>
    <t>INV24-25/000583</t>
  </si>
  <si>
    <t>GrnCode11181105</t>
  </si>
  <si>
    <t>P110094</t>
  </si>
  <si>
    <t>INV24-25/000584</t>
  </si>
  <si>
    <t>GrnCode12954892</t>
  </si>
  <si>
    <t>INV24-25/000601</t>
  </si>
  <si>
    <t>LR-4265159471</t>
  </si>
  <si>
    <t>GrnCode14277071</t>
  </si>
  <si>
    <t>P123039</t>
  </si>
  <si>
    <t>INV24-25/000602</t>
  </si>
  <si>
    <t>GrnCode15538082</t>
  </si>
  <si>
    <t>P263497</t>
  </si>
  <si>
    <t>P136818</t>
  </si>
  <si>
    <t>INV24-25/000603</t>
  </si>
  <si>
    <t>GrnCode15537792</t>
  </si>
  <si>
    <t>P263499</t>
  </si>
  <si>
    <t>P123167</t>
  </si>
  <si>
    <t>INV24-25/000604</t>
  </si>
  <si>
    <t>LR-4353407391</t>
  </si>
  <si>
    <t>GrnCode14751296</t>
  </si>
  <si>
    <t>P263495</t>
  </si>
  <si>
    <t>P123372</t>
  </si>
  <si>
    <t>INV24-25/000606</t>
  </si>
  <si>
    <t>GrnCode11924894</t>
  </si>
  <si>
    <t>P147695</t>
  </si>
  <si>
    <t>INV24-25/000607</t>
  </si>
  <si>
    <t>GrnCode11930050</t>
  </si>
  <si>
    <t>P124434</t>
  </si>
  <si>
    <t>INV24-25/000608</t>
  </si>
  <si>
    <t>GrnCode11907781</t>
  </si>
  <si>
    <t>P136235</t>
  </si>
  <si>
    <t>INV24-25/000610</t>
  </si>
  <si>
    <t>GrnCode15548797</t>
  </si>
  <si>
    <t>P263496</t>
  </si>
  <si>
    <t>P136384</t>
  </si>
  <si>
    <t>INV24-25/000611</t>
  </si>
  <si>
    <t>P123575</t>
  </si>
  <si>
    <t>INV24-25/000612</t>
  </si>
  <si>
    <t>GrnCode11904732</t>
  </si>
  <si>
    <t>P123691</t>
  </si>
  <si>
    <t>INV24-25/000614</t>
  </si>
  <si>
    <t>GrnCode14773121</t>
  </si>
  <si>
    <t>P263500</t>
  </si>
  <si>
    <t>P137294</t>
  </si>
  <si>
    <t>INV24-25/000615</t>
  </si>
  <si>
    <t>GrnCode19840309</t>
  </si>
  <si>
    <t>P263494 , P795464</t>
  </si>
  <si>
    <t>P138084</t>
  </si>
  <si>
    <t>INV24-25/000616</t>
  </si>
  <si>
    <t>GrnCode11916300</t>
  </si>
  <si>
    <t>P125755</t>
  </si>
  <si>
    <t>INV24-25/000617</t>
  </si>
  <si>
    <t>P162874</t>
  </si>
  <si>
    <t>INV24-25/000621</t>
  </si>
  <si>
    <t>GrnCode12143443</t>
  </si>
  <si>
    <t>P171353</t>
  </si>
  <si>
    <t>INV24-25/000623</t>
  </si>
  <si>
    <t>GrnCode12594839</t>
  </si>
  <si>
    <t>P185369</t>
  </si>
  <si>
    <t>INV24-25/000631</t>
  </si>
  <si>
    <t>GrnCode12594617</t>
  </si>
  <si>
    <t>P198840</t>
  </si>
  <si>
    <t>INV24-25/000634</t>
  </si>
  <si>
    <t>GrnCode12982337</t>
  </si>
  <si>
    <t>P212737</t>
  </si>
  <si>
    <t>INV24-25/000638</t>
  </si>
  <si>
    <t>LR-2814664101</t>
  </si>
  <si>
    <t>GrnCode13750818</t>
  </si>
  <si>
    <t>P210979</t>
  </si>
  <si>
    <t>INV24-25/000639</t>
  </si>
  <si>
    <t>LR-4978982911</t>
  </si>
  <si>
    <t>GrnCode13665261</t>
  </si>
  <si>
    <t>quantity reduced to 600</t>
  </si>
  <si>
    <t>P211384</t>
  </si>
  <si>
    <t>INV24-25/000640</t>
  </si>
  <si>
    <t>GrnCode13277460</t>
  </si>
  <si>
    <t>P212382</t>
  </si>
  <si>
    <t>INV24-25/000641</t>
  </si>
  <si>
    <t>GrnCode13265513</t>
  </si>
  <si>
    <t>P213687</t>
  </si>
  <si>
    <t>INV24-25/000642</t>
  </si>
  <si>
    <t>GrnCode13295336</t>
  </si>
  <si>
    <t>P226266</t>
  </si>
  <si>
    <t>INV24-25/000657</t>
  </si>
  <si>
    <t>GrnCode13841365</t>
  </si>
  <si>
    <t>P225840</t>
  </si>
  <si>
    <t>INV24-25/000658</t>
  </si>
  <si>
    <t>LR-4504045041</t>
  </si>
  <si>
    <t>GrnCode13675869</t>
  </si>
  <si>
    <t>P250657</t>
  </si>
  <si>
    <t>INV24-25/000673</t>
  </si>
  <si>
    <t>GrnCode13609790</t>
  </si>
  <si>
    <t>P249404</t>
  </si>
  <si>
    <t>INV24-25/000679</t>
  </si>
  <si>
    <t>GrnCode14300913</t>
  </si>
  <si>
    <t>P292697</t>
  </si>
  <si>
    <t>INV24-25/000680</t>
  </si>
  <si>
    <t>P276650</t>
  </si>
  <si>
    <t>INV24-25/000681</t>
  </si>
  <si>
    <t>GrnCode14954692</t>
  </si>
  <si>
    <t>P294484</t>
  </si>
  <si>
    <t>INV24-25/000682</t>
  </si>
  <si>
    <t>GrnCode14963529</t>
  </si>
  <si>
    <t>P290535</t>
  </si>
  <si>
    <t>INV24-25/000683</t>
  </si>
  <si>
    <t>LR-1562799891</t>
  </si>
  <si>
    <t>GrnCode14293130</t>
  </si>
  <si>
    <t>P291812</t>
  </si>
  <si>
    <t>INV24-25/000684</t>
  </si>
  <si>
    <t>LR-9405012501</t>
  </si>
  <si>
    <t>GrnCode14462364</t>
  </si>
  <si>
    <t>P293880</t>
  </si>
  <si>
    <t>INV24-25/000685</t>
  </si>
  <si>
    <t>LR-8940860631</t>
  </si>
  <si>
    <t>GrnCode14456734</t>
  </si>
  <si>
    <t>P295158</t>
  </si>
  <si>
    <t>INV24-25/000687</t>
  </si>
  <si>
    <t>Jhajjar</t>
  </si>
  <si>
    <t>LR-5765821211</t>
  </si>
  <si>
    <t>GrnCode14769927</t>
  </si>
  <si>
    <t>P294481</t>
  </si>
  <si>
    <t>INV24-25/000688</t>
  </si>
  <si>
    <t>LR-8531797571</t>
  </si>
  <si>
    <t>GrnCode15537867</t>
  </si>
  <si>
    <t>P292575</t>
  </si>
  <si>
    <t>INV24-25/000689</t>
  </si>
  <si>
    <t>LR-1659946541</t>
  </si>
  <si>
    <t>GrnCode14473839</t>
  </si>
  <si>
    <t>P248617</t>
  </si>
  <si>
    <t>INV24-25/000690</t>
  </si>
  <si>
    <t>LR-9945492191</t>
  </si>
  <si>
    <t>GrnCode14457487</t>
  </si>
  <si>
    <t>P307023</t>
  </si>
  <si>
    <t>INV24-25/000693</t>
  </si>
  <si>
    <t>GrnCode14779180</t>
  </si>
  <si>
    <t>P317531</t>
  </si>
  <si>
    <t>INV24-25/000694</t>
  </si>
  <si>
    <t>GrnCode14781240</t>
  </si>
  <si>
    <t>P227278</t>
  </si>
  <si>
    <t>INV24-25/000696</t>
  </si>
  <si>
    <t>GrnCode15469609</t>
  </si>
  <si>
    <t>P227695</t>
  </si>
  <si>
    <t>INV24-25/000697</t>
  </si>
  <si>
    <t>GrnCode14961035</t>
  </si>
  <si>
    <t>P339229</t>
  </si>
  <si>
    <t>INV24-25/000703</t>
  </si>
  <si>
    <t>LR-7904166351</t>
  </si>
  <si>
    <t>GrnCode15494231</t>
  </si>
  <si>
    <t>P349298</t>
  </si>
  <si>
    <t>INV24-25/000704</t>
  </si>
  <si>
    <t>GrnCode14855087</t>
  </si>
  <si>
    <t>P349805</t>
  </si>
  <si>
    <t>INV24-25/000705</t>
  </si>
  <si>
    <t>LR-2166778851</t>
  </si>
  <si>
    <t>GrnCode14868438</t>
  </si>
  <si>
    <t>P350233</t>
  </si>
  <si>
    <t>INV24-25/000706</t>
  </si>
  <si>
    <t>LR-2496676941</t>
  </si>
  <si>
    <t>GrnCode14846285</t>
  </si>
  <si>
    <t>P350268</t>
  </si>
  <si>
    <t>INV24-25/000707</t>
  </si>
  <si>
    <t>GrnCode15179295</t>
  </si>
  <si>
    <t>P352091</t>
  </si>
  <si>
    <t>INV24-25/000708</t>
  </si>
  <si>
    <t>GrnCode14863836</t>
  </si>
  <si>
    <t>P353638</t>
  </si>
  <si>
    <t>INV24-25/000709</t>
  </si>
  <si>
    <t>LR-1829721991</t>
  </si>
  <si>
    <t>GrnCode14915141</t>
  </si>
  <si>
    <t>P512628</t>
  </si>
  <si>
    <t>INV25-26/000011</t>
  </si>
  <si>
    <t>Ekart</t>
  </si>
  <si>
    <t>GrnCode17317631</t>
  </si>
  <si>
    <t>P512701</t>
  </si>
  <si>
    <t>INV25-26/000012</t>
  </si>
  <si>
    <t>Bangalore</t>
  </si>
  <si>
    <t>GrnCode17100589</t>
  </si>
  <si>
    <t>Low amount GRN</t>
  </si>
  <si>
    <t>P512981</t>
  </si>
  <si>
    <t>INV25-26/000013</t>
  </si>
  <si>
    <t>GrnCode17242359</t>
  </si>
  <si>
    <t>P513427</t>
  </si>
  <si>
    <t>INV25-26/000014</t>
  </si>
  <si>
    <t>GrnCode17523702</t>
  </si>
  <si>
    <t>P513504</t>
  </si>
  <si>
    <t>INV25-26/000015</t>
  </si>
  <si>
    <t>GrnCode17247545</t>
  </si>
  <si>
    <t>P513760</t>
  </si>
  <si>
    <t>INV25-26/000016</t>
  </si>
  <si>
    <t>GrnCode17371890</t>
  </si>
  <si>
    <t>P514771</t>
  </si>
  <si>
    <t>INV25-26/000017</t>
  </si>
  <si>
    <t>GrnCode17234768</t>
  </si>
  <si>
    <t>P514807</t>
  </si>
  <si>
    <t>INV25-26/000018</t>
  </si>
  <si>
    <t>GrnCode17594929</t>
  </si>
  <si>
    <t>P520005</t>
  </si>
  <si>
    <t>INV25-26/000021</t>
  </si>
  <si>
    <t>GrnCode17248623</t>
  </si>
  <si>
    <t>P520034</t>
  </si>
  <si>
    <t>INV25-26/000022</t>
  </si>
  <si>
    <t>Gurgoan</t>
  </si>
  <si>
    <t>GrnCode16598672</t>
  </si>
  <si>
    <t>P520119</t>
  </si>
  <si>
    <t>INV25-26/000023</t>
  </si>
  <si>
    <t>GrnCode17175963</t>
  </si>
  <si>
    <t>P520156</t>
  </si>
  <si>
    <t>INV25-26/000024</t>
  </si>
  <si>
    <t>GrnCode18294362</t>
  </si>
  <si>
    <t>P520190</t>
  </si>
  <si>
    <t>INV25-26/000025</t>
  </si>
  <si>
    <t>GrnCode17757878</t>
  </si>
  <si>
    <t xml:space="preserve">Yolo supplied less </t>
  </si>
  <si>
    <t>P520242</t>
  </si>
  <si>
    <t>INV25-26/000026</t>
  </si>
  <si>
    <t>GrnCode16607129</t>
  </si>
  <si>
    <t>P520289</t>
  </si>
  <si>
    <t>INV25-26/000027</t>
  </si>
  <si>
    <t>GrnCode17802040</t>
  </si>
  <si>
    <t>P520308</t>
  </si>
  <si>
    <t>INV25-26/000028</t>
  </si>
  <si>
    <t>GrnCode16588790</t>
  </si>
  <si>
    <t>P520313</t>
  </si>
  <si>
    <t>INV25-26/000029</t>
  </si>
  <si>
    <t>GrnCode18497424</t>
  </si>
  <si>
    <t>P520374</t>
  </si>
  <si>
    <t>INV25-26/000030</t>
  </si>
  <si>
    <t>GrnCode17818853</t>
  </si>
  <si>
    <t>P558007</t>
  </si>
  <si>
    <t>INV25-26/000037</t>
  </si>
  <si>
    <t>Gati</t>
  </si>
  <si>
    <t>215216490</t>
  </si>
  <si>
    <t>GrnCode17520489</t>
  </si>
  <si>
    <t>P558327</t>
  </si>
  <si>
    <t>INV25-26/000038</t>
  </si>
  <si>
    <t>215215875</t>
  </si>
  <si>
    <t>GrnCode17762007</t>
  </si>
  <si>
    <t>P559313</t>
  </si>
  <si>
    <t>INV25-26/000039</t>
  </si>
  <si>
    <t>GrnCode17187073</t>
  </si>
  <si>
    <t>P562439</t>
  </si>
  <si>
    <t>INV25-26/000040</t>
  </si>
  <si>
    <t>215214861</t>
  </si>
  <si>
    <t>GrnCode17762136</t>
  </si>
  <si>
    <t>P562447</t>
  </si>
  <si>
    <t>INV25-26/000041</t>
  </si>
  <si>
    <t>215214441</t>
  </si>
  <si>
    <t>GrnCode17318568</t>
  </si>
  <si>
    <t>P562485</t>
  </si>
  <si>
    <t>INV25-26/000042</t>
  </si>
  <si>
    <t>215215615</t>
  </si>
  <si>
    <t>GrnCode17311031</t>
  </si>
  <si>
    <t>P562710</t>
  </si>
  <si>
    <t>INV25-26/000043</t>
  </si>
  <si>
    <t>215214618</t>
  </si>
  <si>
    <t>GrnCode17186995</t>
  </si>
  <si>
    <t>P562840</t>
  </si>
  <si>
    <t>INV25-26/000044</t>
  </si>
  <si>
    <t>215215332</t>
  </si>
  <si>
    <t>GrnCode17381776</t>
  </si>
  <si>
    <t>P562933</t>
  </si>
  <si>
    <t>INV25-26/000045</t>
  </si>
  <si>
    <t>Delhivery</t>
  </si>
  <si>
    <t>GrnCode17308634</t>
  </si>
  <si>
    <t>P562942</t>
  </si>
  <si>
    <t>INV25-26/000046</t>
  </si>
  <si>
    <t>GrnCode17306773</t>
  </si>
  <si>
    <t>P637417</t>
  </si>
  <si>
    <t>INV25-26/000061</t>
  </si>
  <si>
    <t>GrnCode18290908</t>
  </si>
  <si>
    <t>P637618</t>
  </si>
  <si>
    <t>INV25-26/000062</t>
  </si>
  <si>
    <t>GrnCode17807859</t>
  </si>
  <si>
    <t>P637725</t>
  </si>
  <si>
    <t>INV25-26/000063</t>
  </si>
  <si>
    <t>GrnCode17808393</t>
  </si>
  <si>
    <t>P637749</t>
  </si>
  <si>
    <t>INV25-26/000064</t>
  </si>
  <si>
    <t>GrnCode17834293</t>
  </si>
  <si>
    <t>P637767</t>
  </si>
  <si>
    <t>INV25-26/000065</t>
  </si>
  <si>
    <t>GrnCode18216619</t>
  </si>
  <si>
    <t>P637889</t>
  </si>
  <si>
    <t>INV25-26/000066</t>
  </si>
  <si>
    <t>GrnCode17735191</t>
  </si>
  <si>
    <t>P638293</t>
  </si>
  <si>
    <t>INV25-26/000067</t>
  </si>
  <si>
    <t>GrnCode18214218</t>
  </si>
  <si>
    <t>P638358</t>
  </si>
  <si>
    <t>INV25-26/000068</t>
  </si>
  <si>
    <t>Thane</t>
  </si>
  <si>
    <t>GrnCode17837607</t>
  </si>
  <si>
    <t>P638425</t>
  </si>
  <si>
    <t>INV25-26/000069</t>
  </si>
  <si>
    <t>GrnCode17814880</t>
  </si>
  <si>
    <t>P638638</t>
  </si>
  <si>
    <t>INV25-26/000070</t>
  </si>
  <si>
    <t>GrnCode18428455</t>
  </si>
  <si>
    <t>P697659</t>
  </si>
  <si>
    <t>INV25-26/000083</t>
  </si>
  <si>
    <t>GrnCode18677569</t>
  </si>
  <si>
    <t>P698436</t>
  </si>
  <si>
    <t>INV25-26/000084</t>
  </si>
  <si>
    <t>GrnCode18289638</t>
  </si>
  <si>
    <t>P699115</t>
  </si>
  <si>
    <t>INV25-26/000085</t>
  </si>
  <si>
    <t>GrnCode18740475</t>
  </si>
  <si>
    <t>P744089</t>
  </si>
  <si>
    <t>INV25-26/000089</t>
  </si>
  <si>
    <t>GrnCode18804046</t>
  </si>
  <si>
    <t>P744402</t>
  </si>
  <si>
    <t>INV25-26/000090</t>
  </si>
  <si>
    <t>GrnCode19743474</t>
  </si>
  <si>
    <t>P755113</t>
  </si>
  <si>
    <t>INV25-26/000093</t>
  </si>
  <si>
    <t>GrnCode18935401</t>
  </si>
  <si>
    <t>P755282</t>
  </si>
  <si>
    <t>INV25-26/000094</t>
  </si>
  <si>
    <t>GrnCode18943398</t>
  </si>
  <si>
    <t>P652362</t>
  </si>
  <si>
    <t>INV25-26/000095</t>
  </si>
  <si>
    <t>GrnCode22267134</t>
  </si>
  <si>
    <t>P755567</t>
  </si>
  <si>
    <t>INV25-26/000096</t>
  </si>
  <si>
    <t>GrnCode19086538</t>
  </si>
  <si>
    <t>P757369</t>
  </si>
  <si>
    <t>INV25-26/000097</t>
  </si>
  <si>
    <t>GrnCode18913643</t>
  </si>
  <si>
    <t>P759530</t>
  </si>
  <si>
    <t>INV25-26/000098</t>
  </si>
  <si>
    <t>GrnCode19595911</t>
  </si>
  <si>
    <t>P638404</t>
  </si>
  <si>
    <t>INV25-26/000099</t>
  </si>
  <si>
    <t>GrnCode19593151</t>
  </si>
  <si>
    <t>P774325</t>
  </si>
  <si>
    <t>INV25-26/000105</t>
  </si>
  <si>
    <t>GrnCode19183247</t>
  </si>
  <si>
    <t>P638220</t>
  </si>
  <si>
    <t>INV25-26/000106</t>
  </si>
  <si>
    <t>GrnCode19182664</t>
  </si>
  <si>
    <t>P774452</t>
  </si>
  <si>
    <t>INV25-26/000107</t>
  </si>
  <si>
    <t>GrnCode19276724</t>
  </si>
  <si>
    <t>P774538</t>
  </si>
  <si>
    <t>INV25-26/000108</t>
  </si>
  <si>
    <t>GrnCode18842150</t>
  </si>
  <si>
    <t>P774663</t>
  </si>
  <si>
    <t>INV25-26/000109</t>
  </si>
  <si>
    <t>GrnCode19086628</t>
  </si>
  <si>
    <t>P774695</t>
  </si>
  <si>
    <t>INV25-26/000110</t>
  </si>
  <si>
    <t>GrnCode18987466</t>
  </si>
  <si>
    <t>P774925</t>
  </si>
  <si>
    <t>INV25-26/000111</t>
  </si>
  <si>
    <t>GrnCode19269629</t>
  </si>
  <si>
    <t>P774940</t>
  </si>
  <si>
    <t>INV25-26/000112</t>
  </si>
  <si>
    <t>GrnCode19739652</t>
  </si>
  <si>
    <t>P774983</t>
  </si>
  <si>
    <t>INV25-26/000113</t>
  </si>
  <si>
    <t>GrnCode18911282</t>
  </si>
  <si>
    <t>P774989</t>
  </si>
  <si>
    <t>INV25-26/000114</t>
  </si>
  <si>
    <t>GrnCode18943318</t>
  </si>
  <si>
    <t>P774829</t>
  </si>
  <si>
    <t>INV25-26/000116</t>
  </si>
  <si>
    <t>GrnCode18858221</t>
  </si>
  <si>
    <t>P812383</t>
  </si>
  <si>
    <t>INV25-26/000122</t>
  </si>
  <si>
    <t>GrnCode19745137</t>
  </si>
  <si>
    <t>P812899</t>
  </si>
  <si>
    <t>INV25-26/000123</t>
  </si>
  <si>
    <t>GrnCode19596814</t>
  </si>
  <si>
    <t>P813595</t>
  </si>
  <si>
    <t>INV25-26/000124</t>
  </si>
  <si>
    <t>GrnCode19587195</t>
  </si>
  <si>
    <t>P814631</t>
  </si>
  <si>
    <t>INV25-26/000125</t>
  </si>
  <si>
    <t>GrnCode19547064</t>
  </si>
  <si>
    <t>P814641</t>
  </si>
  <si>
    <t>INV25-26/000126</t>
  </si>
  <si>
    <t>GrnCode19632508</t>
  </si>
  <si>
    <t>P815013</t>
  </si>
  <si>
    <t>INV25-26/000127</t>
  </si>
  <si>
    <t>GrnCode19450114</t>
  </si>
  <si>
    <t>P815826</t>
  </si>
  <si>
    <t>INV25-26/000128</t>
  </si>
  <si>
    <t>GrnCode19352815</t>
  </si>
  <si>
    <t>P816959</t>
  </si>
  <si>
    <t>INV25-26/000129</t>
  </si>
  <si>
    <t>GrnCode19848330</t>
  </si>
  <si>
    <t>P817690</t>
  </si>
  <si>
    <t>INV25-26/000130</t>
  </si>
  <si>
    <t>GrnCode19366071</t>
  </si>
  <si>
    <t>P814269</t>
  </si>
  <si>
    <t>INV25-26/000131</t>
  </si>
  <si>
    <t>GrnCode19353237</t>
  </si>
  <si>
    <t>P866470</t>
  </si>
  <si>
    <t>INV25-26/000137</t>
  </si>
  <si>
    <t>GrnCode19959389</t>
  </si>
  <si>
    <t>P774480</t>
  </si>
  <si>
    <t>INV25-26/000138</t>
  </si>
  <si>
    <t xml:space="preserve">Credit Note To be Raised To Ankit </t>
  </si>
  <si>
    <t>NA</t>
  </si>
  <si>
    <t>Pending</t>
  </si>
  <si>
    <t>P866295</t>
  </si>
  <si>
    <t>INV25-26/000139</t>
  </si>
  <si>
    <t>GrnCode20015968</t>
  </si>
  <si>
    <t>P865602</t>
  </si>
  <si>
    <t>INV25-26/000140</t>
  </si>
  <si>
    <t>GrnCode19934211</t>
  </si>
  <si>
    <t>P865577</t>
  </si>
  <si>
    <t>INV25-26/000141</t>
  </si>
  <si>
    <t>GrnCode19928400</t>
  </si>
  <si>
    <t>P864596</t>
  </si>
  <si>
    <t>INV25-26/000142</t>
  </si>
  <si>
    <t>GrnCode19941805</t>
  </si>
  <si>
    <t>P863648</t>
  </si>
  <si>
    <t>INV25-26/000143</t>
  </si>
  <si>
    <t>GrnCode19920904</t>
  </si>
  <si>
    <t>P863250</t>
  </si>
  <si>
    <t>INV25-26/000144</t>
  </si>
  <si>
    <t>GrnCode19909999</t>
  </si>
  <si>
    <t>P863134</t>
  </si>
  <si>
    <t>INV25-26/000145</t>
  </si>
  <si>
    <t>GrnCode19907446</t>
  </si>
  <si>
    <t>P902971</t>
  </si>
  <si>
    <t>INV25-26/000152</t>
  </si>
  <si>
    <t>GrnCode20389980</t>
  </si>
  <si>
    <t>P903312</t>
  </si>
  <si>
    <t>INV25-26/000153</t>
  </si>
  <si>
    <t>GrnCode20568442</t>
  </si>
  <si>
    <t>P903813</t>
  </si>
  <si>
    <t>INV25-26/000154</t>
  </si>
  <si>
    <t>GrnCode20207060</t>
  </si>
  <si>
    <t>SO</t>
  </si>
  <si>
    <t>P904096</t>
  </si>
  <si>
    <t>INV25-26/000155</t>
  </si>
  <si>
    <t>GrnCode20409594</t>
  </si>
  <si>
    <t>P903536</t>
  </si>
  <si>
    <t>INV25-26/000156</t>
  </si>
  <si>
    <t>GrnCode20742250</t>
  </si>
  <si>
    <t>P903247</t>
  </si>
  <si>
    <t>INV25-26/000157</t>
  </si>
  <si>
    <t>GrnCode20414012</t>
  </si>
  <si>
    <t>P931006</t>
  </si>
  <si>
    <t>INV25-26/000160</t>
  </si>
  <si>
    <t>GrnCode20565275</t>
  </si>
  <si>
    <t>P927306</t>
  </si>
  <si>
    <t>INV25-26/000161</t>
  </si>
  <si>
    <t>GrnCode21382962</t>
  </si>
  <si>
    <t>P926733</t>
  </si>
  <si>
    <t>INV25-26/000162</t>
  </si>
  <si>
    <t>GrnCode21067985</t>
  </si>
  <si>
    <t>P926692</t>
  </si>
  <si>
    <t>INV25-26/000163</t>
  </si>
  <si>
    <t>GrnCode20667952</t>
  </si>
  <si>
    <t>P938819</t>
  </si>
  <si>
    <t>INV25-26/000165</t>
  </si>
  <si>
    <t>GrnCode21024175</t>
  </si>
  <si>
    <t>P938667</t>
  </si>
  <si>
    <t>INV25-26/000166</t>
  </si>
  <si>
    <t>GrnCode21310766</t>
  </si>
  <si>
    <t>P904101</t>
  </si>
  <si>
    <t>INV25-26/000167</t>
  </si>
  <si>
    <t>GrnCode21309509</t>
  </si>
  <si>
    <t>P937221</t>
  </si>
  <si>
    <t>INV25-26/000168</t>
  </si>
  <si>
    <t>GrnCode20848048</t>
  </si>
  <si>
    <t>P938659</t>
  </si>
  <si>
    <t>INV25-26/000169</t>
  </si>
  <si>
    <t>GrnCode20653049</t>
  </si>
  <si>
    <t>P937416</t>
  </si>
  <si>
    <t>INV25-26/000170</t>
  </si>
  <si>
    <t>GrnCode21393564</t>
  </si>
  <si>
    <t>P904516</t>
  </si>
  <si>
    <t>INV25-26/000171</t>
  </si>
  <si>
    <t>GrnCode21393621</t>
  </si>
  <si>
    <t>P937241</t>
  </si>
  <si>
    <t>INV25-26/000172</t>
  </si>
  <si>
    <t>Hyderabad - Medak</t>
  </si>
  <si>
    <t>GrnCode21293552</t>
  </si>
  <si>
    <t>P938350</t>
  </si>
  <si>
    <t>INV25-26/000173</t>
  </si>
  <si>
    <t>GrnCode21125048</t>
  </si>
  <si>
    <t>P937780</t>
  </si>
  <si>
    <t>INV25-26/000174</t>
  </si>
  <si>
    <t>GrnCode20630893</t>
  </si>
  <si>
    <t>P937548</t>
  </si>
  <si>
    <t>INV25-26/000175</t>
  </si>
  <si>
    <t>GrnCode20658117</t>
  </si>
  <si>
    <t>P938646</t>
  </si>
  <si>
    <t>INV25-26/000176</t>
  </si>
  <si>
    <t>Hyderabad - Kandlakoya</t>
  </si>
  <si>
    <t>GrnCode21032486</t>
  </si>
  <si>
    <t>P938468</t>
  </si>
  <si>
    <t>INV25-26/000177</t>
  </si>
  <si>
    <t>GrnCode21039232</t>
  </si>
  <si>
    <t>P937690</t>
  </si>
  <si>
    <t>INV25-26/000178</t>
  </si>
  <si>
    <t>GrnCode21111331</t>
  </si>
  <si>
    <t>P937744</t>
  </si>
  <si>
    <t>INV25-26/000179</t>
  </si>
  <si>
    <t>GrnCode21740894</t>
  </si>
  <si>
    <t>P904310</t>
  </si>
  <si>
    <t>INV25-26/000180</t>
  </si>
  <si>
    <t>GrnCode21748615</t>
  </si>
  <si>
    <t>P977619</t>
  </si>
  <si>
    <t>INV25-26/000203</t>
  </si>
  <si>
    <t>GrnCode21740944</t>
  </si>
  <si>
    <t>P1000835</t>
  </si>
  <si>
    <t>INV25-26/000219</t>
  </si>
  <si>
    <t>GrnCode21389267</t>
  </si>
  <si>
    <t>P1039375</t>
  </si>
  <si>
    <t>INV25-26/000225</t>
  </si>
  <si>
    <t>GrnCode22044520</t>
  </si>
  <si>
    <t>P1039407</t>
  </si>
  <si>
    <t>INV25-26/000226</t>
  </si>
  <si>
    <t>GrnCode22432131</t>
  </si>
  <si>
    <t>P1039931</t>
  </si>
  <si>
    <t>INV25-26/000227</t>
  </si>
  <si>
    <t>GrnCode21749048</t>
  </si>
  <si>
    <t>P1044000</t>
  </si>
  <si>
    <t>INV25-26/000229</t>
  </si>
  <si>
    <t>GrnCode21921457</t>
  </si>
  <si>
    <t>P1043262</t>
  </si>
  <si>
    <t>INV25-26/000230</t>
  </si>
  <si>
    <t>GrnCode22278937</t>
  </si>
  <si>
    <t>P1043304</t>
  </si>
  <si>
    <t>INV25-26/000231</t>
  </si>
  <si>
    <t>GrnCode21749134</t>
  </si>
  <si>
    <t>P1043214</t>
  </si>
  <si>
    <t>INV25-26/000233</t>
  </si>
  <si>
    <t>GrnCode22012474</t>
  </si>
  <si>
    <t>P1043350</t>
  </si>
  <si>
    <t>INV25-26/000234</t>
  </si>
  <si>
    <t>GrnCode21920162</t>
  </si>
  <si>
    <t>P1043564</t>
  </si>
  <si>
    <t>INV25-26/000235</t>
  </si>
  <si>
    <t>GrnCode22004204</t>
  </si>
  <si>
    <t>P1062104</t>
  </si>
  <si>
    <t>INV25-26/000236</t>
  </si>
  <si>
    <t>GrnCode21836635</t>
  </si>
  <si>
    <t>P1062059</t>
  </si>
  <si>
    <t>INV25-26/000237</t>
  </si>
  <si>
    <t>GrnCode22007548</t>
  </si>
  <si>
    <t>P1061919</t>
  </si>
  <si>
    <t>INV25-26/000238</t>
  </si>
  <si>
    <t>GrnCode22006418</t>
  </si>
  <si>
    <t>P1061797</t>
  </si>
  <si>
    <t>INV25-26/000239</t>
  </si>
  <si>
    <t>GrnCode22011683</t>
  </si>
  <si>
    <t>P1061861</t>
  </si>
  <si>
    <t>INV25-26/000240</t>
  </si>
  <si>
    <t>GrnCode22264169</t>
  </si>
  <si>
    <t>P1001591</t>
  </si>
  <si>
    <t>INV25-26/000241</t>
  </si>
  <si>
    <t>GrnCode22264381</t>
  </si>
  <si>
    <t>P1044037</t>
  </si>
  <si>
    <t>INV25-26/000242</t>
  </si>
  <si>
    <t>GrnCode22261578</t>
  </si>
  <si>
    <t>P1043154</t>
  </si>
  <si>
    <t>INV25-26/000243</t>
  </si>
  <si>
    <t>GrnCode22267307</t>
  </si>
  <si>
    <t>P1061874</t>
  </si>
  <si>
    <t>INV25-26/000244</t>
  </si>
  <si>
    <t>GrnCode22356555</t>
  </si>
  <si>
    <t>P1061768</t>
  </si>
  <si>
    <t>INV25-26/000245</t>
  </si>
  <si>
    <t>GrnCode22353907</t>
  </si>
  <si>
    <t>P1043557</t>
  </si>
  <si>
    <t>INV25-26/000246</t>
  </si>
  <si>
    <t>GrnCode22354327</t>
  </si>
  <si>
    <t>P1001850</t>
  </si>
  <si>
    <t>INV25-26/000249</t>
  </si>
  <si>
    <t>GrnCode22516137</t>
  </si>
  <si>
    <t>P1043186</t>
  </si>
  <si>
    <t>INV25-26/000250</t>
  </si>
  <si>
    <t>GrnCode22278660</t>
  </si>
  <si>
    <t>P1062071</t>
  </si>
  <si>
    <t>INV25-26/000251</t>
  </si>
  <si>
    <t>GrnCode22518624</t>
  </si>
  <si>
    <t>P1043094</t>
  </si>
  <si>
    <t>INV25-26/000252</t>
  </si>
  <si>
    <t>GrnCode22422723</t>
  </si>
  <si>
    <t>P1062094</t>
  </si>
  <si>
    <t>INV25-26/000253</t>
  </si>
  <si>
    <t>GrnCode22345820</t>
  </si>
  <si>
    <t>P1043146</t>
  </si>
  <si>
    <t>INV25-26/000254</t>
  </si>
  <si>
    <t>GrnCode23116321</t>
  </si>
  <si>
    <t>P1061911</t>
  </si>
  <si>
    <t>INV25-26/000255</t>
  </si>
  <si>
    <t>GrnCode23169100</t>
  </si>
  <si>
    <t>P1043776</t>
  </si>
  <si>
    <t>INV25-26/000262</t>
  </si>
  <si>
    <t>GrnCode22828624</t>
  </si>
  <si>
    <t>P1096792</t>
  </si>
  <si>
    <t>INV25-26/000266</t>
  </si>
  <si>
    <t>GrnCode23000888</t>
  </si>
  <si>
    <t>P1094539</t>
  </si>
  <si>
    <t>INV25-26/000267</t>
  </si>
  <si>
    <t>Mumbai Global</t>
  </si>
  <si>
    <t>GrnCode22839473</t>
  </si>
  <si>
    <t>P1094204</t>
  </si>
  <si>
    <t>INV25-26/000268</t>
  </si>
  <si>
    <t>GrnCode23110587</t>
  </si>
  <si>
    <t>P1099319</t>
  </si>
  <si>
    <t>INV25-26/000272</t>
  </si>
  <si>
    <t>Mumbai Shakti</t>
  </si>
  <si>
    <t>GrnCode23497515</t>
  </si>
  <si>
    <t>P1098801</t>
  </si>
  <si>
    <t>INV25-26/000274</t>
  </si>
  <si>
    <t>GrnCode22926721</t>
  </si>
  <si>
    <t>P1112754</t>
  </si>
  <si>
    <t>INV25-26/000276</t>
  </si>
  <si>
    <t>GrnCode22927380</t>
  </si>
  <si>
    <t>P1112927</t>
  </si>
  <si>
    <t>INV25-26/000279</t>
  </si>
  <si>
    <t>GrnCode23116225</t>
  </si>
  <si>
    <t>P1113090</t>
  </si>
  <si>
    <t>INV25-26/000280</t>
  </si>
  <si>
    <t>GrnCode22676523</t>
  </si>
  <si>
    <t>P1113083</t>
  </si>
  <si>
    <t>INV25-26/000282</t>
  </si>
  <si>
    <t>GrnCode22803254</t>
  </si>
  <si>
    <t>P1113285</t>
  </si>
  <si>
    <t>INV25-26/000285</t>
  </si>
  <si>
    <t>GrnCode22598460</t>
  </si>
  <si>
    <t>P1113018</t>
  </si>
  <si>
    <t>INV25-26/000287</t>
  </si>
  <si>
    <t>GrnCode22928949</t>
  </si>
  <si>
    <t>P1112976</t>
  </si>
  <si>
    <t>INV25-26/000288</t>
  </si>
  <si>
    <t>GrnCode23419036</t>
  </si>
  <si>
    <t>P1112906</t>
  </si>
  <si>
    <t>INV25-26/000290</t>
  </si>
  <si>
    <t>GrnCode22900846</t>
  </si>
  <si>
    <t>P1112758</t>
  </si>
  <si>
    <t>INV25-26/000292</t>
  </si>
  <si>
    <t>GrnCode22847227</t>
  </si>
  <si>
    <t>P1152323</t>
  </si>
  <si>
    <t>INV25-26/000298</t>
  </si>
  <si>
    <t>GrnCode23113653</t>
  </si>
  <si>
    <t>P1265338</t>
  </si>
  <si>
    <t>INV25-26/000311</t>
  </si>
  <si>
    <t>GrnCode24636631</t>
  </si>
  <si>
    <t>P1264878</t>
  </si>
  <si>
    <t>INV25-26/000312</t>
  </si>
  <si>
    <t>GrnCode23724628</t>
  </si>
  <si>
    <t>P1263539</t>
  </si>
  <si>
    <t>INV25-26/000313</t>
  </si>
  <si>
    <t>faridabad</t>
  </si>
  <si>
    <t>GrnCode23966876</t>
  </si>
  <si>
    <t>P1263051</t>
  </si>
  <si>
    <t>INV25-26/000314</t>
  </si>
  <si>
    <t>GrnCode23577578</t>
  </si>
  <si>
    <t>P1262772</t>
  </si>
  <si>
    <t>INV25-26/000315</t>
  </si>
  <si>
    <t>GrnCode24613223</t>
  </si>
  <si>
    <t>P1261745</t>
  </si>
  <si>
    <t>INV25-26/000316</t>
  </si>
  <si>
    <t>GrnCode23471916</t>
  </si>
  <si>
    <t>P1259400</t>
  </si>
  <si>
    <t>INV25-26/000317</t>
  </si>
  <si>
    <t>GrnCode23502325</t>
  </si>
  <si>
    <t>P1361384</t>
  </si>
  <si>
    <t>INV25-26/000330</t>
  </si>
  <si>
    <t xml:space="preserve">Mumbai Shakti </t>
  </si>
  <si>
    <t>GrnCode24412371</t>
  </si>
  <si>
    <t>P1311609</t>
  </si>
  <si>
    <t>INV25-26/000331</t>
  </si>
  <si>
    <t>BLR-Nelamangala</t>
  </si>
  <si>
    <t>GrnCode24254453</t>
  </si>
  <si>
    <t>P1358872</t>
  </si>
  <si>
    <t>INV25-26/000332</t>
  </si>
  <si>
    <t>GrnCode24547300</t>
  </si>
  <si>
    <t>P1361234</t>
  </si>
  <si>
    <t>INV25-26/000333</t>
  </si>
  <si>
    <t>GrnCode24388762</t>
  </si>
  <si>
    <t>P1362039</t>
  </si>
  <si>
    <t>INV25-26/000334</t>
  </si>
  <si>
    <t>GrnCode24386715</t>
  </si>
  <si>
    <t>P1363386</t>
  </si>
  <si>
    <t>INV25-26/000335</t>
  </si>
  <si>
    <t>GrnCode24252773</t>
  </si>
  <si>
    <t>P1363868</t>
  </si>
  <si>
    <t>INV25-26/000336</t>
  </si>
  <si>
    <t>GrnCode24483053</t>
  </si>
  <si>
    <t>P1364520</t>
  </si>
  <si>
    <t>INV25-26/000337</t>
  </si>
  <si>
    <t>GrnCode24524867</t>
  </si>
  <si>
    <t>P1421898</t>
  </si>
  <si>
    <t>INV25-26/000344</t>
  </si>
  <si>
    <t>GrnCode26496555</t>
  </si>
  <si>
    <t>P1422138</t>
  </si>
  <si>
    <t>INV25-26/000345</t>
  </si>
  <si>
    <t>GrnCode25274558</t>
  </si>
  <si>
    <t>P1422149</t>
  </si>
  <si>
    <t>INV25-26/000346</t>
  </si>
  <si>
    <t>GrnCode24782374</t>
  </si>
  <si>
    <t>P1425407</t>
  </si>
  <si>
    <t>INV25-26/000347</t>
  </si>
  <si>
    <t>GrnCode25714629</t>
  </si>
  <si>
    <t>P1425236</t>
  </si>
  <si>
    <t>INV25-26/000348</t>
  </si>
  <si>
    <t>GrnCode24678353</t>
  </si>
  <si>
    <t>P1422811</t>
  </si>
  <si>
    <t>INV25-26/000349</t>
  </si>
  <si>
    <t>GrnCode24687811</t>
  </si>
  <si>
    <t>P1582895</t>
  </si>
  <si>
    <t>INV25-26/000371</t>
  </si>
  <si>
    <t>GrnCode25331883</t>
  </si>
  <si>
    <t>P1621013</t>
  </si>
  <si>
    <t>INV25-26/000373</t>
  </si>
  <si>
    <t>GrnCode25180377</t>
  </si>
  <si>
    <t>P1581082</t>
  </si>
  <si>
    <t>INV25-26/000376</t>
  </si>
  <si>
    <t>GrnCode25103046</t>
  </si>
  <si>
    <t>P1579734</t>
  </si>
  <si>
    <t>INV25-26/000379</t>
  </si>
  <si>
    <t>GrnCode24976614</t>
  </si>
  <si>
    <t>P1579339</t>
  </si>
  <si>
    <t>INV25-26/000381</t>
  </si>
  <si>
    <t>GrnCode25326464</t>
  </si>
  <si>
    <t>P1634920</t>
  </si>
  <si>
    <t>INV25-26/000418</t>
  </si>
  <si>
    <t xml:space="preserve">BL- Mylapura </t>
  </si>
  <si>
    <t xml:space="preserve">Delhivery </t>
  </si>
  <si>
    <t>GrnCode25550435</t>
  </si>
  <si>
    <t>P1632739</t>
  </si>
  <si>
    <t>INV25-26/000419</t>
  </si>
  <si>
    <t xml:space="preserve">Mum - Global </t>
  </si>
  <si>
    <t>GrnCode25524780</t>
  </si>
  <si>
    <t>P1633940</t>
  </si>
  <si>
    <t>INV25-26/000420</t>
  </si>
  <si>
    <t xml:space="preserve">Jhajjar </t>
  </si>
  <si>
    <t>GrnCode25600224</t>
  </si>
  <si>
    <t>P1636408</t>
  </si>
  <si>
    <t>INV25-26/000422</t>
  </si>
  <si>
    <t xml:space="preserve">Mum - Shakti </t>
  </si>
  <si>
    <t>GrnCode25727966</t>
  </si>
  <si>
    <t>P1657411</t>
  </si>
  <si>
    <t>INV25-26/000431</t>
  </si>
  <si>
    <t xml:space="preserve">Gurgaon </t>
  </si>
  <si>
    <t>GrnCode25864049</t>
  </si>
  <si>
    <t>P1657410</t>
  </si>
  <si>
    <t>INV25-26/000432</t>
  </si>
  <si>
    <t>BLR- Sumashura</t>
  </si>
  <si>
    <t>GrnCode25931452</t>
  </si>
  <si>
    <t>P1657415</t>
  </si>
  <si>
    <t>INV25-26/000433</t>
  </si>
  <si>
    <t>GrnCode26122666</t>
  </si>
  <si>
    <t>P1657419</t>
  </si>
  <si>
    <t>INV25-26/000434</t>
  </si>
  <si>
    <t>Chennai - Thiruvallur</t>
  </si>
  <si>
    <t>GrnCode26126152</t>
  </si>
  <si>
    <t>P1699517</t>
  </si>
  <si>
    <t>INV25-26/000436</t>
  </si>
  <si>
    <t xml:space="preserve">Chennai </t>
  </si>
  <si>
    <t>GrnCode26544321</t>
  </si>
  <si>
    <t>P1701383</t>
  </si>
  <si>
    <t>INV25-26/000437</t>
  </si>
  <si>
    <t xml:space="preserve">Kolkata </t>
  </si>
  <si>
    <t>GrnCode26570437</t>
  </si>
  <si>
    <t>P1696148</t>
  </si>
  <si>
    <t>INV25-26/000438</t>
  </si>
  <si>
    <t>HYD - Kandlakoya</t>
  </si>
  <si>
    <t>GrnCode26813550</t>
  </si>
  <si>
    <t>P1699385</t>
  </si>
  <si>
    <t>INV25-26/000439</t>
  </si>
  <si>
    <t xml:space="preserve">Jhajjar - Luhari </t>
  </si>
  <si>
    <t>GrnCode26623162</t>
  </si>
  <si>
    <t>P1698313</t>
  </si>
  <si>
    <t>INV25-26/000440</t>
  </si>
  <si>
    <t>GrnCode26555966</t>
  </si>
  <si>
    <t>P1697883</t>
  </si>
  <si>
    <t>INV25-26/000441</t>
  </si>
  <si>
    <t>GrnCode26416767</t>
  </si>
  <si>
    <t>P1697137</t>
  </si>
  <si>
    <t>INV25-26/000442</t>
  </si>
  <si>
    <t>BLR - Mylapura</t>
  </si>
  <si>
    <t>GrnCode26409972</t>
  </si>
  <si>
    <t>P1696385</t>
  </si>
  <si>
    <t>INV25-26/000443</t>
  </si>
  <si>
    <t xml:space="preserve">Mumbai - Shakti </t>
  </si>
  <si>
    <t>GrnCode26564860</t>
  </si>
  <si>
    <t>P1754206</t>
  </si>
  <si>
    <t>INV25-26/000449</t>
  </si>
  <si>
    <t>HYD - Medak</t>
  </si>
  <si>
    <t>GrnCode26685773</t>
  </si>
  <si>
    <t>P1752633</t>
  </si>
  <si>
    <t>INV25-26/000450</t>
  </si>
  <si>
    <t>GrnCode27539327</t>
  </si>
  <si>
    <t>P1750951</t>
  </si>
  <si>
    <t>INV25-26/000451</t>
  </si>
  <si>
    <t>GrnCode27090669</t>
  </si>
  <si>
    <t>P1752446</t>
  </si>
  <si>
    <t>INV25-26/000452</t>
  </si>
  <si>
    <t>BLR - Nelamangala</t>
  </si>
  <si>
    <t>GrnCode26626424</t>
  </si>
  <si>
    <t>P1753536</t>
  </si>
  <si>
    <t>INV25-26/000453</t>
  </si>
  <si>
    <t>GrnCode26613838</t>
  </si>
  <si>
    <t>P1753813</t>
  </si>
  <si>
    <t>INV25-26/000454</t>
  </si>
  <si>
    <t>GrnCode26434429</t>
  </si>
  <si>
    <t>P1752552</t>
  </si>
  <si>
    <t>INV25-26/000455</t>
  </si>
  <si>
    <t>GrnCode26877898</t>
  </si>
  <si>
    <t>P1752721</t>
  </si>
  <si>
    <t>INV25-26/000457</t>
  </si>
  <si>
    <t>GrnCode28083884</t>
  </si>
  <si>
    <t>P1751380</t>
  </si>
  <si>
    <t>INV25-26/000458</t>
  </si>
  <si>
    <t>GrnCode27248466</t>
  </si>
  <si>
    <t>P1752169</t>
  </si>
  <si>
    <t>INV25-26/000459</t>
  </si>
  <si>
    <t>GrnCode26739266</t>
  </si>
  <si>
    <t>P1752740</t>
  </si>
  <si>
    <t>INV25-26/000460</t>
  </si>
  <si>
    <t>GrnCode27153397</t>
  </si>
  <si>
    <t>P1802116</t>
  </si>
  <si>
    <t>INV25-26/000466</t>
  </si>
  <si>
    <t>GrnCode26829953</t>
  </si>
  <si>
    <t>P1799953</t>
  </si>
  <si>
    <t>INV25-26/000467</t>
  </si>
  <si>
    <t>GrnCode27084615</t>
  </si>
  <si>
    <t>P1800300</t>
  </si>
  <si>
    <t>INV25-26/000468</t>
  </si>
  <si>
    <t xml:space="preserve">HYD - Medak </t>
  </si>
  <si>
    <t>GrnCode27089521</t>
  </si>
  <si>
    <t>P1800581</t>
  </si>
  <si>
    <t>INV25-26/000469</t>
  </si>
  <si>
    <t>GrnCode27263402</t>
  </si>
  <si>
    <t>P1801159</t>
  </si>
  <si>
    <t>INV25-26/000470</t>
  </si>
  <si>
    <t xml:space="preserve">BLR - Mylapura </t>
  </si>
  <si>
    <t>GrnCode27086785</t>
  </si>
  <si>
    <t>P1800995</t>
  </si>
  <si>
    <t>INV25-26/000471</t>
  </si>
  <si>
    <t>GrnCode27001581</t>
  </si>
  <si>
    <t>P1800435</t>
  </si>
  <si>
    <t>INV25-26/000472</t>
  </si>
  <si>
    <t>GrnCode28158704</t>
  </si>
  <si>
    <t>P1866513</t>
  </si>
  <si>
    <t>INV25-26/000505</t>
  </si>
  <si>
    <t>GrnCode27695261</t>
  </si>
  <si>
    <t>P1864753</t>
  </si>
  <si>
    <t>INV25-26/000506</t>
  </si>
  <si>
    <t>GrnCode27624054</t>
  </si>
  <si>
    <t>P1928063</t>
  </si>
  <si>
    <t>INV25-26/000524</t>
  </si>
  <si>
    <t>GrnCode28335386</t>
  </si>
  <si>
    <t>P1928888</t>
  </si>
  <si>
    <t>INV25-26/000525</t>
  </si>
  <si>
    <t>HYD</t>
  </si>
  <si>
    <t>GrnCode28409499</t>
  </si>
  <si>
    <t>P1932360</t>
  </si>
  <si>
    <t>INV25-26/000526</t>
  </si>
  <si>
    <t>GrnCode28006158</t>
  </si>
  <si>
    <t>P1926822</t>
  </si>
  <si>
    <t>INV25-26/000527</t>
  </si>
  <si>
    <t>GrnCode28391712</t>
  </si>
  <si>
    <t>P1927010</t>
  </si>
  <si>
    <t>INV25-26/000528</t>
  </si>
  <si>
    <t>Mumbai - Shakti</t>
  </si>
  <si>
    <t>GrnCode28232348</t>
  </si>
  <si>
    <t>P1927846</t>
  </si>
  <si>
    <t>INV25-26/000529</t>
  </si>
  <si>
    <t>Mumbai - global</t>
  </si>
  <si>
    <t>GrnCode28573848</t>
  </si>
  <si>
    <t>P1929153</t>
  </si>
  <si>
    <t>INV25-26/000530</t>
  </si>
  <si>
    <t>GrnCode28139808</t>
  </si>
  <si>
    <t>P1928134</t>
  </si>
  <si>
    <t>INV25-26/000531</t>
  </si>
  <si>
    <t>GrnCode27951413</t>
  </si>
  <si>
    <t>P1936313</t>
  </si>
  <si>
    <t>INV25-26/000532</t>
  </si>
  <si>
    <t>GrnCode28461177</t>
  </si>
  <si>
    <t>P1931089</t>
  </si>
  <si>
    <t>INV25-26/000533</t>
  </si>
  <si>
    <t>GrnCode28083084</t>
  </si>
  <si>
    <t>P1930230</t>
  </si>
  <si>
    <t>INV25-26/000534</t>
  </si>
  <si>
    <t>GrnCode27957472</t>
  </si>
  <si>
    <t>P1633958</t>
  </si>
  <si>
    <t>INV25-26/000535</t>
  </si>
  <si>
    <t>BLR- Nelamangala</t>
  </si>
  <si>
    <t>GrnCode29620148</t>
  </si>
  <si>
    <t>2 invoices 535 and 651</t>
  </si>
  <si>
    <t>P1979796</t>
  </si>
  <si>
    <t>INV25-26/000544</t>
  </si>
  <si>
    <t>GrnCode28465580</t>
  </si>
  <si>
    <t>P1978267</t>
  </si>
  <si>
    <t>INV25-26/000545</t>
  </si>
  <si>
    <t>GrnCode28575734</t>
  </si>
  <si>
    <t>P1988416</t>
  </si>
  <si>
    <t>INV25-26/000546</t>
  </si>
  <si>
    <t>GrnCode28617037</t>
  </si>
  <si>
    <t>P1988609</t>
  </si>
  <si>
    <t>INV25-26/000547</t>
  </si>
  <si>
    <t>GrnCode28403439</t>
  </si>
  <si>
    <t>P1988643</t>
  </si>
  <si>
    <t>INV25-26/000548</t>
  </si>
  <si>
    <t>GrnCode28461594</t>
  </si>
  <si>
    <t>P1988870</t>
  </si>
  <si>
    <t>INV25-26/000549</t>
  </si>
  <si>
    <t>GrnCode28878846</t>
  </si>
  <si>
    <t>P1989526</t>
  </si>
  <si>
    <t>INV25-26/000550</t>
  </si>
  <si>
    <t>GrnCode28402529</t>
  </si>
  <si>
    <t>P1990747</t>
  </si>
  <si>
    <t>INV25-26/000551</t>
  </si>
  <si>
    <t>GrnCode28439785</t>
  </si>
  <si>
    <t>P2142497</t>
  </si>
  <si>
    <t>INV25-26/000574</t>
  </si>
  <si>
    <t>GrnCode29745447</t>
  </si>
  <si>
    <t>P2142815</t>
  </si>
  <si>
    <t>INV25-26/000575</t>
  </si>
  <si>
    <t xml:space="preserve">Hyderabad - kandalkoya </t>
  </si>
  <si>
    <t>GrnCode30024592</t>
  </si>
  <si>
    <t>P2143200</t>
  </si>
  <si>
    <t>INV25-26/000576</t>
  </si>
  <si>
    <t>GrnCode30257487</t>
  </si>
  <si>
    <t>P2143637</t>
  </si>
  <si>
    <t>INV25-26/000578</t>
  </si>
  <si>
    <t xml:space="preserve">Ahmedabad </t>
  </si>
  <si>
    <t>GrnCode29468258</t>
  </si>
  <si>
    <t>P2143778</t>
  </si>
  <si>
    <t>INV25-26/000580</t>
  </si>
  <si>
    <t>GrnCode29739033</t>
  </si>
  <si>
    <t>P2157790</t>
  </si>
  <si>
    <t>INV25-26/000582</t>
  </si>
  <si>
    <t>GrnCode29745412</t>
  </si>
  <si>
    <t>P2157848</t>
  </si>
  <si>
    <t>INV25-26/000584</t>
  </si>
  <si>
    <t xml:space="preserve">Hyderabad - banda mailaram </t>
  </si>
  <si>
    <t>GrnCode29755742</t>
  </si>
  <si>
    <t>P2157853</t>
  </si>
  <si>
    <t>INV25-26/000586</t>
  </si>
  <si>
    <t xml:space="preserve">Mumbai - Shakti  </t>
  </si>
  <si>
    <t>GrnCode29850109</t>
  </si>
  <si>
    <t>P2157871</t>
  </si>
  <si>
    <t>INV25-26/000587</t>
  </si>
  <si>
    <t>GrnCode30000406</t>
  </si>
  <si>
    <t>P2157885</t>
  </si>
  <si>
    <t>INV25-26/000589</t>
  </si>
  <si>
    <t>GrnCode30661720</t>
  </si>
  <si>
    <t>P2157899</t>
  </si>
  <si>
    <t>INV25-26/000591</t>
  </si>
  <si>
    <t>GrnCode29696694</t>
  </si>
  <si>
    <t>P2157933</t>
  </si>
  <si>
    <t>INV25-26/000593</t>
  </si>
  <si>
    <t>GrnCode29743075</t>
  </si>
  <si>
    <t>P2222985</t>
  </si>
  <si>
    <t>INV25-26/000605</t>
  </si>
  <si>
    <t>GrnCode29787953</t>
  </si>
  <si>
    <t>P2222984</t>
  </si>
  <si>
    <t>INV25-26/000606</t>
  </si>
  <si>
    <t>Diwali Stock received</t>
  </si>
  <si>
    <t>P2222971</t>
  </si>
  <si>
    <t>INV25-26/000608</t>
  </si>
  <si>
    <t>BLR</t>
  </si>
  <si>
    <t>GrnCode29617583</t>
  </si>
  <si>
    <t>P2222970</t>
  </si>
  <si>
    <t>INV25-26/000609</t>
  </si>
  <si>
    <t>GrnCode29748609</t>
  </si>
  <si>
    <t>P2222967</t>
  </si>
  <si>
    <t>INV25-26/000610</t>
  </si>
  <si>
    <t>GrnCode29452322</t>
  </si>
  <si>
    <t>P2222942</t>
  </si>
  <si>
    <t>INV25-26/000611</t>
  </si>
  <si>
    <t>GrnCode29917171</t>
  </si>
  <si>
    <t>P2222937</t>
  </si>
  <si>
    <t>INV25-26/000612</t>
  </si>
  <si>
    <t xml:space="preserve">BLR </t>
  </si>
  <si>
    <t>GrnCode29614802</t>
  </si>
  <si>
    <t>P2222928</t>
  </si>
  <si>
    <t>INV25-26/000613</t>
  </si>
  <si>
    <t xml:space="preserve">Faridabad </t>
  </si>
  <si>
    <t>GrnCode29488441</t>
  </si>
  <si>
    <t>P2222920</t>
  </si>
  <si>
    <t>INV25-26/000614</t>
  </si>
  <si>
    <t xml:space="preserve">Mumbai - Global </t>
  </si>
  <si>
    <t>GrnCode29630093</t>
  </si>
  <si>
    <t>P2237768</t>
  </si>
  <si>
    <t>INV25-26/000615</t>
  </si>
  <si>
    <t>GrnCode29815665</t>
  </si>
  <si>
    <t>P2238310</t>
  </si>
  <si>
    <t>INV25-26/000616</t>
  </si>
  <si>
    <t>GrnCode30201951</t>
  </si>
  <si>
    <t>P2246010</t>
  </si>
  <si>
    <t>INV25-26/000617</t>
  </si>
  <si>
    <t>GrnCode30208817</t>
  </si>
  <si>
    <t>P2313745</t>
  </si>
  <si>
    <t>INV25-26/000629</t>
  </si>
  <si>
    <t>GrnCode29945593</t>
  </si>
  <si>
    <t>P2314431</t>
  </si>
  <si>
    <t>INV25-26/000630</t>
  </si>
  <si>
    <t>GrnCode29835790</t>
  </si>
  <si>
    <t>P2312138</t>
  </si>
  <si>
    <t>INV25-26/000632</t>
  </si>
  <si>
    <t>GrnCode29907526</t>
  </si>
  <si>
    <t>P2312258</t>
  </si>
  <si>
    <t>INV25-26/000633</t>
  </si>
  <si>
    <t>GrnCode29990066</t>
  </si>
  <si>
    <t>P2312497</t>
  </si>
  <si>
    <t>INV25-26/000634</t>
  </si>
  <si>
    <t>GrnCode30184003</t>
  </si>
  <si>
    <t>P2313509</t>
  </si>
  <si>
    <t>INV25-26/000635</t>
  </si>
  <si>
    <t>GrnCode30547172</t>
  </si>
  <si>
    <t>P2311675</t>
  </si>
  <si>
    <t>INV25-26/000639</t>
  </si>
  <si>
    <t xml:space="preserve">HYD - Banda Mailaram </t>
  </si>
  <si>
    <t>GrnCode29900790</t>
  </si>
  <si>
    <t>P2294004</t>
  </si>
  <si>
    <t>INV25-26/000640</t>
  </si>
  <si>
    <t>GrnCode29926333</t>
  </si>
  <si>
    <t>P2313661</t>
  </si>
  <si>
    <t>INV25-26/000641</t>
  </si>
  <si>
    <t>GrnCode29895761</t>
  </si>
  <si>
    <t>P2313039</t>
  </si>
  <si>
    <t>INV25-26/000649</t>
  </si>
  <si>
    <t>GrnCode30164837</t>
  </si>
  <si>
    <t>P2325254</t>
  </si>
  <si>
    <t>INV25-26/000652</t>
  </si>
  <si>
    <t>GrnCode30601778</t>
  </si>
  <si>
    <t>P2312347</t>
  </si>
  <si>
    <t>INV25-26/000653</t>
  </si>
  <si>
    <t xml:space="preserve">Mumbai -  Global </t>
  </si>
  <si>
    <t>GrnCode30454036</t>
  </si>
  <si>
    <t>P2312098</t>
  </si>
  <si>
    <t>INV25-26/000654</t>
  </si>
  <si>
    <t>GrnCode30016757</t>
  </si>
  <si>
    <t>P2379188</t>
  </si>
  <si>
    <t>INV25-26/000662</t>
  </si>
  <si>
    <t>GrnCode30454412</t>
  </si>
  <si>
    <t>P2379936</t>
  </si>
  <si>
    <t>INV25-26/000663</t>
  </si>
  <si>
    <t>GrnCode30465613</t>
  </si>
  <si>
    <t>P2379338</t>
  </si>
  <si>
    <t>INV25-26/000664</t>
  </si>
  <si>
    <t>GrnCode30430931</t>
  </si>
  <si>
    <t>P2380019</t>
  </si>
  <si>
    <t>INV25-26/000665</t>
  </si>
  <si>
    <t>GrnCode30478896</t>
  </si>
  <si>
    <t>P2380783</t>
  </si>
  <si>
    <t>INV25-26/000678</t>
  </si>
  <si>
    <t>GrnCode31095788</t>
  </si>
  <si>
    <t>P2415639</t>
  </si>
  <si>
    <t>INV25-26/000679</t>
  </si>
  <si>
    <t>GrnCode31090388</t>
  </si>
  <si>
    <t>P2416008</t>
  </si>
  <si>
    <t>INV25-26/000682</t>
  </si>
  <si>
    <t>GrnCode31223602</t>
  </si>
  <si>
    <t>P2445493</t>
  </si>
  <si>
    <t>INV25-26/000683</t>
  </si>
  <si>
    <t>GrnCode31229375</t>
  </si>
  <si>
    <t>P2440886</t>
  </si>
  <si>
    <t>INV25-26/000684</t>
  </si>
  <si>
    <t>GrnCode31449980</t>
  </si>
  <si>
    <t>P2440067</t>
  </si>
  <si>
    <t>INV25-26/000685</t>
  </si>
  <si>
    <t>GrnCode31117825</t>
  </si>
  <si>
    <t>P2439965</t>
  </si>
  <si>
    <t>INV25-26/000686</t>
  </si>
  <si>
    <t>GrnCode31096431</t>
  </si>
  <si>
    <t>P2439728</t>
  </si>
  <si>
    <t>INV25-26/000687</t>
  </si>
  <si>
    <t>GrnCode31272070</t>
  </si>
  <si>
    <t>P2417235</t>
  </si>
  <si>
    <t>INV25-26/000688</t>
  </si>
  <si>
    <t>GrnCode31533905</t>
  </si>
  <si>
    <t>P2442171</t>
  </si>
  <si>
    <t>INV25-26/000689</t>
  </si>
  <si>
    <t xml:space="preserve">Uttar Pradesh </t>
  </si>
  <si>
    <t>GrnCode31215360</t>
  </si>
  <si>
    <t>P2435526</t>
  </si>
  <si>
    <t>INV25-26/000690</t>
  </si>
  <si>
    <t xml:space="preserve">Bangalore - sumadhura </t>
  </si>
  <si>
    <t>GrnCode31224701</t>
  </si>
  <si>
    <t>P2418438</t>
  </si>
  <si>
    <t>INV25-26/000691</t>
  </si>
  <si>
    <t>GrnCode31102889</t>
  </si>
  <si>
    <t>P2538987</t>
  </si>
  <si>
    <t>INV25-26/000700</t>
  </si>
  <si>
    <t>GrnCode31402521</t>
  </si>
  <si>
    <t>P2439247</t>
  </si>
  <si>
    <t>INV25-26/000708</t>
  </si>
  <si>
    <t xml:space="preserve">HYD - banda mailaram </t>
  </si>
  <si>
    <t>GrnCode31680577</t>
  </si>
  <si>
    <t>P2379979</t>
  </si>
  <si>
    <t>INV25-26/000710</t>
  </si>
  <si>
    <t>GrnCode31690382</t>
  </si>
  <si>
    <t>P2514767</t>
  </si>
  <si>
    <t>INV25-26/000713</t>
  </si>
  <si>
    <t>GrnCode31555229</t>
  </si>
  <si>
    <t>P2513188</t>
  </si>
  <si>
    <t>INV25-26/000715</t>
  </si>
  <si>
    <t>GrnCode31824302</t>
  </si>
  <si>
    <t>P2379079</t>
  </si>
  <si>
    <t>INV25-26/000718</t>
  </si>
  <si>
    <t>GrnCode31560685</t>
  </si>
  <si>
    <t>P2380740</t>
  </si>
  <si>
    <t>INV25-26/000721</t>
  </si>
  <si>
    <t>GrnCode31919752</t>
  </si>
  <si>
    <t>P2381191</t>
  </si>
  <si>
    <t>INV25-26/000724</t>
  </si>
  <si>
    <t xml:space="preserve">BLR - Nelamangala </t>
  </si>
  <si>
    <t>GrnCode31691480</t>
  </si>
  <si>
    <t>P2381756</t>
  </si>
  <si>
    <t>INV25-26/000726</t>
  </si>
  <si>
    <t>GrnCode31687637</t>
  </si>
  <si>
    <t>P2440045</t>
  </si>
  <si>
    <t>INV25-26/000729</t>
  </si>
  <si>
    <t>GrnCode31689177</t>
  </si>
  <si>
    <t>P2439800</t>
  </si>
  <si>
    <t>INV25-26/000732</t>
  </si>
  <si>
    <t>GrnCode31687028</t>
  </si>
  <si>
    <t>P2416339</t>
  </si>
  <si>
    <t>INV25-26/000734</t>
  </si>
  <si>
    <t xml:space="preserve">Mylapura </t>
  </si>
  <si>
    <t>GrnCode31689310</t>
  </si>
  <si>
    <t>P2511613</t>
  </si>
  <si>
    <t>INV25-26/000737</t>
  </si>
  <si>
    <t>GrnCode31688739</t>
  </si>
  <si>
    <t>P2512086</t>
  </si>
  <si>
    <t>INV25-26/000739</t>
  </si>
  <si>
    <t>GrnCode31693834</t>
  </si>
  <si>
    <t>P2607313</t>
  </si>
  <si>
    <t>INV25-26/000741</t>
  </si>
  <si>
    <t>chennai</t>
  </si>
  <si>
    <t>GrnCode31731968</t>
  </si>
  <si>
    <t>P2512610</t>
  </si>
  <si>
    <t>INV25-26/000743</t>
  </si>
  <si>
    <t xml:space="preserve">chennai - Thiruvallur </t>
  </si>
  <si>
    <t>GrnCode31984051</t>
  </si>
  <si>
    <t>P2572706</t>
  </si>
  <si>
    <t>INV25-26/000744</t>
  </si>
  <si>
    <t>GrnCode31692448</t>
  </si>
  <si>
    <t>P2577298</t>
  </si>
  <si>
    <t>INV25-26/000745</t>
  </si>
  <si>
    <t>GUR-DRY-MH-FARUKHNAGAR</t>
  </si>
  <si>
    <t>GrnCode32226142</t>
  </si>
  <si>
    <t>P2512898</t>
  </si>
  <si>
    <t>INV25-26/000746</t>
  </si>
  <si>
    <t>GrnCode31709084</t>
  </si>
  <si>
    <t>P2514945</t>
  </si>
  <si>
    <t>INV25-26/000747</t>
  </si>
  <si>
    <t>GrnCode33152206</t>
  </si>
  <si>
    <t>P2572296</t>
  </si>
  <si>
    <t>INV25-26/000748</t>
  </si>
  <si>
    <t>AHM-DRY-MH-KHEDA</t>
  </si>
  <si>
    <t>GrnCode31684343</t>
  </si>
  <si>
    <t>P2574365</t>
  </si>
  <si>
    <t>INV25-26/000749</t>
  </si>
  <si>
    <t>GrnCode32002440</t>
  </si>
  <si>
    <t>P2515027</t>
  </si>
  <si>
    <t>INV25-26/000750</t>
  </si>
  <si>
    <t>GrnCode31693604</t>
  </si>
  <si>
    <t>P2576720</t>
  </si>
  <si>
    <t>INV25-26/000751</t>
  </si>
  <si>
    <t>GrnCode31694108</t>
  </si>
  <si>
    <t>P2568684</t>
  </si>
  <si>
    <t>INV25-26/000752</t>
  </si>
  <si>
    <t>LKO-DRY-MH-SOHRAMAU</t>
  </si>
  <si>
    <t>GrnCode31684697</t>
  </si>
  <si>
    <t>P2584048</t>
  </si>
  <si>
    <t>INV25-26/000753</t>
  </si>
  <si>
    <t>GrnCode32288600</t>
  </si>
  <si>
    <t>P2534813</t>
  </si>
  <si>
    <t>INV25-26/000754</t>
  </si>
  <si>
    <t>Bangalore - Sumadhura</t>
  </si>
  <si>
    <t>GrnCode32343058</t>
  </si>
  <si>
    <t>P2573448</t>
  </si>
  <si>
    <t>INV25-26/000756</t>
  </si>
  <si>
    <t>KTPL-KOL-DRY-MH NEW</t>
  </si>
  <si>
    <t>GrnCode31807824</t>
  </si>
  <si>
    <t>P2609095</t>
  </si>
  <si>
    <t>INV25-26/000766</t>
  </si>
  <si>
    <t>GrnCode32226055</t>
  </si>
  <si>
    <t>P2607208</t>
  </si>
  <si>
    <t>INV25-26/000770</t>
  </si>
  <si>
    <t>GrnCode31928151</t>
  </si>
  <si>
    <t>P2640759</t>
  </si>
  <si>
    <t>INV25-26/000771</t>
  </si>
  <si>
    <t>kolkata</t>
  </si>
  <si>
    <t>GrnCode31979895</t>
  </si>
  <si>
    <t>P2642242</t>
  </si>
  <si>
    <t>INV25-26/000772</t>
  </si>
  <si>
    <t>GrnCode32097297</t>
  </si>
  <si>
    <t>P2641187</t>
  </si>
  <si>
    <t>INV25-26/000773</t>
  </si>
  <si>
    <t>GrnCode32647526</t>
  </si>
  <si>
    <t>P2644777</t>
  </si>
  <si>
    <t>INV25-26/000774</t>
  </si>
  <si>
    <t>GrnCode32045647</t>
  </si>
  <si>
    <t>P2633912</t>
  </si>
  <si>
    <t>INV25-26/000780</t>
  </si>
  <si>
    <t>GrnCode32106390</t>
  </si>
  <si>
    <t>P2609225</t>
  </si>
  <si>
    <t>INV25-26/000781</t>
  </si>
  <si>
    <t>GrnCode32043961</t>
  </si>
  <si>
    <t>P2643446</t>
  </si>
  <si>
    <t>INV25-26/000782</t>
  </si>
  <si>
    <t>GrnCode32320411</t>
  </si>
  <si>
    <t>P2637658</t>
  </si>
  <si>
    <t>INV25-26/000783</t>
  </si>
  <si>
    <t xml:space="preserve">Lukhnow </t>
  </si>
  <si>
    <t>GrnCode32029946</t>
  </si>
  <si>
    <t>P2608772</t>
  </si>
  <si>
    <t>INV25-26/000784</t>
  </si>
  <si>
    <t>GrnCode32273827</t>
  </si>
  <si>
    <t>P2608405</t>
  </si>
  <si>
    <t>INV25-26/000785</t>
  </si>
  <si>
    <t>GrnCode32650696</t>
  </si>
  <si>
    <t>P2606359</t>
  </si>
  <si>
    <t>INV25-26/000786</t>
  </si>
  <si>
    <t>GrnCode32652875</t>
  </si>
  <si>
    <t>P2681260</t>
  </si>
  <si>
    <t>INV25-26/000790</t>
  </si>
  <si>
    <t>GrnCode32265410</t>
  </si>
  <si>
    <t>P2682529</t>
  </si>
  <si>
    <t>INV25-26/000792</t>
  </si>
  <si>
    <t>GrnCode32106887</t>
  </si>
  <si>
    <t>P2680800</t>
  </si>
  <si>
    <t>INV25-26/000794</t>
  </si>
  <si>
    <t>GrnCode32101413</t>
  </si>
  <si>
    <t>P2688168</t>
  </si>
  <si>
    <t>INV25-26/000799</t>
  </si>
  <si>
    <t>GrnCode32512060</t>
  </si>
  <si>
    <t>P2698345</t>
  </si>
  <si>
    <t>INV25-26/000801</t>
  </si>
  <si>
    <t xml:space="preserve">HYD - Kandalkoya </t>
  </si>
  <si>
    <t>GrnCode32277126</t>
  </si>
  <si>
    <t>P2694856</t>
  </si>
  <si>
    <t>INV25-26/000832</t>
  </si>
  <si>
    <t>GrnCode32277001</t>
  </si>
  <si>
    <t>P2698090</t>
  </si>
  <si>
    <t>INV25-26/000834</t>
  </si>
  <si>
    <t>GrnCode32859206</t>
  </si>
  <si>
    <t>P2698126</t>
  </si>
  <si>
    <t>INV25-26/000835</t>
  </si>
  <si>
    <t>GrnCode32551320</t>
  </si>
  <si>
    <t>P2688165</t>
  </si>
  <si>
    <t>INV25-26/000837</t>
  </si>
  <si>
    <t>GrnCode32916809</t>
  </si>
  <si>
    <t>P2716538</t>
  </si>
  <si>
    <t>INV25-26/000838</t>
  </si>
  <si>
    <t>GrnCode32632957</t>
  </si>
  <si>
    <t>P2718699</t>
  </si>
  <si>
    <t>INV25-26/000839</t>
  </si>
  <si>
    <t>GrnCode32550490</t>
  </si>
  <si>
    <t>P2716191</t>
  </si>
  <si>
    <t>INV25-26/000840</t>
  </si>
  <si>
    <t xml:space="preserve">Jaipur </t>
  </si>
  <si>
    <t>GrnCode32969546</t>
  </si>
  <si>
    <t>P2716143</t>
  </si>
  <si>
    <t>INV25-26/000841</t>
  </si>
  <si>
    <t>Lucknow</t>
  </si>
  <si>
    <t>GrnCode32438558</t>
  </si>
  <si>
    <t>P2719211</t>
  </si>
  <si>
    <t>INV25-26/000842</t>
  </si>
  <si>
    <t>GrnCode32981555</t>
  </si>
  <si>
    <t>P2717539</t>
  </si>
  <si>
    <t>INV25-26/000843</t>
  </si>
  <si>
    <t>GrnCode32513193</t>
  </si>
  <si>
    <t>P2718216</t>
  </si>
  <si>
    <t>INV25-26/000845</t>
  </si>
  <si>
    <t>Self</t>
  </si>
  <si>
    <t xml:space="preserve">Porter </t>
  </si>
  <si>
    <t>GrnCode32687211</t>
  </si>
  <si>
    <t>P2719947</t>
  </si>
  <si>
    <t>INV25-26/000847</t>
  </si>
  <si>
    <t>GrnCode32568269</t>
  </si>
  <si>
    <t>P2740471</t>
  </si>
  <si>
    <t>INV25-26/000848</t>
  </si>
  <si>
    <t>GrnCode32555825</t>
  </si>
  <si>
    <t>P2740972</t>
  </si>
  <si>
    <t>INV25-26/000850</t>
  </si>
  <si>
    <t xml:space="preserve">Hyderabad - Banda Mailaram </t>
  </si>
  <si>
    <t>GrnCode32750460</t>
  </si>
  <si>
    <t>P2741018</t>
  </si>
  <si>
    <t>INV25-26/000852</t>
  </si>
  <si>
    <t>GrnCode32679470</t>
  </si>
  <si>
    <t>P2743207</t>
  </si>
  <si>
    <t>INV25-26/000854</t>
  </si>
  <si>
    <t>GrnCode32627551</t>
  </si>
  <si>
    <t>P2744568</t>
  </si>
  <si>
    <t>INV25-26/000856</t>
  </si>
  <si>
    <t>GrnCode32750829</t>
  </si>
  <si>
    <t>P2717306</t>
  </si>
  <si>
    <t>INV25-26/000857</t>
  </si>
  <si>
    <t>GrnCode32847018</t>
  </si>
  <si>
    <t>P2741099</t>
  </si>
  <si>
    <t>INV25-26/000864</t>
  </si>
  <si>
    <t>GrnCode32687780</t>
  </si>
  <si>
    <t>P2720052</t>
  </si>
  <si>
    <t>INV25-26/000865</t>
  </si>
  <si>
    <t>GrnCode32743588</t>
  </si>
  <si>
    <t>P2744029</t>
  </si>
  <si>
    <t>INV25-26/000867</t>
  </si>
  <si>
    <t>GrnCode32974664</t>
  </si>
  <si>
    <t>P2742295</t>
  </si>
  <si>
    <t>INV25-26/000868</t>
  </si>
  <si>
    <t>GrnCode32672568</t>
  </si>
  <si>
    <t>P2745414</t>
  </si>
  <si>
    <t>INV25-26/000869</t>
  </si>
  <si>
    <t>GrnCode32903436</t>
  </si>
  <si>
    <t>P2740698</t>
  </si>
  <si>
    <t>INV25-26/000870</t>
  </si>
  <si>
    <t xml:space="preserve">mum - shakti </t>
  </si>
  <si>
    <t>GrnCode32834271</t>
  </si>
  <si>
    <t>P2719141</t>
  </si>
  <si>
    <t>INV25-26/000872</t>
  </si>
  <si>
    <t>GrnCode32770246</t>
  </si>
  <si>
    <t>P2779053</t>
  </si>
  <si>
    <t>INV25-26/000874</t>
  </si>
  <si>
    <t>GrnCode32687812</t>
  </si>
  <si>
    <t>P2777591</t>
  </si>
  <si>
    <t>INV25-26/000877</t>
  </si>
  <si>
    <t>Mumbai - Global</t>
  </si>
  <si>
    <t>GrnCode32751962</t>
  </si>
  <si>
    <t>P2777828</t>
  </si>
  <si>
    <t>INV25-26/000878</t>
  </si>
  <si>
    <t>GrnCode32856120</t>
  </si>
  <si>
    <t>P2778747</t>
  </si>
  <si>
    <t>INV25-26/000880</t>
  </si>
  <si>
    <t>GrnCode32858457</t>
  </si>
  <si>
    <t>P2779552</t>
  </si>
  <si>
    <t>INV25-26/000882</t>
  </si>
  <si>
    <t>GrnCode32835935</t>
  </si>
  <si>
    <t>P2779630</t>
  </si>
  <si>
    <t>INV25-26/000884</t>
  </si>
  <si>
    <t>GrnCode32904841</t>
  </si>
  <si>
    <t>P2780043</t>
  </si>
  <si>
    <t>INV25-26/000885</t>
  </si>
  <si>
    <t>Bangalore Sumadhura</t>
  </si>
  <si>
    <t>GrnCode32858305</t>
  </si>
  <si>
    <t>P2780201</t>
  </si>
  <si>
    <t>INV25-26/000887</t>
  </si>
  <si>
    <t>GrnCode32920069</t>
  </si>
  <si>
    <t>P2780218</t>
  </si>
  <si>
    <t>INV25-26/000889</t>
  </si>
  <si>
    <t>Chennai THIRUVALLUR</t>
  </si>
  <si>
    <t>GrnCode32853548</t>
  </si>
  <si>
    <t>P2780629</t>
  </si>
  <si>
    <t>INV25-26/000891</t>
  </si>
  <si>
    <t>GrnCode32981503</t>
  </si>
  <si>
    <t>P2781286</t>
  </si>
  <si>
    <t>INV25-26/000893</t>
  </si>
  <si>
    <t>GrnCode32845362</t>
  </si>
  <si>
    <t>P2804893</t>
  </si>
  <si>
    <t>INV25-26/000897</t>
  </si>
  <si>
    <t>GrnCode33245683</t>
  </si>
  <si>
    <t>P2806530</t>
  </si>
  <si>
    <t>INV25-26/000899</t>
  </si>
  <si>
    <t>GrnCode33224937</t>
  </si>
  <si>
    <t>P2807162</t>
  </si>
  <si>
    <t>INV25-26/000900</t>
  </si>
  <si>
    <t>GrnCode32977591</t>
  </si>
  <si>
    <t>P2807885</t>
  </si>
  <si>
    <t>INV25-26/000902</t>
  </si>
  <si>
    <t xml:space="preserve">HYD - kandalkoya </t>
  </si>
  <si>
    <t>GrnCode33041207</t>
  </si>
  <si>
    <t>P2808098</t>
  </si>
  <si>
    <t>INV25-26/000904</t>
  </si>
  <si>
    <t>GrnCode32687953</t>
  </si>
  <si>
    <t>P2808109</t>
  </si>
  <si>
    <t>INV25-26/000906</t>
  </si>
  <si>
    <t>GrnCode32998617</t>
  </si>
  <si>
    <t>P2809105</t>
  </si>
  <si>
    <t>INV25-26/000907</t>
  </si>
  <si>
    <t>GrnCode33035204</t>
  </si>
  <si>
    <t>P2809900</t>
  </si>
  <si>
    <t>INV25-26/000909</t>
  </si>
  <si>
    <t>GrnCode32969152</t>
  </si>
  <si>
    <t>P2809934</t>
  </si>
  <si>
    <t>INV25-26/000911</t>
  </si>
  <si>
    <t>CHN-THIRUVALLUR</t>
  </si>
  <si>
    <t>GrnCode33030590</t>
  </si>
  <si>
    <t>P2819974</t>
  </si>
  <si>
    <t>INV25-26/000912</t>
  </si>
  <si>
    <t>GrnCode33035279</t>
  </si>
  <si>
    <t>P2819654</t>
  </si>
  <si>
    <t>INV25-26/000913</t>
  </si>
  <si>
    <t>GrnCode32687876</t>
  </si>
  <si>
    <t>P2820555</t>
  </si>
  <si>
    <t>INV25-26/000914</t>
  </si>
  <si>
    <t>GrnCode33313253</t>
  </si>
  <si>
    <t>P2845346</t>
  </si>
  <si>
    <t>INV25-26/000926</t>
  </si>
  <si>
    <t>GrnCode33599894</t>
  </si>
  <si>
    <t>P2847209</t>
  </si>
  <si>
    <t>INV25-26/000927</t>
  </si>
  <si>
    <t>GrnCode33147389</t>
  </si>
  <si>
    <t>P2847825</t>
  </si>
  <si>
    <t>INV25-26/000928</t>
  </si>
  <si>
    <t>GrnCode33284145</t>
  </si>
  <si>
    <t>P2848182</t>
  </si>
  <si>
    <t>INV25-26/000929</t>
  </si>
  <si>
    <t>GrnCode33222110</t>
  </si>
  <si>
    <t>P2846518</t>
  </si>
  <si>
    <t>INV25-26/000930</t>
  </si>
  <si>
    <t xml:space="preserve">Gurugram </t>
  </si>
  <si>
    <t>GrnCode33241595</t>
  </si>
  <si>
    <t>P2847817</t>
  </si>
  <si>
    <t>INV25-26/000931</t>
  </si>
  <si>
    <t>GrnCode33161380</t>
  </si>
  <si>
    <t>P2893987</t>
  </si>
  <si>
    <t>INV25-26/000934</t>
  </si>
  <si>
    <t xml:space="preserve">BLR - Samudhara </t>
  </si>
  <si>
    <t>GrnCode33397685</t>
  </si>
  <si>
    <t>P2894212</t>
  </si>
  <si>
    <t>INV25-26/000935</t>
  </si>
  <si>
    <t>GrnCode33733308</t>
  </si>
  <si>
    <t>P2893252</t>
  </si>
  <si>
    <t>INV25-26/000936</t>
  </si>
  <si>
    <t xml:space="preserve">BLR - Nelamangla </t>
  </si>
  <si>
    <t>GrnCode33473060</t>
  </si>
  <si>
    <t>P2891865</t>
  </si>
  <si>
    <t>INV25-26/000937</t>
  </si>
  <si>
    <t xml:space="preserve">Lucknow </t>
  </si>
  <si>
    <t>GrnCode33540202</t>
  </si>
  <si>
    <t>P2891036</t>
  </si>
  <si>
    <t>INV25-26/000938</t>
  </si>
  <si>
    <t>GrnCode33518494</t>
  </si>
  <si>
    <t>P2846559</t>
  </si>
  <si>
    <t>INV25-26/000939</t>
  </si>
  <si>
    <t>GrnCode33406308</t>
  </si>
  <si>
    <t>P2846469</t>
  </si>
  <si>
    <t>INV25-26/000940</t>
  </si>
  <si>
    <t>GrnCode33459033</t>
  </si>
  <si>
    <t>P2844909</t>
  </si>
  <si>
    <t>INV25-26/000941</t>
  </si>
  <si>
    <t>GrnCode33473731</t>
  </si>
  <si>
    <t>P2918884</t>
  </si>
  <si>
    <t>INV25-26/000949</t>
  </si>
  <si>
    <t xml:space="preserve">Bangalore </t>
  </si>
  <si>
    <t>GrnCode33917449</t>
  </si>
  <si>
    <t>P2920047</t>
  </si>
  <si>
    <t>INV25-26/000950</t>
  </si>
  <si>
    <t>GrnCode33653013</t>
  </si>
  <si>
    <t>P2920754</t>
  </si>
  <si>
    <t>INV25-26/000951</t>
  </si>
  <si>
    <t>GrnCode33899778</t>
  </si>
  <si>
    <t>P2917759</t>
  </si>
  <si>
    <t>INV25-26/000952</t>
  </si>
  <si>
    <t>GrnCode33602927</t>
  </si>
  <si>
    <t>P2931650</t>
  </si>
  <si>
    <t>INV25-26/000954</t>
  </si>
  <si>
    <t>mum - shakti</t>
  </si>
  <si>
    <t>GrnCode33659346</t>
  </si>
  <si>
    <t>P2931657</t>
  </si>
  <si>
    <t>INV25-26/000955</t>
  </si>
  <si>
    <t>BLR - Samudhara</t>
  </si>
  <si>
    <t>GrnCode33595851</t>
  </si>
  <si>
    <t>P2931669</t>
  </si>
  <si>
    <t>INV25-26/000956</t>
  </si>
  <si>
    <t>GrnCode33687783</t>
  </si>
  <si>
    <t>P2931672</t>
  </si>
  <si>
    <t>INV25-26/000957</t>
  </si>
  <si>
    <t>GrnCode33659451</t>
  </si>
  <si>
    <t>P2943998</t>
  </si>
  <si>
    <t>INV25-26/000966</t>
  </si>
  <si>
    <t>GrnCode33986437</t>
  </si>
  <si>
    <t>P2846052</t>
  </si>
  <si>
    <t>INV25-26/000967</t>
  </si>
  <si>
    <t>GrnCode34062697</t>
  </si>
  <si>
    <t>P2890680</t>
  </si>
  <si>
    <t>INV25-26/000968</t>
  </si>
  <si>
    <t>GrnCode33600004</t>
  </si>
  <si>
    <t>P2890729</t>
  </si>
  <si>
    <t>INV25-26/000969</t>
  </si>
  <si>
    <t>GrnCode33814509</t>
  </si>
  <si>
    <t>P2892647</t>
  </si>
  <si>
    <t>INV25-26/000970</t>
  </si>
  <si>
    <t>GrnCode34099928</t>
  </si>
  <si>
    <t>P2893720</t>
  </si>
  <si>
    <t>INV25-26/000971</t>
  </si>
  <si>
    <t>GrnCode33792309</t>
  </si>
  <si>
    <t>P2891075</t>
  </si>
  <si>
    <t>INV25-26/000972</t>
  </si>
  <si>
    <t>GrnCode34086411</t>
  </si>
  <si>
    <t>P2920942</t>
  </si>
  <si>
    <t>INV25-26/000973</t>
  </si>
  <si>
    <t>GrnCode34110710</t>
  </si>
  <si>
    <t>P2920304</t>
  </si>
  <si>
    <t>INV25-26/000974</t>
  </si>
  <si>
    <t>GrnCode34282375</t>
  </si>
  <si>
    <t>P2919788</t>
  </si>
  <si>
    <t>INV25-26/000975</t>
  </si>
  <si>
    <t>GrnCode33809458</t>
  </si>
  <si>
    <t>P2918366</t>
  </si>
  <si>
    <t>INV25-26/000976</t>
  </si>
  <si>
    <t>GrnCode33600165</t>
  </si>
  <si>
    <t>P2902873</t>
  </si>
  <si>
    <t>INV25-26/000977</t>
  </si>
  <si>
    <t>GrnCode33599674</t>
  </si>
  <si>
    <t>P2944837</t>
  </si>
  <si>
    <t>INV25-26/000982</t>
  </si>
  <si>
    <t>GrnCode33600066</t>
  </si>
  <si>
    <t>P2927172</t>
  </si>
  <si>
    <t>INV25-26/000983</t>
  </si>
  <si>
    <t>GrnCode34083160</t>
  </si>
  <si>
    <t>P2893980</t>
  </si>
  <si>
    <t>INV25-26/000984</t>
  </si>
  <si>
    <t>GrnCode34130020</t>
  </si>
  <si>
    <t>P2947849</t>
  </si>
  <si>
    <t>INV25-26/000985</t>
  </si>
  <si>
    <t>GrnCode34038241</t>
  </si>
  <si>
    <t>P2943346</t>
  </si>
  <si>
    <t>INV25-26/000987</t>
  </si>
  <si>
    <t>GrnCode33850562</t>
  </si>
  <si>
    <t>P2945266</t>
  </si>
  <si>
    <t>INV25-26/000988</t>
  </si>
  <si>
    <t>GrnCode33915160</t>
  </si>
  <si>
    <t>P2943319</t>
  </si>
  <si>
    <t>INV25-26/000989</t>
  </si>
  <si>
    <t>GrnCode34050015</t>
  </si>
  <si>
    <t>P2918947</t>
  </si>
  <si>
    <t>INV25-26/000990</t>
  </si>
  <si>
    <t>GrnCode34043224</t>
  </si>
  <si>
    <t>P2942612</t>
  </si>
  <si>
    <t>INV25-26/000991</t>
  </si>
  <si>
    <t>GrnCode34062711</t>
  </si>
  <si>
    <t>P2917873</t>
  </si>
  <si>
    <t>INV25-26/000992</t>
  </si>
  <si>
    <t>GrnCode33919658</t>
  </si>
  <si>
    <t>P2947450</t>
  </si>
  <si>
    <t>INV25-26/000993</t>
  </si>
  <si>
    <t>GrnCode34062079</t>
  </si>
  <si>
    <t>P2944905</t>
  </si>
  <si>
    <t>INV25-26/000998</t>
  </si>
  <si>
    <t>GrnCode34330144</t>
  </si>
  <si>
    <t>P2917672</t>
  </si>
  <si>
    <t>INV25-26/000999</t>
  </si>
  <si>
    <t>GrnCode34080118</t>
  </si>
  <si>
    <t>P2917655</t>
  </si>
  <si>
    <t>INV25-26/001000</t>
  </si>
  <si>
    <t>GrnCode34053110</t>
  </si>
  <si>
    <t>P2966119</t>
  </si>
  <si>
    <t>INV25-26/001003</t>
  </si>
  <si>
    <t>GrnCode34056763</t>
  </si>
  <si>
    <t>P2943073</t>
  </si>
  <si>
    <t>INV25-26/001013</t>
  </si>
  <si>
    <t>GrnCode34482860</t>
  </si>
  <si>
    <t>P2986303</t>
  </si>
  <si>
    <t>INV25-26/001014</t>
  </si>
  <si>
    <t>GrnCode34483045</t>
  </si>
  <si>
    <t>P2986039</t>
  </si>
  <si>
    <t>INV25-26/001015</t>
  </si>
  <si>
    <t>GrnCode34752474</t>
  </si>
  <si>
    <t>P3001402</t>
  </si>
  <si>
    <t>INV25-26/001016</t>
  </si>
  <si>
    <t>GrnCode34396516</t>
  </si>
  <si>
    <t>P2986824</t>
  </si>
  <si>
    <t>INV25-26/001017</t>
  </si>
  <si>
    <t>GrnCode34736646</t>
  </si>
  <si>
    <t>P2985950</t>
  </si>
  <si>
    <t>INV25-26/001018</t>
  </si>
  <si>
    <t>GrnCode35019989</t>
  </si>
  <si>
    <t>P3001933</t>
  </si>
  <si>
    <t>INV25-26/001019</t>
  </si>
  <si>
    <t>GrnCode34479675</t>
  </si>
  <si>
    <t>P2985332</t>
  </si>
  <si>
    <t>INV25-26/001020</t>
  </si>
  <si>
    <t>GrnCode37073327</t>
  </si>
  <si>
    <t>P3001411</t>
  </si>
  <si>
    <t>INV25-26/001021</t>
  </si>
  <si>
    <t>GrnCode34467778</t>
  </si>
  <si>
    <t>P2986644</t>
  </si>
  <si>
    <t>INV25-26/001022</t>
  </si>
  <si>
    <t>GrnCode34683518</t>
  </si>
  <si>
    <t>P3001401</t>
  </si>
  <si>
    <t>INV25-26/001023</t>
  </si>
  <si>
    <t>GrnCode34683410</t>
  </si>
  <si>
    <t>P2983166</t>
  </si>
  <si>
    <t>INV25-26/001024</t>
  </si>
  <si>
    <t>GrnCode34408613</t>
  </si>
  <si>
    <t>P2965767</t>
  </si>
  <si>
    <t>INV25-26/001025</t>
  </si>
  <si>
    <t>GrnCode34717351</t>
  </si>
  <si>
    <t>P2984472</t>
  </si>
  <si>
    <t>INV25-26/001026</t>
  </si>
  <si>
    <t>GrnCode34716145</t>
  </si>
  <si>
    <t>P3002386</t>
  </si>
  <si>
    <t>INV25-26/001027</t>
  </si>
  <si>
    <t>GrnCode43610091</t>
  </si>
  <si>
    <t>P2987392</t>
  </si>
  <si>
    <t>INV25-26/001028</t>
  </si>
  <si>
    <t>GrnCode34692939</t>
  </si>
  <si>
    <t>P2987581</t>
  </si>
  <si>
    <t>INV25-26/001029</t>
  </si>
  <si>
    <t>GrnCode34469199</t>
  </si>
  <si>
    <t>P3002725</t>
  </si>
  <si>
    <t>INV25-26/001030</t>
  </si>
  <si>
    <t>GrnCode34469362</t>
  </si>
  <si>
    <t>Email Raised for Short GRN</t>
  </si>
  <si>
    <t>P2944958</t>
  </si>
  <si>
    <t>INV25-26/001031</t>
  </si>
  <si>
    <t>GrnCode34399177</t>
  </si>
  <si>
    <t>P2984068</t>
  </si>
  <si>
    <t>INV25-26/001032</t>
  </si>
  <si>
    <t>GrnCode34685081</t>
  </si>
  <si>
    <t>P3004042</t>
  </si>
  <si>
    <t>INV25-26/001033</t>
  </si>
  <si>
    <t>GrnCode34537846</t>
  </si>
  <si>
    <t>P3034833</t>
  </si>
  <si>
    <t>INV25-26/001036</t>
  </si>
  <si>
    <t>GrnCode35510575</t>
  </si>
  <si>
    <t>P3035382</t>
  </si>
  <si>
    <t>INV25-26/001037</t>
  </si>
  <si>
    <t>Porter</t>
  </si>
  <si>
    <t>GrnCode34624647</t>
  </si>
  <si>
    <t>P2984692</t>
  </si>
  <si>
    <t>INV25-26/001038</t>
  </si>
  <si>
    <t>GrnCode36115430</t>
  </si>
  <si>
    <t>P3003361</t>
  </si>
  <si>
    <t>INV25-26/001039</t>
  </si>
  <si>
    <t>GrnCode34822676</t>
  </si>
  <si>
    <t>P2985492</t>
  </si>
  <si>
    <t>INV25-26/001040</t>
  </si>
  <si>
    <t>GrnCode34757138</t>
  </si>
  <si>
    <t>P3049982</t>
  </si>
  <si>
    <t>INV25-26/001041</t>
  </si>
  <si>
    <t>GrnCode34886048</t>
  </si>
  <si>
    <t>New PO P3205784</t>
  </si>
  <si>
    <t>P3054103</t>
  </si>
  <si>
    <t>INV25-26/001042</t>
  </si>
  <si>
    <t>GrnCode35015102</t>
  </si>
  <si>
    <t>P3052781</t>
  </si>
  <si>
    <t>INV25-26/001043</t>
  </si>
  <si>
    <t>GrnCode34677556</t>
  </si>
  <si>
    <t>P3052111</t>
  </si>
  <si>
    <t>INV25-26/001044</t>
  </si>
  <si>
    <t>GrnCode34756468</t>
  </si>
  <si>
    <t>P3053171</t>
  </si>
  <si>
    <t>INV25-26/001045</t>
  </si>
  <si>
    <t>GrnCode34824183</t>
  </si>
  <si>
    <t>P3048803</t>
  </si>
  <si>
    <t>INV25-26/001046</t>
  </si>
  <si>
    <t>GrnCode34620275</t>
  </si>
  <si>
    <t>P2984653</t>
  </si>
  <si>
    <t>INV25-26/001047</t>
  </si>
  <si>
    <t>GrnCode34620115</t>
  </si>
  <si>
    <t>P2983039</t>
  </si>
  <si>
    <t>INV25-26/001050</t>
  </si>
  <si>
    <t>GrnCode34825587</t>
  </si>
  <si>
    <t>P3049550</t>
  </si>
  <si>
    <t>INV25-26/001051</t>
  </si>
  <si>
    <t>GrnCode34825632</t>
  </si>
  <si>
    <t>P3050952</t>
  </si>
  <si>
    <t>INV25-26/001052</t>
  </si>
  <si>
    <t>GrnCode34887733</t>
  </si>
  <si>
    <t>P3048708</t>
  </si>
  <si>
    <t>INV25-26/001055</t>
  </si>
  <si>
    <t>GrnCode34955272</t>
  </si>
  <si>
    <t>P3049930</t>
  </si>
  <si>
    <t>INV25-26/001058</t>
  </si>
  <si>
    <t>GrnCode34765283</t>
  </si>
  <si>
    <t>P3053671</t>
  </si>
  <si>
    <t>INV25-26/001060</t>
  </si>
  <si>
    <t>GrnCode34955508</t>
  </si>
  <si>
    <t>P3052219</t>
  </si>
  <si>
    <t>INV25-26/001063</t>
  </si>
  <si>
    <t>GrnCode34826837</t>
  </si>
  <si>
    <t>P3101382</t>
  </si>
  <si>
    <t>INV25-26/001078</t>
  </si>
  <si>
    <t>GrnCode35026190</t>
  </si>
  <si>
    <t>P3110839</t>
  </si>
  <si>
    <t>INV25-26/001079</t>
  </si>
  <si>
    <t>GrnCode35513884</t>
  </si>
  <si>
    <t>P3104054</t>
  </si>
  <si>
    <t>INV25-26/001080</t>
  </si>
  <si>
    <t>GrnCode35024685</t>
  </si>
  <si>
    <t>P3112552</t>
  </si>
  <si>
    <t>INV25-26/001081</t>
  </si>
  <si>
    <t>GrnCode35020521</t>
  </si>
  <si>
    <t>P3112656</t>
  </si>
  <si>
    <t>INV25-26/001082</t>
  </si>
  <si>
    <t>GrnCode35166358</t>
  </si>
  <si>
    <t>P3103352</t>
  </si>
  <si>
    <t>INV25-26/001083</t>
  </si>
  <si>
    <t>GrnCode35722870</t>
  </si>
  <si>
    <t>P3111038</t>
  </si>
  <si>
    <t>INV25-26/001084</t>
  </si>
  <si>
    <t>GrnCode35026077</t>
  </si>
  <si>
    <t>P3105484</t>
  </si>
  <si>
    <t>INV25-26/001089</t>
  </si>
  <si>
    <t>GrnCode34959814</t>
  </si>
  <si>
    <t>P3112159</t>
  </si>
  <si>
    <t>INV25-26/001092</t>
  </si>
  <si>
    <t>GrnCode35161637</t>
  </si>
  <si>
    <t>P3101914</t>
  </si>
  <si>
    <t>INV25-26/001093</t>
  </si>
  <si>
    <t>GrnCode35162007</t>
  </si>
  <si>
    <t>P3089544</t>
  </si>
  <si>
    <t>INV25-26/001094</t>
  </si>
  <si>
    <t>GrnCode35162052</t>
  </si>
  <si>
    <t>P3122663</t>
  </si>
  <si>
    <t>INV25-26/001095</t>
  </si>
  <si>
    <t>GrnCode35162157</t>
  </si>
  <si>
    <t>P3205782</t>
  </si>
  <si>
    <t>INV25-26/001096</t>
  </si>
  <si>
    <t>GrnCode35861280</t>
  </si>
  <si>
    <t>P3090008</t>
  </si>
  <si>
    <t>INV25-26/001097</t>
  </si>
  <si>
    <t>GrnCode35302040</t>
  </si>
  <si>
    <t>P3088505</t>
  </si>
  <si>
    <t>INV25-26/001098</t>
  </si>
  <si>
    <t>GrnCode35290175</t>
  </si>
  <si>
    <t>P3055855</t>
  </si>
  <si>
    <t>INV25-26/001099</t>
  </si>
  <si>
    <t>GrnCode35446865</t>
  </si>
  <si>
    <t>P3090887</t>
  </si>
  <si>
    <t>INV25-26/001100</t>
  </si>
  <si>
    <t>GrnCode35842434</t>
  </si>
  <si>
    <t>P3055261</t>
  </si>
  <si>
    <t>INV25-26/001101</t>
  </si>
  <si>
    <t>GrnCode35444993</t>
  </si>
  <si>
    <t>P3092126</t>
  </si>
  <si>
    <t>INV25-26/001102</t>
  </si>
  <si>
    <t>GrnCode35356255</t>
  </si>
  <si>
    <t>P3106215</t>
  </si>
  <si>
    <t>INV25-26/001103</t>
  </si>
  <si>
    <t>GrnCode35635643</t>
  </si>
  <si>
    <t>P2942206</t>
  </si>
  <si>
    <t>INV25-26/001104</t>
  </si>
  <si>
    <t>GrnCode35884985</t>
  </si>
  <si>
    <t>P3088423</t>
  </si>
  <si>
    <t>INV25-26/001105</t>
  </si>
  <si>
    <t>GrnCode35605033</t>
  </si>
  <si>
    <t>P3089852</t>
  </si>
  <si>
    <t>INV25-26/001106</t>
  </si>
  <si>
    <t>GrnCode35848973</t>
  </si>
  <si>
    <t>P3101313</t>
  </si>
  <si>
    <t>INV25-26/001107</t>
  </si>
  <si>
    <t>GrnCode35516421</t>
  </si>
  <si>
    <t>P3089645</t>
  </si>
  <si>
    <t>INV25-26/001108</t>
  </si>
  <si>
    <t>GrnCode35302622</t>
  </si>
  <si>
    <t>P3111795</t>
  </si>
  <si>
    <t>INV25-26/001109</t>
  </si>
  <si>
    <t>GrnCode35588394</t>
  </si>
  <si>
    <t>P3051540</t>
  </si>
  <si>
    <t>INV25-26/001110</t>
  </si>
  <si>
    <t>GrnCode35228272</t>
  </si>
  <si>
    <t>P3088759</t>
  </si>
  <si>
    <t>INV25-26/001111</t>
  </si>
  <si>
    <t>GrnCode35693520</t>
  </si>
  <si>
    <t>P3133814</t>
  </si>
  <si>
    <t>INV25-26/001121</t>
  </si>
  <si>
    <t>GrnCode35913924</t>
  </si>
  <si>
    <t>P3133311</t>
  </si>
  <si>
    <t>INV25-26/001122</t>
  </si>
  <si>
    <t>GrnCode35885060</t>
  </si>
  <si>
    <t>P3133373</t>
  </si>
  <si>
    <t>INV25-26/001123</t>
  </si>
  <si>
    <t>GrnCode35588076</t>
  </si>
  <si>
    <t>P3140524</t>
  </si>
  <si>
    <t>INV25-26/001124</t>
  </si>
  <si>
    <t>GrnCode35161916</t>
  </si>
  <si>
    <t>P3133863</t>
  </si>
  <si>
    <t>INV25-26/001127</t>
  </si>
  <si>
    <t>GrnCode35718208</t>
  </si>
  <si>
    <t>P3169530</t>
  </si>
  <si>
    <t>INV25-26/001130</t>
  </si>
  <si>
    <t>GrnCode35161802</t>
  </si>
  <si>
    <t>P3178183</t>
  </si>
  <si>
    <t>INV25-26/001131</t>
  </si>
  <si>
    <t>GrnCode35162293</t>
  </si>
  <si>
    <t>P3156172</t>
  </si>
  <si>
    <t>INV25-26/001132</t>
  </si>
  <si>
    <t>GrnCode35643030</t>
  </si>
  <si>
    <t>P3157628</t>
  </si>
  <si>
    <t>INV25-26/001133</t>
  </si>
  <si>
    <t>GrnCode35518560</t>
  </si>
  <si>
    <t>P3174501</t>
  </si>
  <si>
    <t>INV25-26/001134</t>
  </si>
  <si>
    <t>GrnCode36200066</t>
  </si>
  <si>
    <t>GrnCode36281653</t>
  </si>
  <si>
    <t>P3174178</t>
  </si>
  <si>
    <t>INV25-26/001135</t>
  </si>
  <si>
    <t>GrnCode35507655</t>
  </si>
  <si>
    <t>P3157877</t>
  </si>
  <si>
    <t>INV25-26/001136</t>
  </si>
  <si>
    <t>GrnCode35585268</t>
  </si>
  <si>
    <t>P3175304</t>
  </si>
  <si>
    <t>INV25-26/001137</t>
  </si>
  <si>
    <t>GrnCode35643138</t>
  </si>
  <si>
    <t>P3157171</t>
  </si>
  <si>
    <t>INV25-26/001138</t>
  </si>
  <si>
    <t>P3155573</t>
  </si>
  <si>
    <t>INV25-26/001139</t>
  </si>
  <si>
    <t>GrnCode35631856</t>
  </si>
  <si>
    <t>P3174680</t>
  </si>
  <si>
    <t>INV25-26/001140</t>
  </si>
  <si>
    <t>GrnCode35628937</t>
  </si>
  <si>
    <t>P3157346</t>
  </si>
  <si>
    <t>INV25-26/001141</t>
  </si>
  <si>
    <t>GrnCode35493188</t>
  </si>
  <si>
    <t>P3176440</t>
  </si>
  <si>
    <t>INV25-26/001142</t>
  </si>
  <si>
    <t>GrnCode35581365</t>
  </si>
  <si>
    <t>P3155997</t>
  </si>
  <si>
    <t>INV25-26/001143</t>
  </si>
  <si>
    <t>GrnCode35885256</t>
  </si>
  <si>
    <t>P3177269</t>
  </si>
  <si>
    <t>INV25-26/001144</t>
  </si>
  <si>
    <t>GrnCode35885810</t>
  </si>
  <si>
    <t>P3183737</t>
  </si>
  <si>
    <t>INV25-26/001145</t>
  </si>
  <si>
    <t>GrnCode35885110</t>
  </si>
  <si>
    <t>P3174066</t>
  </si>
  <si>
    <t>INV25-26/001146</t>
  </si>
  <si>
    <t>GrnCode35845236</t>
  </si>
  <si>
    <t>P3173908</t>
  </si>
  <si>
    <t>INV25-26/001147</t>
  </si>
  <si>
    <t>BLR - nelamangala</t>
  </si>
  <si>
    <t>GrnCode35702920</t>
  </si>
  <si>
    <t>P3158361</t>
  </si>
  <si>
    <t>INV25-26/001148</t>
  </si>
  <si>
    <t>GrnCode35711918</t>
  </si>
  <si>
    <t>P3213721</t>
  </si>
  <si>
    <t>INV25-26/001149</t>
  </si>
  <si>
    <t>GrnCode35718741</t>
  </si>
  <si>
    <t>P3211132</t>
  </si>
  <si>
    <t>INV25-26/001157</t>
  </si>
  <si>
    <t>GrnCode35641799</t>
  </si>
  <si>
    <t>P3212411</t>
  </si>
  <si>
    <t>INV25-26/001158</t>
  </si>
  <si>
    <t>GrnCode35833469</t>
  </si>
  <si>
    <t>P3198393</t>
  </si>
  <si>
    <t>INV25-26/001159</t>
  </si>
  <si>
    <t>GrnCode35860725</t>
  </si>
  <si>
    <t>P3198358</t>
  </si>
  <si>
    <t>INV25-26/001160</t>
  </si>
  <si>
    <t>GrnCode36198755</t>
  </si>
  <si>
    <t>P3183074</t>
  </si>
  <si>
    <t>INV25-26/001161</t>
  </si>
  <si>
    <t>GrnCode35640884</t>
  </si>
  <si>
    <t>P3156059</t>
  </si>
  <si>
    <t>INV25-26/001163</t>
  </si>
  <si>
    <t>GrnCode35907041</t>
  </si>
  <si>
    <t>P3198434</t>
  </si>
  <si>
    <t>INV25-26/001164</t>
  </si>
  <si>
    <t>GrnCode35839422</t>
  </si>
  <si>
    <t>P3177268</t>
  </si>
  <si>
    <t>INV25-26/001165</t>
  </si>
  <si>
    <t>GrnCode39550942</t>
  </si>
  <si>
    <t>P3198331</t>
  </si>
  <si>
    <t>INV25-26/001166</t>
  </si>
  <si>
    <t>GrnCode35924664</t>
  </si>
  <si>
    <t>P3229199</t>
  </si>
  <si>
    <t>INV25-26/001167</t>
  </si>
  <si>
    <t>GrnCode35640492</t>
  </si>
  <si>
    <t>P3234394</t>
  </si>
  <si>
    <t>INV25-26/001168</t>
  </si>
  <si>
    <t>GrnCode35640417</t>
  </si>
  <si>
    <t>P3246786</t>
  </si>
  <si>
    <t>INV25-26/001171</t>
  </si>
  <si>
    <t>GrnCode36413698</t>
  </si>
  <si>
    <t>P3230416</t>
  </si>
  <si>
    <t>INV25-26/001172</t>
  </si>
  <si>
    <t>GrnCode36051947</t>
  </si>
  <si>
    <t>P3245022</t>
  </si>
  <si>
    <t>INV25-26/001173</t>
  </si>
  <si>
    <t>GrnCode36052085</t>
  </si>
  <si>
    <t>P3243627</t>
  </si>
  <si>
    <t>INV25-26/001174</t>
  </si>
  <si>
    <t>GrnCode36275242</t>
  </si>
  <si>
    <t>P3244914</t>
  </si>
  <si>
    <t>INV25-26/001175</t>
  </si>
  <si>
    <t>GrnCode36129985</t>
  </si>
  <si>
    <t>P3248042</t>
  </si>
  <si>
    <t>INV25-26/001176</t>
  </si>
  <si>
    <t>GrnCode36060024</t>
  </si>
  <si>
    <t>P3245538</t>
  </si>
  <si>
    <t>INV25-26/001177</t>
  </si>
  <si>
    <t>GrnCode36334190</t>
  </si>
  <si>
    <t>P3246408</t>
  </si>
  <si>
    <t>INV25-26/001178</t>
  </si>
  <si>
    <t>GrnCode36135386</t>
  </si>
  <si>
    <t>P3230410</t>
  </si>
  <si>
    <t>INV25-26/001179</t>
  </si>
  <si>
    <t>GrnCode35986461</t>
  </si>
  <si>
    <t>P3229266</t>
  </si>
  <si>
    <t>INV25-26/001180</t>
  </si>
  <si>
    <t xml:space="preserve">MUM - shakti </t>
  </si>
  <si>
    <t>GrnCode36204354</t>
  </si>
  <si>
    <t>P3243952</t>
  </si>
  <si>
    <t>INV25-26/001181</t>
  </si>
  <si>
    <t>GrnCode36237203</t>
  </si>
  <si>
    <t>P3229375</t>
  </si>
  <si>
    <t>INV25-26/001182</t>
  </si>
  <si>
    <t>GrnCode36237242</t>
  </si>
  <si>
    <t>P3289526</t>
  </si>
  <si>
    <t>INV25-26/001196</t>
  </si>
  <si>
    <t>GrnCode36490461</t>
  </si>
  <si>
    <t>P3277898</t>
  </si>
  <si>
    <t>INV25-26/001197</t>
  </si>
  <si>
    <t>HYD - Banda Mailaram</t>
  </si>
  <si>
    <t>GrnCode36499031</t>
  </si>
  <si>
    <t>P3245990</t>
  </si>
  <si>
    <t>INV25-26/001199</t>
  </si>
  <si>
    <t>GrnCode36611038</t>
  </si>
  <si>
    <t>P3278668</t>
  </si>
  <si>
    <t>INV25-26/001200</t>
  </si>
  <si>
    <t>GrnCode36610993</t>
  </si>
  <si>
    <t>P3292540</t>
  </si>
  <si>
    <t>INV25-26/001201</t>
  </si>
  <si>
    <t>GrnCode36610962</t>
  </si>
  <si>
    <t>P3309996</t>
  </si>
  <si>
    <t>INV25-26/001202</t>
  </si>
  <si>
    <t>GrnCode36610921</t>
  </si>
  <si>
    <t>P3247047</t>
  </si>
  <si>
    <t>INV25-26/001203</t>
  </si>
  <si>
    <t>GrnCode37116500</t>
  </si>
  <si>
    <t>P3280576</t>
  </si>
  <si>
    <t>INV25-26/001204</t>
  </si>
  <si>
    <t>GrnCode37116701</t>
  </si>
  <si>
    <t>P3290601</t>
  </si>
  <si>
    <t>INV25-26/001205</t>
  </si>
  <si>
    <t>GrnCode37116361</t>
  </si>
  <si>
    <t>P3311855</t>
  </si>
  <si>
    <t>INV25-26/001206</t>
  </si>
  <si>
    <t>GrnCode37116610</t>
  </si>
  <si>
    <t>P3311793</t>
  </si>
  <si>
    <t>INV25-26/001207</t>
  </si>
  <si>
    <t>GrnCode36551265</t>
  </si>
  <si>
    <t>P3244072</t>
  </si>
  <si>
    <t>INV25-26/001209</t>
  </si>
  <si>
    <t>GrnCode37841242</t>
  </si>
  <si>
    <t>P3278476</t>
  </si>
  <si>
    <t>INV25-26/001210</t>
  </si>
  <si>
    <t>GrnCode37851574</t>
  </si>
  <si>
    <t>P3309257</t>
  </si>
  <si>
    <t>INV25-26/001211</t>
  </si>
  <si>
    <t>GrnCode37843131</t>
  </si>
  <si>
    <t>P3279044</t>
  </si>
  <si>
    <t>INV25-26/001212</t>
  </si>
  <si>
    <t>GrnCode36571626</t>
  </si>
  <si>
    <t>P3289623</t>
  </si>
  <si>
    <t>INV25-26/001213</t>
  </si>
  <si>
    <t>GrnCode36572156</t>
  </si>
  <si>
    <t>P3309397</t>
  </si>
  <si>
    <t>INV25-26/001214</t>
  </si>
  <si>
    <t>GrnCode36571953</t>
  </si>
  <si>
    <t>P3282872</t>
  </si>
  <si>
    <t>INV25-26/001215</t>
  </si>
  <si>
    <t>GrnCode38263520</t>
  </si>
  <si>
    <t>P3313366</t>
  </si>
  <si>
    <t>INV25-26/001216</t>
  </si>
  <si>
    <t>GrnCode38263313</t>
  </si>
  <si>
    <t>P3281950</t>
  </si>
  <si>
    <t>INV25-26/001217</t>
  </si>
  <si>
    <t>GrnCode36717799</t>
  </si>
  <si>
    <t>P3314245</t>
  </si>
  <si>
    <t>INV25-26/001218</t>
  </si>
  <si>
    <t>GrnCode36718805</t>
  </si>
  <si>
    <t>P3289642</t>
  </si>
  <si>
    <t>INV25-26/001219</t>
  </si>
  <si>
    <t>P3311277</t>
  </si>
  <si>
    <t>INV25-26/001220</t>
  </si>
  <si>
    <t>GrnCode36881028</t>
  </si>
  <si>
    <t>P3290305</t>
  </si>
  <si>
    <t>INV25-26/001221</t>
  </si>
  <si>
    <t>GrnCode36722410</t>
  </si>
  <si>
    <t>P3290915</t>
  </si>
  <si>
    <t>INV25-26/001222</t>
  </si>
  <si>
    <t>GrnCode36863743</t>
  </si>
  <si>
    <t>P3310193</t>
  </si>
  <si>
    <t>INV25-26/001223</t>
  </si>
  <si>
    <t xml:space="preserve">HYD - Kanalkoya </t>
  </si>
  <si>
    <t>GrnCode36875972</t>
  </si>
  <si>
    <t>P3312990</t>
  </si>
  <si>
    <t>INV25-26/001224</t>
  </si>
  <si>
    <t>GrnCode36715113</t>
  </si>
  <si>
    <t>P3313319</t>
  </si>
  <si>
    <t>INV25-26/001225</t>
  </si>
  <si>
    <t>GrnCode36801507</t>
  </si>
  <si>
    <t>P3323407</t>
  </si>
  <si>
    <t>INV25-26/001226</t>
  </si>
  <si>
    <t>GrnCode36800174</t>
  </si>
  <si>
    <t>P3313947</t>
  </si>
  <si>
    <t>INV25-26/001227</t>
  </si>
  <si>
    <t>GrnCode36798514</t>
  </si>
  <si>
    <t>P3310155</t>
  </si>
  <si>
    <t>INV25-26/001228</t>
  </si>
  <si>
    <t>GrnCode36872492</t>
  </si>
  <si>
    <t>P3324093</t>
  </si>
  <si>
    <t>INV25-26/001229</t>
  </si>
  <si>
    <t>GrnCode36872405</t>
  </si>
  <si>
    <t>P3335838</t>
  </si>
  <si>
    <t>INV25-26/001241</t>
  </si>
  <si>
    <t>GrnCode37101866</t>
  </si>
  <si>
    <t>P3336199</t>
  </si>
  <si>
    <t>INV25-26/001242</t>
  </si>
  <si>
    <t>GrnCode37089660</t>
  </si>
  <si>
    <t>P3336254</t>
  </si>
  <si>
    <t>INV25-26/001243</t>
  </si>
  <si>
    <t>GrnCode37420658</t>
  </si>
  <si>
    <t>P3336261</t>
  </si>
  <si>
    <t>INV25-26/001244</t>
  </si>
  <si>
    <t>GrnCode37352625</t>
  </si>
  <si>
    <t>P3337374</t>
  </si>
  <si>
    <t>INV25-26/001245</t>
  </si>
  <si>
    <t>GrnCode37063265</t>
  </si>
  <si>
    <t>P3337773</t>
  </si>
  <si>
    <t>INV25-26/001246</t>
  </si>
  <si>
    <t>GrnCode37252965</t>
  </si>
  <si>
    <t>P3338001</t>
  </si>
  <si>
    <t>INV25-26/001247</t>
  </si>
  <si>
    <t>GrnCode37098452</t>
  </si>
  <si>
    <t>P3338343</t>
  </si>
  <si>
    <t>INV25-26/001248</t>
  </si>
  <si>
    <t>GrnCode37742038</t>
  </si>
  <si>
    <t>P3382196</t>
  </si>
  <si>
    <t>INV25-26/001249</t>
  </si>
  <si>
    <t>GrnCode37038930</t>
  </si>
  <si>
    <t>P3383396</t>
  </si>
  <si>
    <t>INV25-26/001250</t>
  </si>
  <si>
    <t>GrnCode37081554</t>
  </si>
  <si>
    <t>P3383469</t>
  </si>
  <si>
    <t>INV25-26/001251</t>
  </si>
  <si>
    <t>GrnCode37430612</t>
  </si>
  <si>
    <t>P3273602</t>
  </si>
  <si>
    <t>INV25-26/001253</t>
  </si>
  <si>
    <t>GrnCode37422977</t>
  </si>
  <si>
    <t>P3273582</t>
  </si>
  <si>
    <t>INV25-26/001254</t>
  </si>
  <si>
    <t>GrnCode37342863</t>
  </si>
  <si>
    <t>P3273590</t>
  </si>
  <si>
    <t>INV25-26/001255</t>
  </si>
  <si>
    <t>GrnCode37369675</t>
  </si>
  <si>
    <t>P3273604</t>
  </si>
  <si>
    <t>INV25-26/001256</t>
  </si>
  <si>
    <t>GrnCode37413353</t>
  </si>
  <si>
    <t>P3386169</t>
  </si>
  <si>
    <t>INV25-26/001258</t>
  </si>
  <si>
    <t>GrnCode37182516</t>
  </si>
  <si>
    <t>P3316368</t>
  </si>
  <si>
    <t>INV25-26/001260</t>
  </si>
  <si>
    <t>GrnCode36865817</t>
  </si>
  <si>
    <t>P3245206</t>
  </si>
  <si>
    <t>INV25-26/001261</t>
  </si>
  <si>
    <t>GrnCode36868418</t>
  </si>
  <si>
    <t>P3336699</t>
  </si>
  <si>
    <t>INV25-26/001262</t>
  </si>
  <si>
    <t>GrnCode36864742</t>
  </si>
  <si>
    <t>P3383050</t>
  </si>
  <si>
    <t>INV25-26/001263</t>
  </si>
  <si>
    <t>GrnCode36869937</t>
  </si>
  <si>
    <t>P3323631</t>
  </si>
  <si>
    <t>INV25-26/001265</t>
  </si>
  <si>
    <t>GrnCode37332479</t>
  </si>
  <si>
    <t>P3382361</t>
  </si>
  <si>
    <t>INV25-26/001266</t>
  </si>
  <si>
    <t>GrnCode37577210</t>
  </si>
  <si>
    <t>P3324777</t>
  </si>
  <si>
    <t>INV25-26/001267</t>
  </si>
  <si>
    <t>GrnCode37414841</t>
  </si>
  <si>
    <t>P3338061</t>
  </si>
  <si>
    <t>INV25-26/001268</t>
  </si>
  <si>
    <t>GrnCode37378391</t>
  </si>
  <si>
    <t>P3387055</t>
  </si>
  <si>
    <t>INV25-26/001269</t>
  </si>
  <si>
    <t>GrnCode38135389</t>
  </si>
  <si>
    <t>P3382579</t>
  </si>
  <si>
    <t>INV25-26/001270</t>
  </si>
  <si>
    <t>GrnCode37505110</t>
  </si>
  <si>
    <t>P3383948</t>
  </si>
  <si>
    <t>INV25-26/001271</t>
  </si>
  <si>
    <t>GrnCode38106364</t>
  </si>
  <si>
    <t>P3383750</t>
  </si>
  <si>
    <t>INV25-26/001272</t>
  </si>
  <si>
    <t>GrnCode37342236</t>
  </si>
  <si>
    <t>P3383980</t>
  </si>
  <si>
    <t>INV25-26/001273</t>
  </si>
  <si>
    <t>GrnCode38346479</t>
  </si>
  <si>
    <t>P3384966</t>
  </si>
  <si>
    <t>INV25-26/001274</t>
  </si>
  <si>
    <t>GrnCode37593631</t>
  </si>
  <si>
    <t>P3385185</t>
  </si>
  <si>
    <t>INV25-26/001275</t>
  </si>
  <si>
    <t>GrnCode38361784</t>
  </si>
  <si>
    <t>P3386063</t>
  </si>
  <si>
    <t>INV25-26/001276</t>
  </si>
  <si>
    <t>GrnCode39805441</t>
  </si>
  <si>
    <t>P3386904</t>
  </si>
  <si>
    <t>INV25-26/001277</t>
  </si>
  <si>
    <t>GrnCode37339631</t>
  </si>
  <si>
    <t>P3452650</t>
  </si>
  <si>
    <t>INV25-26/001289</t>
  </si>
  <si>
    <t>GrnCode37827554</t>
  </si>
  <si>
    <t>P3452653</t>
  </si>
  <si>
    <t>INV25-26/001290</t>
  </si>
  <si>
    <t>GrnCode37369780</t>
  </si>
  <si>
    <t>P3452224</t>
  </si>
  <si>
    <t>INV25-26/001291</t>
  </si>
  <si>
    <t>GrnCode38116996</t>
  </si>
  <si>
    <t>P3452255</t>
  </si>
  <si>
    <t>INV25-26/001292</t>
  </si>
  <si>
    <t>GrnCode37758760</t>
  </si>
  <si>
    <t>P3452471</t>
  </si>
  <si>
    <t>INV25-26/001293</t>
  </si>
  <si>
    <t>GrnCode37679752</t>
  </si>
  <si>
    <t>P3449774</t>
  </si>
  <si>
    <t>INV25-26/001294</t>
  </si>
  <si>
    <t>GrnCode37931723</t>
  </si>
  <si>
    <t>P3452325</t>
  </si>
  <si>
    <t>INV25-26/001295</t>
  </si>
  <si>
    <t>GrnCode37507193</t>
  </si>
  <si>
    <t>P3425969</t>
  </si>
  <si>
    <t>INV25-26/001296</t>
  </si>
  <si>
    <t>GrnCode37592757</t>
  </si>
  <si>
    <t>P3452493</t>
  </si>
  <si>
    <t>INV25-26/001297</t>
  </si>
  <si>
    <t xml:space="preserve">BLR - mylapura </t>
  </si>
  <si>
    <t>GrnCode37595264</t>
  </si>
  <si>
    <t>P3426441</t>
  </si>
  <si>
    <t>INV25-26/001298</t>
  </si>
  <si>
    <t>GrnCode37591097</t>
  </si>
  <si>
    <t>P3450104</t>
  </si>
  <si>
    <t>INV25-26/001299</t>
  </si>
  <si>
    <t>P3451559</t>
  </si>
  <si>
    <t>INV25-26/001300</t>
  </si>
  <si>
    <t>GrnCode37765251</t>
  </si>
  <si>
    <t>P3451569</t>
  </si>
  <si>
    <t>INV25-26/001301</t>
  </si>
  <si>
    <t>GrnCode37677595</t>
  </si>
  <si>
    <t>P3428068</t>
  </si>
  <si>
    <t>INV25-26/001302</t>
  </si>
  <si>
    <t>GrnCode37931999</t>
  </si>
  <si>
    <t>P3450278</t>
  </si>
  <si>
    <t>INV25-26/001303</t>
  </si>
  <si>
    <t>GrnCode38665833</t>
  </si>
  <si>
    <t>P3449433</t>
  </si>
  <si>
    <t>INV25-26/001305</t>
  </si>
  <si>
    <t>GrnCode37595956</t>
  </si>
  <si>
    <t>P3426250</t>
  </si>
  <si>
    <t>INV25-26/001306</t>
  </si>
  <si>
    <t>GrnCode38118643</t>
  </si>
  <si>
    <t>P3454599</t>
  </si>
  <si>
    <t>INV25-26/001307</t>
  </si>
  <si>
    <t>GrnCode37617629</t>
  </si>
  <si>
    <t>P3450928</t>
  </si>
  <si>
    <t>INV25-26/001309</t>
  </si>
  <si>
    <t>GrnCode37369882</t>
  </si>
  <si>
    <t>P3429239</t>
  </si>
  <si>
    <t>INV25-26/001310</t>
  </si>
  <si>
    <t>GrnCode37343553</t>
  </si>
  <si>
    <t>P3463197</t>
  </si>
  <si>
    <t>INV25-26/001311</t>
  </si>
  <si>
    <t>GrnCode37413488</t>
  </si>
  <si>
    <t>P3463754</t>
  </si>
  <si>
    <t>INV25-26/001315</t>
  </si>
  <si>
    <t>GrnCode37672821</t>
  </si>
  <si>
    <t>P3429476</t>
  </si>
  <si>
    <t>INV25-26/001316</t>
  </si>
  <si>
    <t>GrnCode37676835</t>
  </si>
  <si>
    <t>P3425441</t>
  </si>
  <si>
    <t>INV25-26/001317</t>
  </si>
  <si>
    <t>GrnCode38009403</t>
  </si>
  <si>
    <t>P3474689</t>
  </si>
  <si>
    <t>INV25-26/001318</t>
  </si>
  <si>
    <t>GrnCode38277825</t>
  </si>
  <si>
    <t>P3451562</t>
  </si>
  <si>
    <t>INV25-26/001319</t>
  </si>
  <si>
    <t>GrnCode37943492</t>
  </si>
  <si>
    <t>P3451017</t>
  </si>
  <si>
    <t>INV25-26/001320</t>
  </si>
  <si>
    <t>GrnCode37758721</t>
  </si>
  <si>
    <t>P3462936</t>
  </si>
  <si>
    <t>INV25-26/001321</t>
  </si>
  <si>
    <t>GrnCode37758573</t>
  </si>
  <si>
    <t>P3425029</t>
  </si>
  <si>
    <t>INV25-26/001322</t>
  </si>
  <si>
    <t>GrnCode40054125</t>
  </si>
  <si>
    <t>P3452548</t>
  </si>
  <si>
    <t>INV25-26/001323</t>
  </si>
  <si>
    <t>GrnCode37743620</t>
  </si>
  <si>
    <t>P3463799</t>
  </si>
  <si>
    <t>INV25-26/001324</t>
  </si>
  <si>
    <t>GrnCode37659461</t>
  </si>
  <si>
    <t>P3452124</t>
  </si>
  <si>
    <t>INV25-26/001326</t>
  </si>
  <si>
    <t>GrnCode38096531</t>
  </si>
  <si>
    <t>P3452907</t>
  </si>
  <si>
    <t>INV25-26/001327</t>
  </si>
  <si>
    <t>GrnCode38138466</t>
  </si>
  <si>
    <t>P3462041</t>
  </si>
  <si>
    <t>INV25-26/001328</t>
  </si>
  <si>
    <t>GrnCode38387222</t>
  </si>
  <si>
    <t>P3424929</t>
  </si>
  <si>
    <t>INV25-26/001329</t>
  </si>
  <si>
    <t>GrnCode37934347</t>
  </si>
  <si>
    <t>P3452634</t>
  </si>
  <si>
    <t>INV25-26/001330</t>
  </si>
  <si>
    <t>GrnCode38032915</t>
  </si>
  <si>
    <t>P3426963</t>
  </si>
  <si>
    <t>INV25-26/001331</t>
  </si>
  <si>
    <t>GrnCode38015824</t>
  </si>
  <si>
    <t>P3427082</t>
  </si>
  <si>
    <t>INV25-26/001332</t>
  </si>
  <si>
    <t>GrnCode38032976</t>
  </si>
  <si>
    <t>P3474719</t>
  </si>
  <si>
    <t>INV25-26/001333</t>
  </si>
  <si>
    <t>GrnCode38003660</t>
  </si>
  <si>
    <t>P3474631</t>
  </si>
  <si>
    <t>INV25-26/001334</t>
  </si>
  <si>
    <t>GrnCode38015620</t>
  </si>
  <si>
    <t>P3474704</t>
  </si>
  <si>
    <t>INV25-26/001335</t>
  </si>
  <si>
    <t>GrnCode38187882</t>
  </si>
  <si>
    <t>P3474646</t>
  </si>
  <si>
    <t>INV25-26/001336</t>
  </si>
  <si>
    <t>GrnCode37924680</t>
  </si>
  <si>
    <t>P3428657</t>
  </si>
  <si>
    <t>INV25-26/001337</t>
  </si>
  <si>
    <t>GrnCode37881269</t>
  </si>
  <si>
    <t>P3506442</t>
  </si>
  <si>
    <t>INV25-26/001342</t>
  </si>
  <si>
    <t>GrnCode38176915</t>
  </si>
  <si>
    <t>P3474736</t>
  </si>
  <si>
    <t>INV25-26/001343</t>
  </si>
  <si>
    <t>GrnCode38181305</t>
  </si>
  <si>
    <t>P3502216</t>
  </si>
  <si>
    <t>INV25-26/001344</t>
  </si>
  <si>
    <t>GrnCode38435657</t>
  </si>
  <si>
    <t>P3499103</t>
  </si>
  <si>
    <t>INV25-26/001345</t>
  </si>
  <si>
    <t>GrnCode38188570</t>
  </si>
  <si>
    <t>P3451944</t>
  </si>
  <si>
    <t>INV25-26/001346</t>
  </si>
  <si>
    <t>GrnCode38278156</t>
  </si>
  <si>
    <t>P3538589</t>
  </si>
  <si>
    <t>INV25-26/001347</t>
  </si>
  <si>
    <t>GrnCode38261914</t>
  </si>
  <si>
    <t>P3461526</t>
  </si>
  <si>
    <t>INV25-26/001348</t>
  </si>
  <si>
    <t>GrnCode38261573</t>
  </si>
  <si>
    <t>P3538667</t>
  </si>
  <si>
    <t>INV25-26/001349</t>
  </si>
  <si>
    <t>GrnCode38512753</t>
  </si>
  <si>
    <t>P3502545</t>
  </si>
  <si>
    <t>INV25-26/001350</t>
  </si>
  <si>
    <t>GrnCode38350652</t>
  </si>
  <si>
    <t>P3535734</t>
  </si>
  <si>
    <t>INV25-26/001351</t>
  </si>
  <si>
    <t>GrnCode38664424</t>
  </si>
  <si>
    <t>P3536512</t>
  </si>
  <si>
    <t>INV25-26/001352</t>
  </si>
  <si>
    <t>GrnCode38279219</t>
  </si>
  <si>
    <t>P3499665</t>
  </si>
  <si>
    <t>INV25-26/001353</t>
  </si>
  <si>
    <t>GrnCode38580600</t>
  </si>
  <si>
    <t>P3499936</t>
  </si>
  <si>
    <t>INV25-26/001354</t>
  </si>
  <si>
    <t>GrnCode38407507</t>
  </si>
  <si>
    <t>P3536338</t>
  </si>
  <si>
    <t>INV25-26/001355</t>
  </si>
  <si>
    <t>P3506672</t>
  </si>
  <si>
    <t>INV25-26/001356</t>
  </si>
  <si>
    <t>GrnCode38346248</t>
  </si>
  <si>
    <t>P3538721</t>
  </si>
  <si>
    <t>INV25-26/001357</t>
  </si>
  <si>
    <t>GrnCode38260308</t>
  </si>
  <si>
    <t>P3500874</t>
  </si>
  <si>
    <t>INV25-26/001358</t>
  </si>
  <si>
    <t>GrnCode38270940</t>
  </si>
  <si>
    <t>P3534396</t>
  </si>
  <si>
    <t>INV25-26/001359</t>
  </si>
  <si>
    <t>GrnCode38270085</t>
  </si>
  <si>
    <t>P3537678</t>
  </si>
  <si>
    <t>INV25-26/001360</t>
  </si>
  <si>
    <t>GrnCode38323640</t>
  </si>
  <si>
    <t>P3539211</t>
  </si>
  <si>
    <t>INV25-26/001361</t>
  </si>
  <si>
    <t>GrnCode38385783</t>
  </si>
  <si>
    <t>P3534571</t>
  </si>
  <si>
    <t>INV25-26/001362</t>
  </si>
  <si>
    <t>GrnCode38603578</t>
  </si>
  <si>
    <t>P3537073</t>
  </si>
  <si>
    <t>INV25-26/001363</t>
  </si>
  <si>
    <t>GrnCode38277805</t>
  </si>
  <si>
    <t>P3538902</t>
  </si>
  <si>
    <t>INV25-26/001364</t>
  </si>
  <si>
    <t>GrnCode38356197</t>
  </si>
  <si>
    <t>P3535720</t>
  </si>
  <si>
    <t>INV25-26/001365</t>
  </si>
  <si>
    <t>GrnCode38851369</t>
  </si>
  <si>
    <t>P3535878</t>
  </si>
  <si>
    <t>INV25-26/001366</t>
  </si>
  <si>
    <t>GrnCode39463219</t>
  </si>
  <si>
    <t>P3500090</t>
  </si>
  <si>
    <t>INV25-26/001371</t>
  </si>
  <si>
    <t>GrnCode38364899</t>
  </si>
  <si>
    <t>P3535783</t>
  </si>
  <si>
    <t>INV25-26/001378</t>
  </si>
  <si>
    <t>GrnCode38219815</t>
  </si>
  <si>
    <t>P3584862</t>
  </si>
  <si>
    <t>INV25-26/001391</t>
  </si>
  <si>
    <t>GrnCode38939333</t>
  </si>
  <si>
    <t>P3584270</t>
  </si>
  <si>
    <t>INV25-26/001392</t>
  </si>
  <si>
    <t>GrnCode38927773</t>
  </si>
  <si>
    <t>P3584106</t>
  </si>
  <si>
    <t>INV25-26/001393</t>
  </si>
  <si>
    <t>GrnCode38932010</t>
  </si>
  <si>
    <t>P3583319</t>
  </si>
  <si>
    <t>INV25-26/001394</t>
  </si>
  <si>
    <t>GrnCode39463283</t>
  </si>
  <si>
    <t>P3582822</t>
  </si>
  <si>
    <t>INV25-26/001395</t>
  </si>
  <si>
    <t>GrnCode39106485</t>
  </si>
  <si>
    <t>P3615695</t>
  </si>
  <si>
    <t>INV25-26/001396</t>
  </si>
  <si>
    <t>GrnCode39106598</t>
  </si>
  <si>
    <t>P3583583</t>
  </si>
  <si>
    <t>INV25-26/001397</t>
  </si>
  <si>
    <t>GrnCode39470597</t>
  </si>
  <si>
    <t>P3614851</t>
  </si>
  <si>
    <t>INV25-26/001398</t>
  </si>
  <si>
    <t>GrnCode39470648</t>
  </si>
  <si>
    <t>P3585551</t>
  </si>
  <si>
    <t>INV25-26/001399</t>
  </si>
  <si>
    <t>GrnCode39465715</t>
  </si>
  <si>
    <t>P3614269</t>
  </si>
  <si>
    <t>INV25-26/001400</t>
  </si>
  <si>
    <t>GrnCode39465056</t>
  </si>
  <si>
    <t>P3582776</t>
  </si>
  <si>
    <t>INV25-26/001401</t>
  </si>
  <si>
    <t>GrnCode39188574</t>
  </si>
  <si>
    <t>P3618176</t>
  </si>
  <si>
    <t>INV25-26/001402</t>
  </si>
  <si>
    <t>GrnCode39198513</t>
  </si>
  <si>
    <t>P3583026</t>
  </si>
  <si>
    <t>INV25-26/001403</t>
  </si>
  <si>
    <t>GrnCode38930045</t>
  </si>
  <si>
    <t>P3595250</t>
  </si>
  <si>
    <t>INV25-26/001404</t>
  </si>
  <si>
    <t>GrnCode38929967</t>
  </si>
  <si>
    <t>P3584537</t>
  </si>
  <si>
    <t>INV25-26/001405</t>
  </si>
  <si>
    <t>GrnCode40121561</t>
  </si>
  <si>
    <t>P3618212</t>
  </si>
  <si>
    <t>INV25-26/001406</t>
  </si>
  <si>
    <t>GrnCode40121649</t>
  </si>
  <si>
    <t>P3583607</t>
  </si>
  <si>
    <t>INV25-26/001407</t>
  </si>
  <si>
    <t>GrnCode38941009</t>
  </si>
  <si>
    <t>P3585354</t>
  </si>
  <si>
    <t>INV25-26/001408</t>
  </si>
  <si>
    <t>GrnCode38932738</t>
  </si>
  <si>
    <t>P3614960</t>
  </si>
  <si>
    <t>INV25-26/001409</t>
  </si>
  <si>
    <t>GrnCode39640238</t>
  </si>
  <si>
    <t>P3585306</t>
  </si>
  <si>
    <t>INV25-26/001410</t>
  </si>
  <si>
    <t>GrnCode39181260</t>
  </si>
  <si>
    <t>P3618923</t>
  </si>
  <si>
    <t>INV25-26/001411</t>
  </si>
  <si>
    <t>GrnCode39470740</t>
  </si>
  <si>
    <t>P3567873</t>
  </si>
  <si>
    <t>INV25-26/001416</t>
  </si>
  <si>
    <t>GrnCode39087453</t>
  </si>
  <si>
    <t>P3615549</t>
  </si>
  <si>
    <t>INV25-26/001417</t>
  </si>
  <si>
    <t>GrnCode39079947</t>
  </si>
  <si>
    <t>CLS CLaim</t>
  </si>
  <si>
    <t>P3595080</t>
  </si>
  <si>
    <t>INV25-26/001418</t>
  </si>
  <si>
    <t>GrnCode39143765</t>
  </si>
  <si>
    <t>P3594495</t>
  </si>
  <si>
    <t>INV25-26/001419</t>
  </si>
  <si>
    <t>GrnCode39106765</t>
  </si>
  <si>
    <t>P3619569</t>
  </si>
  <si>
    <t>INV25-26/001420</t>
  </si>
  <si>
    <t>GrnCode39107212</t>
  </si>
  <si>
    <t>P3645448</t>
  </si>
  <si>
    <t>INV25-26/001421</t>
  </si>
  <si>
    <t>GrnCode39076661</t>
  </si>
  <si>
    <t>P3568004</t>
  </si>
  <si>
    <t>INV25-26/001425</t>
  </si>
  <si>
    <t>GrnCode39088584</t>
  </si>
  <si>
    <t>P3618492</t>
  </si>
  <si>
    <t>INV25-26/001426</t>
  </si>
  <si>
    <t>GrnCode39454237</t>
  </si>
  <si>
    <t>P3567988</t>
  </si>
  <si>
    <t>INV25-26/001427</t>
  </si>
  <si>
    <t>GrnCode39196269</t>
  </si>
  <si>
    <t>P3474671</t>
  </si>
  <si>
    <t>INV25-26/001428</t>
  </si>
  <si>
    <t>GrnCode38897093</t>
  </si>
  <si>
    <t>P3567916</t>
  </si>
  <si>
    <t>INV25-26/001429</t>
  </si>
  <si>
    <t>GrnCode38897244</t>
  </si>
  <si>
    <t>P3583847</t>
  </si>
  <si>
    <t>INV25-26/001430</t>
  </si>
  <si>
    <t>GrnCode38896981</t>
  </si>
  <si>
    <t>P3615889</t>
  </si>
  <si>
    <t>INV25-26/001431</t>
  </si>
  <si>
    <t>GrnCode39980805</t>
  </si>
  <si>
    <t>P3567861</t>
  </si>
  <si>
    <t>INV25-26/001432</t>
  </si>
  <si>
    <t>GrnCode39450203</t>
  </si>
  <si>
    <t>P3567847</t>
  </si>
  <si>
    <t>INV25-26/001433</t>
  </si>
  <si>
    <t>GrnCode39191909</t>
  </si>
  <si>
    <t>P3672791</t>
  </si>
  <si>
    <t>INV25-26/001439</t>
  </si>
  <si>
    <t>Direct</t>
  </si>
  <si>
    <t>P3672792</t>
  </si>
  <si>
    <t>INV25-26/001440</t>
  </si>
  <si>
    <t>GrnCode39887266</t>
  </si>
  <si>
    <t>P3672793</t>
  </si>
  <si>
    <t>INV25-26/001441</t>
  </si>
  <si>
    <t>P3672794</t>
  </si>
  <si>
    <t>INV25-26/001442</t>
  </si>
  <si>
    <t>P3672795</t>
  </si>
  <si>
    <t>INV25-26/001443</t>
  </si>
  <si>
    <t>P3672796</t>
  </si>
  <si>
    <t>INV25-26/001444</t>
  </si>
  <si>
    <t>GrnCode39340448</t>
  </si>
  <si>
    <t>P3672797</t>
  </si>
  <si>
    <t>INV25-26/001445</t>
  </si>
  <si>
    <t>P3672798</t>
  </si>
  <si>
    <t>INV25-26/001446</t>
  </si>
  <si>
    <t>P3567801</t>
  </si>
  <si>
    <t>INV25-26/001452</t>
  </si>
  <si>
    <t>GrnCode39461831</t>
  </si>
  <si>
    <t>P3474698</t>
  </si>
  <si>
    <t>INV25-26/001453</t>
  </si>
  <si>
    <t>GrnCode39461676</t>
  </si>
  <si>
    <t>P3474740</t>
  </si>
  <si>
    <t>INV25-26/001454</t>
  </si>
  <si>
    <t>GrnCode39455886</t>
  </si>
  <si>
    <t>P3567904</t>
  </si>
  <si>
    <t>INV25-26/001455</t>
  </si>
  <si>
    <t>GrnCode39627924</t>
  </si>
  <si>
    <t>P3567939</t>
  </si>
  <si>
    <t>INV25-26/001456</t>
  </si>
  <si>
    <t>GrnCode40053530</t>
  </si>
  <si>
    <t>P3474678</t>
  </si>
  <si>
    <t>INV25-26/001457</t>
  </si>
  <si>
    <t>GrnCode39863834</t>
  </si>
  <si>
    <t>P3679489</t>
  </si>
  <si>
    <t>INV25-26/001460</t>
  </si>
  <si>
    <t>GrnCode39807306</t>
  </si>
  <si>
    <t>P3583730</t>
  </si>
  <si>
    <t>INV25-26/001462</t>
  </si>
  <si>
    <t>GrnCode40097697</t>
  </si>
  <si>
    <t>P3616778</t>
  </si>
  <si>
    <t>INV25-26/001463</t>
  </si>
  <si>
    <t>GrnCode39757566</t>
  </si>
  <si>
    <t>P3692104</t>
  </si>
  <si>
    <t>INV25-26/001464</t>
  </si>
  <si>
    <t>GrnCode39758004</t>
  </si>
  <si>
    <t>P3618397</t>
  </si>
  <si>
    <t>INV25-26/001465</t>
  </si>
  <si>
    <t>GrnCode39792040</t>
  </si>
  <si>
    <t>P3676175</t>
  </si>
  <si>
    <t>INV25-26/001466</t>
  </si>
  <si>
    <t>GrnCode39783481</t>
  </si>
  <si>
    <t>P3582894</t>
  </si>
  <si>
    <t>INV25-26/001467</t>
  </si>
  <si>
    <t>GrnCode39640203</t>
  </si>
  <si>
    <t>P3679280</t>
  </si>
  <si>
    <t>INV25-26/001468</t>
  </si>
  <si>
    <t>GrnCode39991661</t>
  </si>
  <si>
    <t>P3694254</t>
  </si>
  <si>
    <t>INV25-26/001469</t>
  </si>
  <si>
    <t>GrnCode39458735</t>
  </si>
  <si>
    <t>P3678830</t>
  </si>
  <si>
    <t>INV25-26/001470</t>
  </si>
  <si>
    <t>GrnCode39794643</t>
  </si>
  <si>
    <t>P3681143</t>
  </si>
  <si>
    <t>INV25-26/001471</t>
  </si>
  <si>
    <t>GrnCode40911708</t>
  </si>
  <si>
    <t>P3692310</t>
  </si>
  <si>
    <t>INV25-26/001472</t>
  </si>
  <si>
    <t>GrnCode39733352</t>
  </si>
  <si>
    <t>P3567882</t>
  </si>
  <si>
    <t>INV25-26/001474</t>
  </si>
  <si>
    <t>GrnCode40400326</t>
  </si>
  <si>
    <t>P3612920</t>
  </si>
  <si>
    <t>INV25-26/001475</t>
  </si>
  <si>
    <t>GrnCode40400278</t>
  </si>
  <si>
    <t>P3474707</t>
  </si>
  <si>
    <t>INV25-26/001476</t>
  </si>
  <si>
    <t>GrnCode40574147</t>
  </si>
  <si>
    <t>P3567709</t>
  </si>
  <si>
    <t>INV25-26/001477</t>
  </si>
  <si>
    <t>GrnCode40559136</t>
  </si>
  <si>
    <t>P3683354</t>
  </si>
  <si>
    <t>INV25-26/001478</t>
  </si>
  <si>
    <t>GrnCode39888488</t>
  </si>
  <si>
    <t>P3682127</t>
  </si>
  <si>
    <t>INV25-26/001479</t>
  </si>
  <si>
    <t>GrnCode39709545</t>
  </si>
  <si>
    <t>P3692348</t>
  </si>
  <si>
    <t>INV25-26/001480</t>
  </si>
  <si>
    <t>GrnCode39710236</t>
  </si>
  <si>
    <t>P3682680</t>
  </si>
  <si>
    <t>INV25-26/001481</t>
  </si>
  <si>
    <t>GrnCode40244902</t>
  </si>
  <si>
    <t>P3691986</t>
  </si>
  <si>
    <t>INV25-26/001482</t>
  </si>
  <si>
    <t>GrnCode40244700</t>
  </si>
  <si>
    <t>P3680338</t>
  </si>
  <si>
    <t>INV25-26/001483</t>
  </si>
  <si>
    <t>GrnCode39713171</t>
  </si>
  <si>
    <t>P3692329</t>
  </si>
  <si>
    <t>INV25-26/001484</t>
  </si>
  <si>
    <t>GrnCode39713009</t>
  </si>
  <si>
    <t>P3683202</t>
  </si>
  <si>
    <t>INV25-26/001485</t>
  </si>
  <si>
    <t>GrnCode40314071</t>
  </si>
  <si>
    <t>P3680137</t>
  </si>
  <si>
    <t>INV25-26/001487</t>
  </si>
  <si>
    <t>GrnCode39725435</t>
  </si>
  <si>
    <t xml:space="preserve"> P3679211</t>
  </si>
  <si>
    <t>INV25-26/001488</t>
  </si>
  <si>
    <t>GrnCode39734187</t>
  </si>
  <si>
    <t>P3685121</t>
  </si>
  <si>
    <t>INV25-26/001489</t>
  </si>
  <si>
    <t>GrnCode39614843</t>
  </si>
  <si>
    <t>P3680247</t>
  </si>
  <si>
    <t>INV25-26/001490</t>
  </si>
  <si>
    <t>GrnCode40179042</t>
  </si>
  <si>
    <t>P3679581</t>
  </si>
  <si>
    <t>INV25-26/001491</t>
  </si>
  <si>
    <t>GrnCode39790743</t>
  </si>
  <si>
    <t>P3683845</t>
  </si>
  <si>
    <t>INV25-26/001492</t>
  </si>
  <si>
    <t>GrnCode40647187</t>
  </si>
  <si>
    <t>P3681997</t>
  </si>
  <si>
    <t>INV25-26/001493</t>
  </si>
  <si>
    <t>GrnCode39633062</t>
  </si>
  <si>
    <t>P3703990</t>
  </si>
  <si>
    <t>INV25-26/001494</t>
  </si>
  <si>
    <t>GrnCode39986450</t>
  </si>
  <si>
    <t>P3713337</t>
  </si>
  <si>
    <t>INV25-26/001503</t>
  </si>
  <si>
    <t>GrnCode39458802</t>
  </si>
  <si>
    <t>P3727744</t>
  </si>
  <si>
    <t>INV25-26/001506</t>
  </si>
  <si>
    <t>GrnCode40238110</t>
  </si>
  <si>
    <t>P3726432</t>
  </si>
  <si>
    <t>INV25-26/001507</t>
  </si>
  <si>
    <t>GrnCode40654129</t>
  </si>
  <si>
    <t>P3724673</t>
  </si>
  <si>
    <t>INV25-26/001508</t>
  </si>
  <si>
    <t>GrnCode44509153</t>
  </si>
  <si>
    <t>P3724298</t>
  </si>
  <si>
    <t>INV25-26/001509</t>
  </si>
  <si>
    <t>GrnCode40667462</t>
  </si>
  <si>
    <t>P3723757</t>
  </si>
  <si>
    <t>INV25-26/001510</t>
  </si>
  <si>
    <t>GrnCode40241239</t>
  </si>
  <si>
    <t>P3723170</t>
  </si>
  <si>
    <t>INV25-26/001511</t>
  </si>
  <si>
    <t>GrnCode41002979</t>
  </si>
  <si>
    <t>P3729761</t>
  </si>
  <si>
    <t>INV25-26/001512</t>
  </si>
  <si>
    <t>GrnCode40314495</t>
  </si>
  <si>
    <t>P3725071</t>
  </si>
  <si>
    <t>INV25-26/001515</t>
  </si>
  <si>
    <t>GrnCode40136721</t>
  </si>
  <si>
    <t>P3724817</t>
  </si>
  <si>
    <t>INV25-26/001516</t>
  </si>
  <si>
    <t>GrnCode39949871</t>
  </si>
  <si>
    <t>P3723394</t>
  </si>
  <si>
    <t>INV25-26/001517</t>
  </si>
  <si>
    <t>GrnCode40394198</t>
  </si>
  <si>
    <t>P3727872</t>
  </si>
  <si>
    <t>INV25-26/001518</t>
  </si>
  <si>
    <t>GrnCode40136774</t>
  </si>
  <si>
    <t>P3730723</t>
  </si>
  <si>
    <t>INV25-26/001519</t>
  </si>
  <si>
    <t>GrnCode39971658</t>
  </si>
  <si>
    <t>CLS Claim</t>
  </si>
  <si>
    <t>P3730913</t>
  </si>
  <si>
    <t>INV25-26/001520</t>
  </si>
  <si>
    <t>GrnCode39975943</t>
  </si>
  <si>
    <t>P3727743</t>
  </si>
  <si>
    <t>INV25-26/001523</t>
  </si>
  <si>
    <t xml:space="preserve">BLR - nelamangala </t>
  </si>
  <si>
    <t>GrnCode40074938</t>
  </si>
  <si>
    <t>P3729839</t>
  </si>
  <si>
    <t>INV25-26/001524</t>
  </si>
  <si>
    <t>GrnCode40052547</t>
  </si>
  <si>
    <t>P3730515</t>
  </si>
  <si>
    <t>INV25-26/001525</t>
  </si>
  <si>
    <t>GrnCode40389940</t>
  </si>
  <si>
    <t>P3725951</t>
  </si>
  <si>
    <t>INV25-26/001526</t>
  </si>
  <si>
    <t>GrnCode40311536</t>
  </si>
  <si>
    <t>P3728227</t>
  </si>
  <si>
    <t>INV25-26/001527</t>
  </si>
  <si>
    <t>GrnCode40311479</t>
  </si>
  <si>
    <t>P3730353</t>
  </si>
  <si>
    <t>INV25-26/001528</t>
  </si>
  <si>
    <t>GrnCode39963970</t>
  </si>
  <si>
    <t>P3729119</t>
  </si>
  <si>
    <t>INV25-26/001529</t>
  </si>
  <si>
    <t>GrnCode40057985</t>
  </si>
  <si>
    <t>P3746457</t>
  </si>
  <si>
    <t>INV25-26/001530</t>
  </si>
  <si>
    <t>GrnCode40047361</t>
  </si>
  <si>
    <t>P3746245</t>
  </si>
  <si>
    <t>INV25-26/001531</t>
  </si>
  <si>
    <t>GrnCode40075213</t>
  </si>
  <si>
    <t>P3746452</t>
  </si>
  <si>
    <t>INV25-26/001533</t>
  </si>
  <si>
    <t>GrnCode40148222</t>
  </si>
  <si>
    <t>P3728131</t>
  </si>
  <si>
    <t>INV25-26/001535</t>
  </si>
  <si>
    <t>GrnCode40394567</t>
  </si>
  <si>
    <t>P3730803</t>
  </si>
  <si>
    <t>INV25-26/001536</t>
  </si>
  <si>
    <t>GrnCode40564591</t>
  </si>
  <si>
    <t>P3726823</t>
  </si>
  <si>
    <t>INV25-26/001537</t>
  </si>
  <si>
    <t>GrnCode39985706</t>
  </si>
  <si>
    <t>P3730488</t>
  </si>
  <si>
    <t>INV25-26/001538</t>
  </si>
  <si>
    <t>GrnCode39991018</t>
  </si>
  <si>
    <t>P3760231</t>
  </si>
  <si>
    <t>INV25-26/001539</t>
  </si>
  <si>
    <t>GrnCode39991137</t>
  </si>
  <si>
    <t>P3746479</t>
  </si>
  <si>
    <t>INV25-26/001540</t>
  </si>
  <si>
    <t>GrnCode39986267</t>
  </si>
  <si>
    <t>P3770619</t>
  </si>
  <si>
    <t>INV25-26/001541</t>
  </si>
  <si>
    <t>GrnCode39986347</t>
  </si>
  <si>
    <t>P3781451</t>
  </si>
  <si>
    <t>INV25-26/001542</t>
  </si>
  <si>
    <t>GrnCode39991417</t>
  </si>
  <si>
    <t>P3724868</t>
  </si>
  <si>
    <t>INV25-26/001543</t>
  </si>
  <si>
    <t>GrnCode40666324</t>
  </si>
  <si>
    <t>P3725704</t>
  </si>
  <si>
    <t>INV25-26/001544</t>
  </si>
  <si>
    <t>GrnCode41335389</t>
  </si>
  <si>
    <t>P3723147</t>
  </si>
  <si>
    <t>INV25-26/001545</t>
  </si>
  <si>
    <t>GrnCode41240599</t>
  </si>
  <si>
    <t>Short GRN</t>
  </si>
  <si>
    <t>P3746388</t>
  </si>
  <si>
    <t>INV25-26/001546</t>
  </si>
  <si>
    <t>GrnCode42635756</t>
  </si>
  <si>
    <t>P3725869</t>
  </si>
  <si>
    <t>INV25-26/001547</t>
  </si>
  <si>
    <t>GrnCode40740737</t>
  </si>
  <si>
    <t>P3725258</t>
  </si>
  <si>
    <t>INV25-26/001548</t>
  </si>
  <si>
    <t>GrnCode40571780</t>
  </si>
  <si>
    <t>P3785500</t>
  </si>
  <si>
    <t>INV25-26/001549</t>
  </si>
  <si>
    <t>GrnCode40399938</t>
  </si>
  <si>
    <t>P3781048</t>
  </si>
  <si>
    <t>INV25-26/001550</t>
  </si>
  <si>
    <t>GrnCode40586912</t>
  </si>
  <si>
    <t>P3781555</t>
  </si>
  <si>
    <t>INV25-26/001551</t>
  </si>
  <si>
    <t>GrnCode40571506</t>
  </si>
  <si>
    <t>P3782924</t>
  </si>
  <si>
    <t>INV25-26/001552</t>
  </si>
  <si>
    <t>GrnCode40551065</t>
  </si>
  <si>
    <t>P3782620</t>
  </si>
  <si>
    <t>INV25-26/001553</t>
  </si>
  <si>
    <t>Jaipur</t>
  </si>
  <si>
    <t>GrnCode40568189</t>
  </si>
  <si>
    <t>P3805273</t>
  </si>
  <si>
    <t>INV25-26/001554</t>
  </si>
  <si>
    <t>GrnCode40835643</t>
  </si>
  <si>
    <t>1 box damaged on Delivery</t>
  </si>
  <si>
    <t>P3805255</t>
  </si>
  <si>
    <t>INV25-26/001555</t>
  </si>
  <si>
    <t>GrnCode40461273</t>
  </si>
  <si>
    <t>P3806720</t>
  </si>
  <si>
    <t>INV25-26/001556</t>
  </si>
  <si>
    <t>GrnCode40572288</t>
  </si>
  <si>
    <t>P3782868</t>
  </si>
  <si>
    <t>INV25-26/001557</t>
  </si>
  <si>
    <t>GrnCode40824044</t>
  </si>
  <si>
    <t>P3783966</t>
  </si>
  <si>
    <t>INV25-26/001558</t>
  </si>
  <si>
    <t>GrnCode40524088</t>
  </si>
  <si>
    <t>P3803682</t>
  </si>
  <si>
    <t>INV25-26/001560</t>
  </si>
  <si>
    <t>GrnCode40671432</t>
  </si>
  <si>
    <t>P3806888</t>
  </si>
  <si>
    <t>INV25-26/001562</t>
  </si>
  <si>
    <t>GrnCode40650599</t>
  </si>
  <si>
    <t>P3785050</t>
  </si>
  <si>
    <t>INV25-26/001563</t>
  </si>
  <si>
    <t>GrnCode40920397</t>
  </si>
  <si>
    <t>P3783140</t>
  </si>
  <si>
    <t>INV25-26/001564</t>
  </si>
  <si>
    <t>GrnCode41063514</t>
  </si>
  <si>
    <t xml:space="preserve">Short GRN, requested POD </t>
  </si>
  <si>
    <t>P3783657</t>
  </si>
  <si>
    <t>INV25-26/001565</t>
  </si>
  <si>
    <t>GrnCode41057761</t>
  </si>
  <si>
    <t>P3783832</t>
  </si>
  <si>
    <t>INV25-26/001566</t>
  </si>
  <si>
    <t>GrnCode40739312</t>
  </si>
  <si>
    <t>P3807286</t>
  </si>
  <si>
    <t>INV25-26/001567</t>
  </si>
  <si>
    <t>GrnCode41125325</t>
  </si>
  <si>
    <t>Product description mismatch emailed Ram</t>
  </si>
  <si>
    <t>P3815009</t>
  </si>
  <si>
    <t>INV25-26/001568</t>
  </si>
  <si>
    <t>GrnCode40919896</t>
  </si>
  <si>
    <t>P3815383</t>
  </si>
  <si>
    <t>INV25-26/001569</t>
  </si>
  <si>
    <t>GrnCode40500872</t>
  </si>
  <si>
    <t>P3815778</t>
  </si>
  <si>
    <t>INV25-26/001570</t>
  </si>
  <si>
    <t>GrnCode40824022</t>
  </si>
  <si>
    <t>P3815869</t>
  </si>
  <si>
    <t>INV25-26/001571</t>
  </si>
  <si>
    <t>GrnCode40829707</t>
  </si>
  <si>
    <t>P3816573</t>
  </si>
  <si>
    <t>INV25-26/001572</t>
  </si>
  <si>
    <t>GrnCode40828508</t>
  </si>
  <si>
    <t>P3816605</t>
  </si>
  <si>
    <t>INV25-26/001573</t>
  </si>
  <si>
    <t>GrnCode40897191</t>
  </si>
  <si>
    <t>P3817586</t>
  </si>
  <si>
    <t>INV25-26/001574</t>
  </si>
  <si>
    <t>GrnCode40807960</t>
  </si>
  <si>
    <t>P3782038</t>
  </si>
  <si>
    <t>INV25-26/001575</t>
  </si>
  <si>
    <t>GrnCode40923320</t>
  </si>
  <si>
    <t>P3817137</t>
  </si>
  <si>
    <t>INV25-26/001576</t>
  </si>
  <si>
    <t xml:space="preserve">Chennai Old </t>
  </si>
  <si>
    <t>GrnCode40906252</t>
  </si>
  <si>
    <t>P3820677</t>
  </si>
  <si>
    <t>INV25-26/001577</t>
  </si>
  <si>
    <t>GrnCode41255936</t>
  </si>
  <si>
    <t xml:space="preserve">No cookie supplied , POD pending </t>
  </si>
  <si>
    <t>P3830184</t>
  </si>
  <si>
    <t>INV25-26/001578</t>
  </si>
  <si>
    <t>GrnCode40835759</t>
  </si>
  <si>
    <t>P3830106</t>
  </si>
  <si>
    <t>INV25-26/001579</t>
  </si>
  <si>
    <t>GrnCode40809112</t>
  </si>
  <si>
    <t>P3830072</t>
  </si>
  <si>
    <t>INV25-26/001580</t>
  </si>
  <si>
    <t>GrnCode40825238</t>
  </si>
  <si>
    <t>P3785009</t>
  </si>
  <si>
    <t>INV25-26/001581</t>
  </si>
  <si>
    <t>GrnCode40905179</t>
  </si>
  <si>
    <t>P3815159</t>
  </si>
  <si>
    <t>INV25-26/001582</t>
  </si>
  <si>
    <t>GrnCode40915932</t>
  </si>
  <si>
    <t>Email raised for short GRN</t>
  </si>
  <si>
    <t>P3816406</t>
  </si>
  <si>
    <t>INV25-26/001583</t>
  </si>
  <si>
    <t>P3816900</t>
  </si>
  <si>
    <t>INV25-26/001584</t>
  </si>
  <si>
    <t>GrnCode40916395</t>
  </si>
  <si>
    <t>P3820367</t>
  </si>
  <si>
    <t>INV25-26/001585</t>
  </si>
  <si>
    <t>GrnCode41611186</t>
  </si>
  <si>
    <t>P3803733</t>
  </si>
  <si>
    <t>INV25-26/001586</t>
  </si>
  <si>
    <t>GrnCode40501159</t>
  </si>
  <si>
    <t>P3825565</t>
  </si>
  <si>
    <t>INV25-26/001587</t>
  </si>
  <si>
    <t>GrnCode40501138</t>
  </si>
  <si>
    <t>P3832884</t>
  </si>
  <si>
    <t>INV25-26/001588</t>
  </si>
  <si>
    <t>GrnCode40500837</t>
  </si>
  <si>
    <t>P3816380</t>
  </si>
  <si>
    <t>INV25-26/001589</t>
  </si>
  <si>
    <t>GrnCode41176353</t>
  </si>
  <si>
    <t>P3783802</t>
  </si>
  <si>
    <t>INV25-26/001590</t>
  </si>
  <si>
    <t>GrnCode41203279</t>
  </si>
  <si>
    <t xml:space="preserve">Excess in 1598 and less in 1590 </t>
  </si>
  <si>
    <t>P3847484</t>
  </si>
  <si>
    <t>INV25-26/001591</t>
  </si>
  <si>
    <t>GrnCode41254501</t>
  </si>
  <si>
    <t>P3849120</t>
  </si>
  <si>
    <t>INV25-26/001592</t>
  </si>
  <si>
    <t>GrnCode41149311</t>
  </si>
  <si>
    <t>P3849011</t>
  </si>
  <si>
    <t>INV25-26/001593</t>
  </si>
  <si>
    <t>GrnCode41316318</t>
  </si>
  <si>
    <t>P3855359</t>
  </si>
  <si>
    <t>INV25-26/001594</t>
  </si>
  <si>
    <t>P3844784</t>
  </si>
  <si>
    <t>INV25-26/001595</t>
  </si>
  <si>
    <t>GrnCode41336525</t>
  </si>
  <si>
    <t>P3855375</t>
  </si>
  <si>
    <t>INV25-26/001596</t>
  </si>
  <si>
    <t>GrnCode41336500</t>
  </si>
  <si>
    <t>P3844800</t>
  </si>
  <si>
    <t>INV25-26/001597</t>
  </si>
  <si>
    <t>GrnCode41702935</t>
  </si>
  <si>
    <t>P3847012</t>
  </si>
  <si>
    <t>INV25-26/001598</t>
  </si>
  <si>
    <t>GrnCode41094641</t>
  </si>
  <si>
    <t>Short GRN, 1 box lost by CLS</t>
  </si>
  <si>
    <t>P3846255</t>
  </si>
  <si>
    <t>INV25-26/001599</t>
  </si>
  <si>
    <t>GrnCode41171079</t>
  </si>
  <si>
    <t>P3855349</t>
  </si>
  <si>
    <t>INV25-26/001600</t>
  </si>
  <si>
    <t>GrnCode41164273</t>
  </si>
  <si>
    <t>P3846971</t>
  </si>
  <si>
    <t>INV25-26/001601</t>
  </si>
  <si>
    <t>HYD-MH 3</t>
  </si>
  <si>
    <t>GrnCode41325975</t>
  </si>
  <si>
    <t>P3847092</t>
  </si>
  <si>
    <t>INV25-26/001602</t>
  </si>
  <si>
    <t>GrnCode41310500</t>
  </si>
  <si>
    <t>P3847011</t>
  </si>
  <si>
    <t>INV25-26/001603</t>
  </si>
  <si>
    <t>GrnCode41247936</t>
  </si>
  <si>
    <t>P3855422</t>
  </si>
  <si>
    <t>INV25-26/001604</t>
  </si>
  <si>
    <t>GrnCode41311356</t>
  </si>
  <si>
    <t>P3846370</t>
  </si>
  <si>
    <t>INV25-26/001605</t>
  </si>
  <si>
    <t>GrnCode41311224</t>
  </si>
  <si>
    <t>P3847930</t>
  </si>
  <si>
    <t>INV25-26/001612</t>
  </si>
  <si>
    <t>GrnCode43072038</t>
  </si>
  <si>
    <t>P3846143</t>
  </si>
  <si>
    <t>INV25-26/001613</t>
  </si>
  <si>
    <t>GrnCode41500323</t>
  </si>
  <si>
    <t>P3880608</t>
  </si>
  <si>
    <t>INV25-26/001614</t>
  </si>
  <si>
    <t>GrnCode41500840</t>
  </si>
  <si>
    <t>P3855388</t>
  </si>
  <si>
    <t>INV25-26/001615</t>
  </si>
  <si>
    <t>GrnCode41330878</t>
  </si>
  <si>
    <t>P3848049</t>
  </si>
  <si>
    <t>INV25-26/001616</t>
  </si>
  <si>
    <t>GrnCode41667575</t>
  </si>
  <si>
    <t>P3855419</t>
  </si>
  <si>
    <t>INV25-26/001617</t>
  </si>
  <si>
    <t>GrnCode41240459</t>
  </si>
  <si>
    <t>P3874502</t>
  </si>
  <si>
    <t>INV25-26/001618</t>
  </si>
  <si>
    <t>GrnCode41426244</t>
  </si>
  <si>
    <t>P3882340</t>
  </si>
  <si>
    <t>INV25-26/001619</t>
  </si>
  <si>
    <t>GrnCode41411661</t>
  </si>
  <si>
    <t>P3882018</t>
  </si>
  <si>
    <t>INV25-26/001620</t>
  </si>
  <si>
    <t>GrnCode41592668</t>
  </si>
  <si>
    <t>P3881590</t>
  </si>
  <si>
    <t>INV25-26/001621</t>
  </si>
  <si>
    <t>GrnCode41442236</t>
  </si>
  <si>
    <t>Short GRN, asked ankit for POD</t>
  </si>
  <si>
    <t>P3880303</t>
  </si>
  <si>
    <t>INV25-26/001622</t>
  </si>
  <si>
    <t>GrnCode41503521</t>
  </si>
  <si>
    <t>P3880285</t>
  </si>
  <si>
    <t>INV25-26/001623</t>
  </si>
  <si>
    <t>GrnCode41683518</t>
  </si>
  <si>
    <t>P3882133</t>
  </si>
  <si>
    <t>INV25-26/001624</t>
  </si>
  <si>
    <t>GrnCode42285255</t>
  </si>
  <si>
    <t>P3880205</t>
  </si>
  <si>
    <t>INV25-26/001625</t>
  </si>
  <si>
    <t xml:space="preserve">faridabad </t>
  </si>
  <si>
    <t>DP</t>
  </si>
  <si>
    <t>GrnCode42717144</t>
  </si>
  <si>
    <t>P3881248</t>
  </si>
  <si>
    <t>INV25-26/001626</t>
  </si>
  <si>
    <t>GrnCode41592060</t>
  </si>
  <si>
    <t>P3847571</t>
  </si>
  <si>
    <t>INV25-26/001627</t>
  </si>
  <si>
    <t>GrnCode41591657</t>
  </si>
  <si>
    <t>P3882201</t>
  </si>
  <si>
    <t>INV25-26/001628</t>
  </si>
  <si>
    <t>GrnCode41422811</t>
  </si>
  <si>
    <t>P3881656</t>
  </si>
  <si>
    <t>INV25-26/001629</t>
  </si>
  <si>
    <t>GrnCode41388852</t>
  </si>
  <si>
    <t>P3855376</t>
  </si>
  <si>
    <t>INV25-26/001630</t>
  </si>
  <si>
    <t>GrnCode47394645</t>
  </si>
  <si>
    <t>P3855346</t>
  </si>
  <si>
    <t>INV25-26/001631</t>
  </si>
  <si>
    <t>GrnCode41426283</t>
  </si>
  <si>
    <t>P3855357</t>
  </si>
  <si>
    <t>INV25-26/001632</t>
  </si>
  <si>
    <t>GrnCode41354232</t>
  </si>
  <si>
    <t>P3879918</t>
  </si>
  <si>
    <t>INV25-26/001633</t>
  </si>
  <si>
    <t>GrnCode41659789</t>
  </si>
  <si>
    <t>P3880504</t>
  </si>
  <si>
    <t>INV25-26/001634</t>
  </si>
  <si>
    <t>GrnCode41454895</t>
  </si>
  <si>
    <t xml:space="preserve">Short GRN , asked ankit for POD </t>
  </si>
  <si>
    <t>P3855315</t>
  </si>
  <si>
    <t>INV25-26/001635</t>
  </si>
  <si>
    <t>GrnCode41929315</t>
  </si>
  <si>
    <t>P3844700</t>
  </si>
  <si>
    <t>INV25-26/001636</t>
  </si>
  <si>
    <t>GrnCode41079700</t>
  </si>
  <si>
    <t>P3855437</t>
  </si>
  <si>
    <t>INV25-26/001637</t>
  </si>
  <si>
    <t>GrnCode41079799</t>
  </si>
  <si>
    <t>P3863205</t>
  </si>
  <si>
    <t>INV25-26/001638</t>
  </si>
  <si>
    <t>GrnCode41075789</t>
  </si>
  <si>
    <t>P3874459</t>
  </si>
  <si>
    <t>INV25-26/001639</t>
  </si>
  <si>
    <t>GrnCode41079612</t>
  </si>
  <si>
    <t>P3881345</t>
  </si>
  <si>
    <t>INV25-26/001640</t>
  </si>
  <si>
    <t>GrnCode41075674</t>
  </si>
  <si>
    <t>P3889890</t>
  </si>
  <si>
    <t>INV25-26/001641</t>
  </si>
  <si>
    <t>GrnCode41075897</t>
  </si>
  <si>
    <t>P3855342</t>
  </si>
  <si>
    <t>INV25-26/001654</t>
  </si>
  <si>
    <t>GrnCode41570165</t>
  </si>
  <si>
    <t>P3882575</t>
  </si>
  <si>
    <t>INV25-26/001658</t>
  </si>
  <si>
    <t>GrnCode41930978</t>
  </si>
  <si>
    <t>P3901646</t>
  </si>
  <si>
    <t>INV25-26/001659</t>
  </si>
  <si>
    <t>GrnCode41854019</t>
  </si>
  <si>
    <t>P3900428</t>
  </si>
  <si>
    <t>INV25-26/001660</t>
  </si>
  <si>
    <t>Chennai - THIRUVALLUR</t>
  </si>
  <si>
    <t>GrnCode42150976</t>
  </si>
  <si>
    <t>P3901929</t>
  </si>
  <si>
    <t>INV25-26/001661</t>
  </si>
  <si>
    <t>P3899486</t>
  </si>
  <si>
    <t>INV25-26/001662</t>
  </si>
  <si>
    <t>GrnCode42259197</t>
  </si>
  <si>
    <t>P3901320</t>
  </si>
  <si>
    <t>INV25-26/001663</t>
  </si>
  <si>
    <t>GrnCode41843935</t>
  </si>
  <si>
    <t>P3899698</t>
  </si>
  <si>
    <t>INV25-26/001664</t>
  </si>
  <si>
    <t xml:space="preserve">MUM - Global </t>
  </si>
  <si>
    <t>GrnCode41765040</t>
  </si>
  <si>
    <t>P3901515</t>
  </si>
  <si>
    <t>INV25-26/001665</t>
  </si>
  <si>
    <t>GrnCode41770438</t>
  </si>
  <si>
    <t>P3929828</t>
  </si>
  <si>
    <t>INV25-26/001667</t>
  </si>
  <si>
    <t>GrnCode42454207</t>
  </si>
  <si>
    <t>P3929227</t>
  </si>
  <si>
    <t>INV25-26/001668</t>
  </si>
  <si>
    <t>GrnCode42257403</t>
  </si>
  <si>
    <t>P3928781</t>
  </si>
  <si>
    <t>INV25-26/001669</t>
  </si>
  <si>
    <t>GrnCode41932631</t>
  </si>
  <si>
    <t>P3899321</t>
  </si>
  <si>
    <t>INV25-26/001671</t>
  </si>
  <si>
    <t>GrnCode42120612</t>
  </si>
  <si>
    <t>P3930728</t>
  </si>
  <si>
    <t>INV25-26/001672</t>
  </si>
  <si>
    <t>GrnCode42093792</t>
  </si>
  <si>
    <t>P3927870</t>
  </si>
  <si>
    <t>INV25-26/001673</t>
  </si>
  <si>
    <t>GrnCode42198020</t>
  </si>
  <si>
    <t>P3899274</t>
  </si>
  <si>
    <t>INV25-26/001675</t>
  </si>
  <si>
    <t>GrnCode42179509</t>
  </si>
  <si>
    <t>P3900394</t>
  </si>
  <si>
    <t>INV25-26/001676</t>
  </si>
  <si>
    <t>GrnCode42174580</t>
  </si>
  <si>
    <t>P3931034</t>
  </si>
  <si>
    <t>INV25-26/001677</t>
  </si>
  <si>
    <t>GrnCode42542649</t>
  </si>
  <si>
    <t>P3930695</t>
  </si>
  <si>
    <t>INV25-26/001678</t>
  </si>
  <si>
    <t>GrnCode42191260</t>
  </si>
  <si>
    <t>P3927674</t>
  </si>
  <si>
    <t>INV25-26/001679</t>
  </si>
  <si>
    <t>GrnCode42173099</t>
  </si>
  <si>
    <t>P3900581</t>
  </si>
  <si>
    <t>INV25-26/001680</t>
  </si>
  <si>
    <t>GrnCode42385526</t>
  </si>
  <si>
    <t>P3900896</t>
  </si>
  <si>
    <t>INV25-26/001681</t>
  </si>
  <si>
    <t>GrnCode42475158</t>
  </si>
  <si>
    <t>P3901044</t>
  </si>
  <si>
    <t>INV25-26/001682</t>
  </si>
  <si>
    <t>GrnCode42455893</t>
  </si>
  <si>
    <t>P3901205</t>
  </si>
  <si>
    <t>INV25-26/001683</t>
  </si>
  <si>
    <t>GrnCode42376865</t>
  </si>
  <si>
    <t>P3901474</t>
  </si>
  <si>
    <t>INV25-26/001684</t>
  </si>
  <si>
    <t>P3901561</t>
  </si>
  <si>
    <t>INV25-26/001685</t>
  </si>
  <si>
    <t>GrnCode42360385</t>
  </si>
  <si>
    <t>P3902640</t>
  </si>
  <si>
    <t>INV25-26/001686</t>
  </si>
  <si>
    <t>GrnCode42348433</t>
  </si>
  <si>
    <t>P3906459</t>
  </si>
  <si>
    <t>INV25-26/001687</t>
  </si>
  <si>
    <t>GrnCode42457720</t>
  </si>
  <si>
    <t>P3924612</t>
  </si>
  <si>
    <t>INV25-26/001688</t>
  </si>
  <si>
    <t>GrnCode41841604</t>
  </si>
  <si>
    <t>P3928755</t>
  </si>
  <si>
    <t>INV25-26/001689</t>
  </si>
  <si>
    <t>GrnCode41841487</t>
  </si>
  <si>
    <t>P3931303</t>
  </si>
  <si>
    <t>INV25-26/001690</t>
  </si>
  <si>
    <t>GrnCode42324835</t>
  </si>
  <si>
    <t>P3928979</t>
  </si>
  <si>
    <t>INV25-26/001691</t>
  </si>
  <si>
    <t>GrnCode42388528</t>
  </si>
  <si>
    <t>P3928815</t>
  </si>
  <si>
    <t>INV25-26/001692</t>
  </si>
  <si>
    <t>GrnCode42289070</t>
  </si>
  <si>
    <t>P3927885</t>
  </si>
  <si>
    <t>INV25-26/001693</t>
  </si>
  <si>
    <t>GrnCode42413119</t>
  </si>
  <si>
    <t>P3940219</t>
  </si>
  <si>
    <t>INV25-26/001694</t>
  </si>
  <si>
    <t>GrnCode42453929</t>
  </si>
  <si>
    <t>P3929502</t>
  </si>
  <si>
    <t>INV25-26/001695</t>
  </si>
  <si>
    <t>GrnCode42466124</t>
  </si>
  <si>
    <t>P3963479</t>
  </si>
  <si>
    <t>INV25-26/001696</t>
  </si>
  <si>
    <t>GrnCode42465911</t>
  </si>
  <si>
    <t>P3960098</t>
  </si>
  <si>
    <t>INV25-26/001697</t>
  </si>
  <si>
    <t>GrnCode42965936</t>
  </si>
  <si>
    <t>P3990998</t>
  </si>
  <si>
    <t>INV25-26/001698</t>
  </si>
  <si>
    <t>GrnCode42966058</t>
  </si>
  <si>
    <t>P3988813</t>
  </si>
  <si>
    <t>INV25-26/001699</t>
  </si>
  <si>
    <t>GrnCode42428908</t>
  </si>
  <si>
    <t>P3963613</t>
  </si>
  <si>
    <t>INV25-26/001700</t>
  </si>
  <si>
    <t>GrnCode42468402</t>
  </si>
  <si>
    <t>P3963726</t>
  </si>
  <si>
    <t>INV25-26/001701</t>
  </si>
  <si>
    <t>GrnCode42553103</t>
  </si>
  <si>
    <t>P3992242</t>
  </si>
  <si>
    <t>INV25-26/001704</t>
  </si>
  <si>
    <t>GrnCode42534920</t>
  </si>
  <si>
    <t>P3992359</t>
  </si>
  <si>
    <t>INV25-26/001705</t>
  </si>
  <si>
    <t>GrnCode42975807</t>
  </si>
  <si>
    <t>P3993310</t>
  </si>
  <si>
    <t>INV25-26/001706</t>
  </si>
  <si>
    <t>GrnCode42587611</t>
  </si>
  <si>
    <t>P3929751</t>
  </si>
  <si>
    <t>INV25-26/001707</t>
  </si>
  <si>
    <t>GrnCode42845798</t>
  </si>
  <si>
    <t>P3950155</t>
  </si>
  <si>
    <t>INV25-26/001708</t>
  </si>
  <si>
    <t>GrnCode42457527</t>
  </si>
  <si>
    <t>P3989921</t>
  </si>
  <si>
    <t>INV25-26/001709</t>
  </si>
  <si>
    <t>GrnCode42497319</t>
  </si>
  <si>
    <t>P3961769</t>
  </si>
  <si>
    <t>INV25-26/001710</t>
  </si>
  <si>
    <t>GrnCode42964046</t>
  </si>
  <si>
    <t>P3959951</t>
  </si>
  <si>
    <t>INV25-26/001711</t>
  </si>
  <si>
    <t>Chennai Old</t>
  </si>
  <si>
    <t>GrnCode43163951</t>
  </si>
  <si>
    <t>P4018434</t>
  </si>
  <si>
    <t>INV26-27/000003</t>
  </si>
  <si>
    <t>GrnCode42989386</t>
  </si>
  <si>
    <t>P4018527</t>
  </si>
  <si>
    <t>INV26-27/000004</t>
  </si>
  <si>
    <t>GrnCode42989880</t>
  </si>
  <si>
    <t>P4019031</t>
  </si>
  <si>
    <t>INV26-27/000005</t>
  </si>
  <si>
    <t>GrnCode42994021</t>
  </si>
  <si>
    <t>P3906648</t>
  </si>
  <si>
    <t>INV26-27/000006</t>
  </si>
  <si>
    <t>P4035255</t>
  </si>
  <si>
    <t>INV26-27/000007</t>
  </si>
  <si>
    <t>GrnCode46629882</t>
  </si>
  <si>
    <t>P4035474</t>
  </si>
  <si>
    <t>INV26-27/000008</t>
  </si>
  <si>
    <t>GrnCode44960471</t>
  </si>
  <si>
    <t>P4036564</t>
  </si>
  <si>
    <t>INV26-27/000009</t>
  </si>
  <si>
    <t>BLR - Sumadhura</t>
  </si>
  <si>
    <t>GrnCode43325273</t>
  </si>
  <si>
    <t>P4038355</t>
  </si>
  <si>
    <t>INV26-27/000010</t>
  </si>
  <si>
    <t>GrnCode42983668</t>
  </si>
  <si>
    <t>P4038538</t>
  </si>
  <si>
    <t>INV26-27/000011</t>
  </si>
  <si>
    <t>GrnCode42967139</t>
  </si>
  <si>
    <t>P4039228</t>
  </si>
  <si>
    <t>INV26-27/000012</t>
  </si>
  <si>
    <t>GrnCode43024158</t>
  </si>
  <si>
    <t>P4039687</t>
  </si>
  <si>
    <t>INV26-27/000013</t>
  </si>
  <si>
    <t>GrnCode43063157</t>
  </si>
  <si>
    <t>P4043224</t>
  </si>
  <si>
    <t>INV26-27/000014</t>
  </si>
  <si>
    <t>GrnCode42982129</t>
  </si>
  <si>
    <t>P4042526</t>
  </si>
  <si>
    <t>INV26-27/000015</t>
  </si>
  <si>
    <t>GrnCode43062024</t>
  </si>
  <si>
    <t>P4042179</t>
  </si>
  <si>
    <t>INV26-27/000016</t>
  </si>
  <si>
    <t>P4052035</t>
  </si>
  <si>
    <t>INV26-27/000027</t>
  </si>
  <si>
    <t>GrnCode42989947</t>
  </si>
  <si>
    <t>P4051480</t>
  </si>
  <si>
    <t>INV26-27/000028</t>
  </si>
  <si>
    <t>GrnCode43069877</t>
  </si>
  <si>
    <t>P4049680</t>
  </si>
  <si>
    <t>INV26-27/000029</t>
  </si>
  <si>
    <t>GrnCode44055726</t>
  </si>
  <si>
    <t>P4052629</t>
  </si>
  <si>
    <t>INV26-27/000030</t>
  </si>
  <si>
    <t xml:space="preserve">DP </t>
  </si>
  <si>
    <t>GrnCode43075036</t>
  </si>
  <si>
    <t>P4079391</t>
  </si>
  <si>
    <t>INV26-27/000031</t>
  </si>
  <si>
    <t>GrnCode43623499</t>
  </si>
  <si>
    <t>P4077185</t>
  </si>
  <si>
    <t>INV26-27/000032</t>
  </si>
  <si>
    <t>GrnCode43338150</t>
  </si>
  <si>
    <t>P4078536</t>
  </si>
  <si>
    <t>INV26-27/000033</t>
  </si>
  <si>
    <t>GrnCode43375779</t>
  </si>
  <si>
    <t>P4080803</t>
  </si>
  <si>
    <t>INV26-27/000034</t>
  </si>
  <si>
    <t>GrnCode43890280</t>
  </si>
  <si>
    <t>P4080562</t>
  </si>
  <si>
    <t>INV26-27/000035</t>
  </si>
  <si>
    <t>GrnCode44059580</t>
  </si>
  <si>
    <t>P4079306</t>
  </si>
  <si>
    <t>INV26-27/000036</t>
  </si>
  <si>
    <t>GrnCode43343334</t>
  </si>
  <si>
    <t>P4078323</t>
  </si>
  <si>
    <t>INV26-27/000037</t>
  </si>
  <si>
    <t>GrnCode43335603</t>
  </si>
  <si>
    <t>P4078334</t>
  </si>
  <si>
    <t>INV26-27/000038</t>
  </si>
  <si>
    <t>GrnCode43345547</t>
  </si>
  <si>
    <t>P4077503</t>
  </si>
  <si>
    <t>INV26-27/000039</t>
  </si>
  <si>
    <t>GrnCode43355735</t>
  </si>
  <si>
    <t>P4078256</t>
  </si>
  <si>
    <t>INV26-27/000040</t>
  </si>
  <si>
    <t>GrnCode43328175</t>
  </si>
  <si>
    <t>P4079752</t>
  </si>
  <si>
    <t>INV26-27/000041</t>
  </si>
  <si>
    <t>GrnCode43419674</t>
  </si>
  <si>
    <t>P4081017</t>
  </si>
  <si>
    <t>INV26-27/000042</t>
  </si>
  <si>
    <t>GrnCode43323021</t>
  </si>
  <si>
    <t>P4079130</t>
  </si>
  <si>
    <t>INV26-27/000043</t>
  </si>
  <si>
    <t>GrnCode43333532</t>
  </si>
  <si>
    <t>P4050640</t>
  </si>
  <si>
    <t>INV26-27/000045</t>
  </si>
  <si>
    <t>GrnCode43099677</t>
  </si>
  <si>
    <t>P4081234</t>
  </si>
  <si>
    <t>INV26-27/000046</t>
  </si>
  <si>
    <t>GrnCode44538266</t>
  </si>
  <si>
    <t>P4098792</t>
  </si>
  <si>
    <t>INV26-27/000047</t>
  </si>
  <si>
    <t>GrnCode43716893</t>
  </si>
  <si>
    <t>P4099347</t>
  </si>
  <si>
    <t>INV26-27/000048</t>
  </si>
  <si>
    <t>GrnCode44247628</t>
  </si>
  <si>
    <t>P4098650</t>
  </si>
  <si>
    <t>INV26-27/000049</t>
  </si>
  <si>
    <t>GrnCode45664157</t>
  </si>
  <si>
    <t>P4099449</t>
  </si>
  <si>
    <t>INV26-27/000050</t>
  </si>
  <si>
    <t>GrnCode44087921</t>
  </si>
  <si>
    <t>P4099506</t>
  </si>
  <si>
    <t>INV26-27/000051</t>
  </si>
  <si>
    <t>GrnCode44514838</t>
  </si>
  <si>
    <t>P4099622</t>
  </si>
  <si>
    <t>INV26-27/000052</t>
  </si>
  <si>
    <t>GrnCode43882075</t>
  </si>
  <si>
    <t>P4100076</t>
  </si>
  <si>
    <t>INV26-27/000053</t>
  </si>
  <si>
    <t>GrnCode43954653</t>
  </si>
  <si>
    <t>P4100212</t>
  </si>
  <si>
    <t>INV26-27/000054</t>
  </si>
  <si>
    <t>GrnCode44049818</t>
  </si>
  <si>
    <t>P4100413</t>
  </si>
  <si>
    <t>INV26-27/000055</t>
  </si>
  <si>
    <t>GrnCode43896199</t>
  </si>
  <si>
    <t>P4101628</t>
  </si>
  <si>
    <t>INV26-27/000056</t>
  </si>
  <si>
    <t>GrnCode45664057</t>
  </si>
  <si>
    <t>P4101795</t>
  </si>
  <si>
    <t>INV26-27/000057</t>
  </si>
  <si>
    <t>GrnCode43777246</t>
  </si>
  <si>
    <t>P4102107</t>
  </si>
  <si>
    <t>INV26-27/000058</t>
  </si>
  <si>
    <t>GrnCode44290191</t>
  </si>
  <si>
    <t>P4103020</t>
  </si>
  <si>
    <t>INV26-27/000059</t>
  </si>
  <si>
    <t>P4104014</t>
  </si>
  <si>
    <t>INV26-27/000060</t>
  </si>
  <si>
    <t>P4111421</t>
  </si>
  <si>
    <t>INV26-27/000061</t>
  </si>
  <si>
    <t>GrnCode43707766</t>
  </si>
  <si>
    <t>P4113277</t>
  </si>
  <si>
    <t>INV26-27/000062</t>
  </si>
  <si>
    <t>GrnCode44068018</t>
  </si>
  <si>
    <t>P4111582</t>
  </si>
  <si>
    <t>INV26-27/000063</t>
  </si>
  <si>
    <t>GrnCode43777295</t>
  </si>
  <si>
    <t>P4111260</t>
  </si>
  <si>
    <t>INV26-27/000064</t>
  </si>
  <si>
    <t>GrnCode43716722</t>
  </si>
  <si>
    <t>P4112853</t>
  </si>
  <si>
    <t>INV26-27/000065</t>
  </si>
  <si>
    <t>GrnCode43777323</t>
  </si>
  <si>
    <t>P4115091</t>
  </si>
  <si>
    <t>INV26-27/000066</t>
  </si>
  <si>
    <t>GrnCode43725250</t>
  </si>
  <si>
    <t>P4113348</t>
  </si>
  <si>
    <t>INV26-27/000067</t>
  </si>
  <si>
    <t>GrnCode44290266</t>
  </si>
  <si>
    <t>P4113564</t>
  </si>
  <si>
    <t>INV26-27/000068</t>
  </si>
  <si>
    <t>GrnCode44087813</t>
  </si>
  <si>
    <t>P4114529</t>
  </si>
  <si>
    <t>INV26-27/000069</t>
  </si>
  <si>
    <t>GrnCode43896106</t>
  </si>
  <si>
    <t>P4113985</t>
  </si>
  <si>
    <t>INV26-27/000070</t>
  </si>
  <si>
    <t>GrnCode44505397</t>
  </si>
  <si>
    <t>P4114677</t>
  </si>
  <si>
    <t>INV26-27/000071</t>
  </si>
  <si>
    <t>GrnCode43811723</t>
  </si>
  <si>
    <t>P4112558</t>
  </si>
  <si>
    <t>INV26-27/000072</t>
  </si>
  <si>
    <t>GrnCode44273902</t>
  </si>
  <si>
    <t>P4111704</t>
  </si>
  <si>
    <t>INV26-27/000074</t>
  </si>
  <si>
    <t>GrnCode43954489</t>
  </si>
  <si>
    <t>P4140491</t>
  </si>
  <si>
    <t>INV26-27/000092</t>
  </si>
  <si>
    <t>GrnCode44405409</t>
  </si>
  <si>
    <t>P4140559</t>
  </si>
  <si>
    <t>INV26-27/000093</t>
  </si>
  <si>
    <t>GrnCode44788096</t>
  </si>
  <si>
    <t>P4141243</t>
  </si>
  <si>
    <t>INV26-27/000094</t>
  </si>
  <si>
    <t>GrnCode44489097</t>
  </si>
  <si>
    <t>P4141433</t>
  </si>
  <si>
    <t>INV26-27/000095</t>
  </si>
  <si>
    <t>GrnCode43965801</t>
  </si>
  <si>
    <t>P4141777</t>
  </si>
  <si>
    <t>INV26-27/000096</t>
  </si>
  <si>
    <t>GrnCode44693925</t>
  </si>
  <si>
    <t>P4141944</t>
  </si>
  <si>
    <t>INV26-27/000097</t>
  </si>
  <si>
    <t>GrnCode43993157</t>
  </si>
  <si>
    <t>P4142540</t>
  </si>
  <si>
    <t>INV26-27/000098</t>
  </si>
  <si>
    <t>GrnCode44328083</t>
  </si>
  <si>
    <t>P4143590</t>
  </si>
  <si>
    <t>INV26-27/000099</t>
  </si>
  <si>
    <t>GrnCode43981678</t>
  </si>
  <si>
    <t>P4144124</t>
  </si>
  <si>
    <t>INV26-27/000100</t>
  </si>
  <si>
    <t>GrnCode44343159</t>
  </si>
  <si>
    <t>P4144950</t>
  </si>
  <si>
    <t>INV26-27/000101</t>
  </si>
  <si>
    <t>GrnCode44330231</t>
  </si>
  <si>
    <t>P4145006</t>
  </si>
  <si>
    <t>INV26-27/000102</t>
  </si>
  <si>
    <t>GrnCode44130104</t>
  </si>
  <si>
    <t>P4145173</t>
  </si>
  <si>
    <t>INV26-27/000103</t>
  </si>
  <si>
    <t>GrnCode44164930</t>
  </si>
  <si>
    <t>P4145231</t>
  </si>
  <si>
    <t>INV26-27/000104</t>
  </si>
  <si>
    <t>GrnCode44050394</t>
  </si>
  <si>
    <t>P4145639</t>
  </si>
  <si>
    <t>INV26-27/000105</t>
  </si>
  <si>
    <t>GrnCode44164811</t>
  </si>
  <si>
    <t>P4140551</t>
  </si>
  <si>
    <t>INV26-27/000107</t>
  </si>
  <si>
    <t>GrnCode44246941</t>
  </si>
  <si>
    <t>P4143092</t>
  </si>
  <si>
    <t>INV26-27/000108</t>
  </si>
  <si>
    <t>GrnCode44290477</t>
  </si>
  <si>
    <t>P4143671</t>
  </si>
  <si>
    <t>INV26-27/000109</t>
  </si>
  <si>
    <t>GrnCode44511313</t>
  </si>
  <si>
    <t>P4161293</t>
  </si>
  <si>
    <t>INV26-27/000114</t>
  </si>
  <si>
    <t>GrnCode44693550</t>
  </si>
  <si>
    <t>P4172006</t>
  </si>
  <si>
    <t>INV26-27/000115</t>
  </si>
  <si>
    <t>GrnCode44333772</t>
  </si>
  <si>
    <t>P4174425</t>
  </si>
  <si>
    <t>INV26-27/000116</t>
  </si>
  <si>
    <t>GrnCode44253556</t>
  </si>
  <si>
    <t>P4172307</t>
  </si>
  <si>
    <t>INV26-27/000117</t>
  </si>
  <si>
    <t>GrnCode44960603</t>
  </si>
  <si>
    <t>P4172912</t>
  </si>
  <si>
    <t>INV26-27/000118</t>
  </si>
  <si>
    <t>GrnCode44341664</t>
  </si>
  <si>
    <t>P4174228</t>
  </si>
  <si>
    <t>INV26-27/000119</t>
  </si>
  <si>
    <t>GrnCode44838684</t>
  </si>
  <si>
    <t>P4172729</t>
  </si>
  <si>
    <t>INV26-27/000120</t>
  </si>
  <si>
    <t>GrnCode44494012</t>
  </si>
  <si>
    <t>P4171343</t>
  </si>
  <si>
    <t>INV26-27/000122</t>
  </si>
  <si>
    <t>GrnCode44512137</t>
  </si>
  <si>
    <t>P4172157</t>
  </si>
  <si>
    <t>INV26-27/000123</t>
  </si>
  <si>
    <t>GrnCode44971434</t>
  </si>
  <si>
    <t>P4174984</t>
  </si>
  <si>
    <t>INV26-27/000124</t>
  </si>
  <si>
    <t>GrnCode44414204</t>
  </si>
  <si>
    <t>P4173508</t>
  </si>
  <si>
    <t>INV26-27/000125</t>
  </si>
  <si>
    <t>GrnCode44794843</t>
  </si>
  <si>
    <t>P4173364</t>
  </si>
  <si>
    <t>INV26-27/000126</t>
  </si>
  <si>
    <t>GrnCode44427580</t>
  </si>
  <si>
    <t>P4171827</t>
  </si>
  <si>
    <t>INV26-27/000127</t>
  </si>
  <si>
    <t>GrnCode44802231</t>
  </si>
  <si>
    <t>P4143483</t>
  </si>
  <si>
    <t>INV26-27/000131</t>
  </si>
  <si>
    <t>GrnCode44058928</t>
  </si>
  <si>
    <t>P4173159</t>
  </si>
  <si>
    <t>INV26-27/000132</t>
  </si>
  <si>
    <t>GrnCode44058719</t>
  </si>
  <si>
    <t>P4199497</t>
  </si>
  <si>
    <t>INV26-27/000133</t>
  </si>
  <si>
    <t>GrnCode44783220</t>
  </si>
  <si>
    <t>P4202201</t>
  </si>
  <si>
    <t>INV26-27/000134</t>
  </si>
  <si>
    <t>GrnCode44703150</t>
  </si>
  <si>
    <t>P4202834</t>
  </si>
  <si>
    <t>INV26-27/000135</t>
  </si>
  <si>
    <t>MUM - Global</t>
  </si>
  <si>
    <t>GrnCode46199351</t>
  </si>
  <si>
    <t>P4201729</t>
  </si>
  <si>
    <t>INV26-27/000136</t>
  </si>
  <si>
    <t>GrnCode45066350</t>
  </si>
  <si>
    <t>P4200684</t>
  </si>
  <si>
    <t>INV26-27/000137</t>
  </si>
  <si>
    <t>GrnCode44583421</t>
  </si>
  <si>
    <t>P4201082</t>
  </si>
  <si>
    <t>INV26-27/000138</t>
  </si>
  <si>
    <t>HYD - kandalkoya</t>
  </si>
  <si>
    <t>GrnCode45454490</t>
  </si>
  <si>
    <t>P4201233</t>
  </si>
  <si>
    <t>INV26-27/000139</t>
  </si>
  <si>
    <t>MUM - shakti</t>
  </si>
  <si>
    <t>GrnCode49035043</t>
  </si>
  <si>
    <t>P4199782</t>
  </si>
  <si>
    <t>INV26-27/000140</t>
  </si>
  <si>
    <t>GrnCode44805435</t>
  </si>
  <si>
    <t>P4201605</t>
  </si>
  <si>
    <t>INV26-27/000141</t>
  </si>
  <si>
    <t>GrnCode45484255</t>
  </si>
  <si>
    <t>P4199690</t>
  </si>
  <si>
    <t>INV26-27/000142</t>
  </si>
  <si>
    <t>GrnCode44950899</t>
  </si>
  <si>
    <t>P4200214</t>
  </si>
  <si>
    <t>INV26-27/000146</t>
  </si>
  <si>
    <t>P4200593</t>
  </si>
  <si>
    <t>INV26-27/000147</t>
  </si>
  <si>
    <t>GrnCode45575620</t>
  </si>
  <si>
    <t>P4115636</t>
  </si>
  <si>
    <t>INV26-27/000148</t>
  </si>
  <si>
    <t>GrnCode44537479</t>
  </si>
  <si>
    <t>P4200832</t>
  </si>
  <si>
    <t>INV26-27/000149</t>
  </si>
  <si>
    <t>GrnCode44538157</t>
  </si>
  <si>
    <t>P4225704</t>
  </si>
  <si>
    <t>INV26-27/000157</t>
  </si>
  <si>
    <t>GrnCode45078333</t>
  </si>
  <si>
    <t>P4226413</t>
  </si>
  <si>
    <t>INV26-27/000158</t>
  </si>
  <si>
    <t>GrnCode45484139</t>
  </si>
  <si>
    <t>P4226705</t>
  </si>
  <si>
    <t>INV26-27/000159</t>
  </si>
  <si>
    <t>GrnCode45261554</t>
  </si>
  <si>
    <t>P4227499</t>
  </si>
  <si>
    <t>INV26-27/000160</t>
  </si>
  <si>
    <t>GrnCode45454669</t>
  </si>
  <si>
    <t>P4229474</t>
  </si>
  <si>
    <t>INV26-27/000161</t>
  </si>
  <si>
    <t>GrnCode44970676</t>
  </si>
  <si>
    <t>P4218296</t>
  </si>
  <si>
    <t>INV26-27/000162</t>
  </si>
  <si>
    <t>GrnCode45478626</t>
  </si>
  <si>
    <t>P4218548</t>
  </si>
  <si>
    <t>INV26-27/000163</t>
  </si>
  <si>
    <t>GrnCode45478044</t>
  </si>
  <si>
    <t>P4228170</t>
  </si>
  <si>
    <t>INV26-27/000164</t>
  </si>
  <si>
    <t>GrnCode44965250</t>
  </si>
  <si>
    <t>P4216281</t>
  </si>
  <si>
    <t>INV26-27/000165</t>
  </si>
  <si>
    <t>GrnCode45246523</t>
  </si>
  <si>
    <t>P4226263</t>
  </si>
  <si>
    <t>INV26-27/000166</t>
  </si>
  <si>
    <t>GrnCode45666238</t>
  </si>
  <si>
    <t>P4226855</t>
  </si>
  <si>
    <t>INV26-27/000167</t>
  </si>
  <si>
    <t>GrnCode45870864</t>
  </si>
  <si>
    <t>P4227079</t>
  </si>
  <si>
    <t>INV26-27/000168</t>
  </si>
  <si>
    <t>GrnCode44538088</t>
  </si>
  <si>
    <t>P4227692</t>
  </si>
  <si>
    <t>INV26-27/000169</t>
  </si>
  <si>
    <t>GrnCode45466120</t>
  </si>
  <si>
    <t>P4229019</t>
  </si>
  <si>
    <t>INV26-27/000170</t>
  </si>
  <si>
    <t>GrnCode45102079</t>
  </si>
  <si>
    <t>P4254557</t>
  </si>
  <si>
    <t>INV26-27/000189</t>
  </si>
  <si>
    <t>GrnCode45376294</t>
  </si>
  <si>
    <t>P4251550</t>
  </si>
  <si>
    <t>INV26-27/000190</t>
  </si>
  <si>
    <t>GrnCode45484306</t>
  </si>
  <si>
    <t>P4254354</t>
  </si>
  <si>
    <t>INV26-27/000191</t>
  </si>
  <si>
    <t>GrnCode46200118</t>
  </si>
  <si>
    <t>P4254950</t>
  </si>
  <si>
    <t>INV26-27/000192</t>
  </si>
  <si>
    <t>GrnCode49034859</t>
  </si>
  <si>
    <t>P4252349</t>
  </si>
  <si>
    <t>INV26-27/000193</t>
  </si>
  <si>
    <t>GrnCode45475231</t>
  </si>
  <si>
    <t>P4253012</t>
  </si>
  <si>
    <t>INV26-27/000194</t>
  </si>
  <si>
    <t>GrnCode45487987</t>
  </si>
  <si>
    <t>P4273663</t>
  </si>
  <si>
    <t>INV26-27/000195</t>
  </si>
  <si>
    <t>GrnCode45605790</t>
  </si>
  <si>
    <t>P4275709</t>
  </si>
  <si>
    <t>INV26-27/000198</t>
  </si>
  <si>
    <t>GrnCode45595216</t>
  </si>
  <si>
    <t>P4276670</t>
  </si>
  <si>
    <t>INV26-27/000199</t>
  </si>
  <si>
    <t>GrnCode45577560</t>
  </si>
  <si>
    <t>P4274527</t>
  </si>
  <si>
    <t>INV26-27/000202</t>
  </si>
  <si>
    <t>GrnCode45660216</t>
  </si>
  <si>
    <t>P4275536</t>
  </si>
  <si>
    <t>INV26-27/000203</t>
  </si>
  <si>
    <t>GrnCode45844902</t>
  </si>
  <si>
    <t>P4274769</t>
  </si>
  <si>
    <t>INV26-27/000204</t>
  </si>
  <si>
    <t>GrnCode45666505</t>
  </si>
  <si>
    <t>P4283372</t>
  </si>
  <si>
    <t>INV26-27/000206</t>
  </si>
  <si>
    <t>HYD - Kandalkoya</t>
  </si>
  <si>
    <t>GrnCode45879372</t>
  </si>
  <si>
    <t>P4283679</t>
  </si>
  <si>
    <t>INV26-27/000207</t>
  </si>
  <si>
    <t>GrnCode45685825</t>
  </si>
  <si>
    <t>P4284072</t>
  </si>
  <si>
    <t>INV26-27/000208</t>
  </si>
  <si>
    <t>GrnCode45579497</t>
  </si>
  <si>
    <t>P4284842</t>
  </si>
  <si>
    <t>INV26-27/000209</t>
  </si>
  <si>
    <t>GrnCode45870730</t>
  </si>
  <si>
    <t>P4287151</t>
  </si>
  <si>
    <t>INV26-27/000210</t>
  </si>
  <si>
    <t>GrnCode46194887</t>
  </si>
  <si>
    <t>P4283632</t>
  </si>
  <si>
    <t>INV26-27/000211</t>
  </si>
  <si>
    <t>GrnCode45992303</t>
  </si>
  <si>
    <t>P4286141</t>
  </si>
  <si>
    <t>INV26-27/000212</t>
  </si>
  <si>
    <t>GrnCode45650840</t>
  </si>
  <si>
    <t>P4318405</t>
  </si>
  <si>
    <t>INV26-27/000224</t>
  </si>
  <si>
    <t>GrnCode45990197</t>
  </si>
  <si>
    <t>P4317247</t>
  </si>
  <si>
    <t>INV26-27/000225</t>
  </si>
  <si>
    <t>GrnCode45981595</t>
  </si>
  <si>
    <t>P4319652</t>
  </si>
  <si>
    <t>INV26-27/000226</t>
  </si>
  <si>
    <t>GrnCode46976184</t>
  </si>
  <si>
    <t>P4251292</t>
  </si>
  <si>
    <t>INV26-27/000228</t>
  </si>
  <si>
    <t>GrnCode45673065</t>
  </si>
  <si>
    <t>P4335559</t>
  </si>
  <si>
    <t>INV26-27/000230</t>
  </si>
  <si>
    <t xml:space="preserve">Delhivery  </t>
  </si>
  <si>
    <t>GrnCode46426660</t>
  </si>
  <si>
    <t>P4335480</t>
  </si>
  <si>
    <t>INV26-27/000231</t>
  </si>
  <si>
    <t>GrnCode46753917</t>
  </si>
  <si>
    <t>P4335231</t>
  </si>
  <si>
    <t>INV26-27/000232</t>
  </si>
  <si>
    <t>GrnCode46172713</t>
  </si>
  <si>
    <t>P4334446</t>
  </si>
  <si>
    <t>INV26-27/000233</t>
  </si>
  <si>
    <t xml:space="preserve">GrnCode49485379 </t>
  </si>
  <si>
    <t>P4338029</t>
  </si>
  <si>
    <t>INV26-27/000235</t>
  </si>
  <si>
    <t>GrnCode46971547</t>
  </si>
  <si>
    <t>P4337452</t>
  </si>
  <si>
    <t>INV26-27/000236</t>
  </si>
  <si>
    <t>GrnCode46486192</t>
  </si>
  <si>
    <t>P4334914</t>
  </si>
  <si>
    <t>INV26-27/000237</t>
  </si>
  <si>
    <t>GrnCode46191613</t>
  </si>
  <si>
    <t>P4334179</t>
  </si>
  <si>
    <t>INV26-27/000238</t>
  </si>
  <si>
    <t>GrnCode46611106</t>
  </si>
  <si>
    <t>P4337640</t>
  </si>
  <si>
    <t>INV26-27/000239</t>
  </si>
  <si>
    <t>GrnCode46282888</t>
  </si>
  <si>
    <t>P4345038</t>
  </si>
  <si>
    <t>INV26-27/000254</t>
  </si>
  <si>
    <t>GrnCode46513755</t>
  </si>
  <si>
    <t>P4347516</t>
  </si>
  <si>
    <t>INV26-27/000255</t>
  </si>
  <si>
    <t>GrnCode46526818</t>
  </si>
  <si>
    <t>P4348074</t>
  </si>
  <si>
    <t>INV26-27/000256</t>
  </si>
  <si>
    <t>GrnCode46565972</t>
  </si>
  <si>
    <t>P4345665</t>
  </si>
  <si>
    <t>INV26-27/000258</t>
  </si>
  <si>
    <t>GrnCode45985927</t>
  </si>
  <si>
    <t>P4377319</t>
  </si>
  <si>
    <t>INV26-27/000261</t>
  </si>
  <si>
    <t>GrnCode46754592</t>
  </si>
  <si>
    <t>P4377703</t>
  </si>
  <si>
    <t>INV26-27/000262</t>
  </si>
  <si>
    <t>GrnCode47048699</t>
  </si>
  <si>
    <t>P4378789</t>
  </si>
  <si>
    <t>INV26-27/000263</t>
  </si>
  <si>
    <t>GrnCode47098853</t>
  </si>
  <si>
    <t>P4380628</t>
  </si>
  <si>
    <t>INV26-27/000264</t>
  </si>
  <si>
    <t>GrnCode48144590</t>
  </si>
  <si>
    <t>P4381538</t>
  </si>
  <si>
    <t>INV26-27/000265</t>
  </si>
  <si>
    <t>GrnCode47114854</t>
  </si>
  <si>
    <t>P4337127</t>
  </si>
  <si>
    <t>INV26-27/000266</t>
  </si>
  <si>
    <t>GrnCode47390501</t>
  </si>
  <si>
    <t>P4399104</t>
  </si>
  <si>
    <t>INV26-27/000267</t>
  </si>
  <si>
    <t>GrnCode47391099</t>
  </si>
  <si>
    <t>P4408146</t>
  </si>
  <si>
    <t>INV26-27/000268</t>
  </si>
  <si>
    <t>GrnCode47390836</t>
  </si>
  <si>
    <t>P4399092</t>
  </si>
  <si>
    <t>INV26-27/000269</t>
  </si>
  <si>
    <t>GrnCode47277627</t>
  </si>
  <si>
    <t>P4407334</t>
  </si>
  <si>
    <t>INV26-27/000270</t>
  </si>
  <si>
    <t>GrnCode47276126</t>
  </si>
  <si>
    <t>P4399696</t>
  </si>
  <si>
    <t>INV26-27/000271</t>
  </si>
  <si>
    <t>MUM - global</t>
  </si>
  <si>
    <t>GrnCode48144921</t>
  </si>
  <si>
    <t>P4398644</t>
  </si>
  <si>
    <t>INV26-27/000272</t>
  </si>
  <si>
    <t>GrnCode48053640</t>
  </si>
  <si>
    <t>P4408225</t>
  </si>
  <si>
    <t>INV26-27/000273</t>
  </si>
  <si>
    <t>GrnCode48036564</t>
  </si>
  <si>
    <t>P4388024</t>
  </si>
  <si>
    <t>INV26-27/000274</t>
  </si>
  <si>
    <t>GrnCode47498744</t>
  </si>
  <si>
    <t>P4401726</t>
  </si>
  <si>
    <t>INV26-27/000275</t>
  </si>
  <si>
    <t>GrnCode47491950</t>
  </si>
  <si>
    <t>P4404936</t>
  </si>
  <si>
    <t>INV26-27/000276</t>
  </si>
  <si>
    <t>GrnCode47490190</t>
  </si>
  <si>
    <t>P4334097</t>
  </si>
  <si>
    <t>INV26-27/000277</t>
  </si>
  <si>
    <t>GrnCode47151172</t>
  </si>
  <si>
    <t>P4399415</t>
  </si>
  <si>
    <t>INV26-27/000278</t>
  </si>
  <si>
    <t>GrnCode47151269</t>
  </si>
  <si>
    <t>P4406114</t>
  </si>
  <si>
    <t>INV26-27/000279</t>
  </si>
  <si>
    <t>GrnCode47170253</t>
  </si>
  <si>
    <t>P4400194</t>
  </si>
  <si>
    <t>INV26-27/000280</t>
  </si>
  <si>
    <t>GrnCode47521732</t>
  </si>
  <si>
    <t>P4405530</t>
  </si>
  <si>
    <t>INV26-27/000281</t>
  </si>
  <si>
    <t>GrnCode47521485</t>
  </si>
  <si>
    <t>P4407203</t>
  </si>
  <si>
    <t>INV26-27/000282</t>
  </si>
  <si>
    <t>GrnCode47042160</t>
  </si>
  <si>
    <t>P4399825</t>
  </si>
  <si>
    <t>INV26-27/000283</t>
  </si>
  <si>
    <t>GrnCode48149054</t>
  </si>
  <si>
    <t>P4405164</t>
  </si>
  <si>
    <t>INV26-27/000284</t>
  </si>
  <si>
    <t>GrnCode47048688</t>
  </si>
  <si>
    <t>P4380087</t>
  </si>
  <si>
    <t>INV26-27/000286</t>
  </si>
  <si>
    <t>GrnCode46519736</t>
  </si>
  <si>
    <t>P4416306</t>
  </si>
  <si>
    <t>INV26-27/000287</t>
  </si>
  <si>
    <t>GrnCode47174560</t>
  </si>
  <si>
    <t>P4419177</t>
  </si>
  <si>
    <t>INV26-27/000288</t>
  </si>
  <si>
    <t>GrnCode47148333</t>
  </si>
  <si>
    <t>P4415773</t>
  </si>
  <si>
    <t>INV26-27/000290</t>
  </si>
  <si>
    <t>GrnCode47184969</t>
  </si>
  <si>
    <t>P4418808</t>
  </si>
  <si>
    <t>INV26-27/000291</t>
  </si>
  <si>
    <t xml:space="preserve">MUM - Shakti </t>
  </si>
  <si>
    <t>GrnCode48152135</t>
  </si>
  <si>
    <t>P4402847</t>
  </si>
  <si>
    <t>INV26-27/000299</t>
  </si>
  <si>
    <t>GrnCode47809450</t>
  </si>
  <si>
    <t>short shelf life</t>
  </si>
  <si>
    <t>P4414375</t>
  </si>
  <si>
    <t>INV26-27/000300</t>
  </si>
  <si>
    <t>GrnCode47933502</t>
  </si>
  <si>
    <t>P4406063</t>
  </si>
  <si>
    <t>INV26-27/000301</t>
  </si>
  <si>
    <t>GrnCode47811717</t>
  </si>
  <si>
    <t>P4388265</t>
  </si>
  <si>
    <t>INV26-27/000302</t>
  </si>
  <si>
    <t>GrnCode47659509</t>
  </si>
  <si>
    <t>P4414054</t>
  </si>
  <si>
    <t>INV26-27/000303</t>
  </si>
  <si>
    <t>GrnCode47659359</t>
  </si>
  <si>
    <t>P4388155</t>
  </si>
  <si>
    <t>INV26-27/000304</t>
  </si>
  <si>
    <t>P4413861</t>
  </si>
  <si>
    <t>INV26-27/000305</t>
  </si>
  <si>
    <t>P4414072</t>
  </si>
  <si>
    <t>INV26-27/000306</t>
  </si>
  <si>
    <t>GrnCode47732461</t>
  </si>
  <si>
    <t>P4388571</t>
  </si>
  <si>
    <t>INV26-27/000307</t>
  </si>
  <si>
    <t>GrnCode47732304</t>
  </si>
  <si>
    <t>P4413697</t>
  </si>
  <si>
    <t>INV26-27/000308</t>
  </si>
  <si>
    <t>GrnCode47707808</t>
  </si>
  <si>
    <t>P4400696</t>
  </si>
  <si>
    <t>INV26-27/000309</t>
  </si>
  <si>
    <t>GrnCode47707861</t>
  </si>
  <si>
    <t>P4401190</t>
  </si>
  <si>
    <t>INV26-27/000310</t>
  </si>
  <si>
    <t>GrnCode47717655</t>
  </si>
  <si>
    <t>P4414282</t>
  </si>
  <si>
    <t>INV26-27/000311</t>
  </si>
  <si>
    <t>GrnCode47718893</t>
  </si>
  <si>
    <t>P4635215</t>
  </si>
  <si>
    <t>INV26-27/000312</t>
  </si>
  <si>
    <t>GrnCode50452693</t>
  </si>
  <si>
    <t>P4388228</t>
  </si>
  <si>
    <t>INV26-27/000313</t>
  </si>
  <si>
    <t>GrnCode50453136</t>
  </si>
  <si>
    <t>P4414150</t>
  </si>
  <si>
    <t>INV26-27/000314</t>
  </si>
  <si>
    <t>GrnCode47582371</t>
  </si>
  <si>
    <t>P4404553</t>
  </si>
  <si>
    <t>INV26-27/000315</t>
  </si>
  <si>
    <t>GrnCode47582212</t>
  </si>
  <si>
    <t>P4413664</t>
  </si>
  <si>
    <t>INV26-27/000316</t>
  </si>
  <si>
    <t>GrnCode47845434</t>
  </si>
  <si>
    <t>P4413656</t>
  </si>
  <si>
    <t>INV26-27/000317</t>
  </si>
  <si>
    <t>GrnCode48161724</t>
  </si>
  <si>
    <t>P4413629</t>
  </si>
  <si>
    <t>INV26-27/000318</t>
  </si>
  <si>
    <t>GrnCode47917973</t>
  </si>
  <si>
    <t>P4414020</t>
  </si>
  <si>
    <t>INV26-27/000319</t>
  </si>
  <si>
    <t>GrnCode47621940</t>
  </si>
  <si>
    <t>P4414245</t>
  </si>
  <si>
    <t>INV26-27/000320</t>
  </si>
  <si>
    <t>GrnCode47617013</t>
  </si>
  <si>
    <t>P4414276</t>
  </si>
  <si>
    <t>INV26-27/000321</t>
  </si>
  <si>
    <t>GrnCode47833928</t>
  </si>
  <si>
    <t>P4414319</t>
  </si>
  <si>
    <t>INV26-27/000322</t>
  </si>
  <si>
    <t>GrnCode47831338</t>
  </si>
  <si>
    <t>P4413968</t>
  </si>
  <si>
    <t>INV26-27/000323</t>
  </si>
  <si>
    <t>GrnCode49042559</t>
  </si>
  <si>
    <t>P4448513</t>
  </si>
  <si>
    <t>INV26-27/000324</t>
  </si>
  <si>
    <t>GrnCode47659611</t>
  </si>
  <si>
    <t>P4447442</t>
  </si>
  <si>
    <t>INV26-27/000325</t>
  </si>
  <si>
    <t>Booked</t>
  </si>
  <si>
    <t>GrnCode48708560</t>
  </si>
  <si>
    <t>P4447078</t>
  </si>
  <si>
    <t>INV26-27/000326</t>
  </si>
  <si>
    <t>GrnCode47831299</t>
  </si>
  <si>
    <t>P4446780</t>
  </si>
  <si>
    <t>INV26-27/000327</t>
  </si>
  <si>
    <t>GrnCode47914138</t>
  </si>
  <si>
    <t>P4445778</t>
  </si>
  <si>
    <t>INV26-27/000328</t>
  </si>
  <si>
    <t>GrnCode47846865</t>
  </si>
  <si>
    <t>P4445547</t>
  </si>
  <si>
    <t>INV26-27/000329</t>
  </si>
  <si>
    <t>GrnCode50452960</t>
  </si>
  <si>
    <t>P4444859</t>
  </si>
  <si>
    <t>INV26-27/000330</t>
  </si>
  <si>
    <t>GrnCode47622131</t>
  </si>
  <si>
    <t>P4416153</t>
  </si>
  <si>
    <t>INV26-27/000331</t>
  </si>
  <si>
    <t>GrnCode47051238</t>
  </si>
  <si>
    <t>P4446937</t>
  </si>
  <si>
    <t>INV26-27/000332</t>
  </si>
  <si>
    <t>GrnCode47051714</t>
  </si>
  <si>
    <t>P4451842</t>
  </si>
  <si>
    <t>INV26-27/000333</t>
  </si>
  <si>
    <t>GrnCode47732382</t>
  </si>
  <si>
    <t>P4469542</t>
  </si>
  <si>
    <t>INV26-27/000337</t>
  </si>
  <si>
    <t>GrnCode48024206</t>
  </si>
  <si>
    <t>P4467815</t>
  </si>
  <si>
    <t>INV26-27/000338</t>
  </si>
  <si>
    <t>GrnCode48054695</t>
  </si>
  <si>
    <t>P4471347</t>
  </si>
  <si>
    <t>INV26-27/000339</t>
  </si>
  <si>
    <t>GrnCode49036616</t>
  </si>
  <si>
    <t>P4467618</t>
  </si>
  <si>
    <t>INV26-27/000340</t>
  </si>
  <si>
    <t>GrnCode48278563</t>
  </si>
  <si>
    <t>P4478443</t>
  </si>
  <si>
    <t>INV26-27/000343</t>
  </si>
  <si>
    <t>GrnCode48151047</t>
  </si>
  <si>
    <t>P4478391</t>
  </si>
  <si>
    <t>INV26-27/000344</t>
  </si>
  <si>
    <t>GrnCode49036715</t>
  </si>
  <si>
    <t>P4478350</t>
  </si>
  <si>
    <t>INV26-27/000345</t>
  </si>
  <si>
    <t>GrnCode49132573</t>
  </si>
  <si>
    <t>P4478293</t>
  </si>
  <si>
    <t>INV26-27/000346</t>
  </si>
  <si>
    <t>GrnCode48021794</t>
  </si>
  <si>
    <t>P4478645</t>
  </si>
  <si>
    <t>INV26-27/000347</t>
  </si>
  <si>
    <t>GrnCode48268572</t>
  </si>
  <si>
    <t>P4478692</t>
  </si>
  <si>
    <t>INV26-27/000348</t>
  </si>
  <si>
    <t>GrnCode48044799</t>
  </si>
  <si>
    <t>P4479168</t>
  </si>
  <si>
    <t>INV26-27/000349</t>
  </si>
  <si>
    <t>GrnCode48033095</t>
  </si>
  <si>
    <t>P4479098</t>
  </si>
  <si>
    <t>INV26-27/000350</t>
  </si>
  <si>
    <t>GrnCode48023667</t>
  </si>
  <si>
    <t>P4479086</t>
  </si>
  <si>
    <t>INV26-27/000351</t>
  </si>
  <si>
    <t>GrnCode48021759</t>
  </si>
  <si>
    <t>P4479169</t>
  </si>
  <si>
    <t>INV26-27/000352</t>
  </si>
  <si>
    <t>P4502458</t>
  </si>
  <si>
    <t>INV26-27/000355</t>
  </si>
  <si>
    <t>GrnCode50448780</t>
  </si>
  <si>
    <t>P4495423</t>
  </si>
  <si>
    <t>INV26-27/000356</t>
  </si>
  <si>
    <t>GrnCode50451348</t>
  </si>
  <si>
    <t>P4478499</t>
  </si>
  <si>
    <t>INV26-27/000357</t>
  </si>
  <si>
    <t>GrnCode48039248</t>
  </si>
  <si>
    <t>P4500224</t>
  </si>
  <si>
    <t>INV26-27/000358</t>
  </si>
  <si>
    <t>GrnCode48038022</t>
  </si>
  <si>
    <t>P4495332</t>
  </si>
  <si>
    <t>INV26-27/000359</t>
  </si>
  <si>
    <t>GrnCode48038954</t>
  </si>
  <si>
    <t>P4502160</t>
  </si>
  <si>
    <t>INV26-27/000360</t>
  </si>
  <si>
    <t>GrnCode48142945</t>
  </si>
  <si>
    <t>P4495921</t>
  </si>
  <si>
    <t>INV26-27/000361</t>
  </si>
  <si>
    <t>GrnCode48143179</t>
  </si>
  <si>
    <t>P4478930</t>
  </si>
  <si>
    <t>INV26-27/000362</t>
  </si>
  <si>
    <t>GrnCode48608460</t>
  </si>
  <si>
    <t>P4494448</t>
  </si>
  <si>
    <t>INV26-27/000363</t>
  </si>
  <si>
    <t>GrnCode48608320</t>
  </si>
  <si>
    <t>P4502698</t>
  </si>
  <si>
    <t>INV26-27/000364</t>
  </si>
  <si>
    <t>GrnCode48391189</t>
  </si>
  <si>
    <t>P4495947</t>
  </si>
  <si>
    <t>INV26-27/000365</t>
  </si>
  <si>
    <t>GrnCode48391491</t>
  </si>
  <si>
    <t>P4498124</t>
  </si>
  <si>
    <t>INV26-27/000366</t>
  </si>
  <si>
    <t>GrnCode48355951</t>
  </si>
  <si>
    <t>P4496307</t>
  </si>
  <si>
    <t>INV26-27/000367</t>
  </si>
  <si>
    <t>GrnCode49053550</t>
  </si>
  <si>
    <t>P4516028</t>
  </si>
  <si>
    <t>INV26-27/000369</t>
  </si>
  <si>
    <t>GrnCode49145495</t>
  </si>
  <si>
    <t>P4517571</t>
  </si>
  <si>
    <t>INV26-27/000370</t>
  </si>
  <si>
    <t>No One</t>
  </si>
  <si>
    <t>P4478969</t>
  </si>
  <si>
    <t>INV26-27/000378</t>
  </si>
  <si>
    <t xml:space="preserve">GrnCode49351368 </t>
  </si>
  <si>
    <t>P4501532</t>
  </si>
  <si>
    <t>INV26-27/000379</t>
  </si>
  <si>
    <t>GrnCode48556568</t>
  </si>
  <si>
    <t>P4495933</t>
  </si>
  <si>
    <t>INV26-27/000380</t>
  </si>
  <si>
    <t xml:space="preserve">GrnCode49579942 </t>
  </si>
  <si>
    <t>P4514966</t>
  </si>
  <si>
    <t>INV26-27/000381</t>
  </si>
  <si>
    <t xml:space="preserve">GrnCode49457400 </t>
  </si>
  <si>
    <t>P4534573</t>
  </si>
  <si>
    <t>INV26-27/000383</t>
  </si>
  <si>
    <t xml:space="preserve">GrnCode49350185 </t>
  </si>
  <si>
    <t>P4536308</t>
  </si>
  <si>
    <t>INV26-27/000384</t>
  </si>
  <si>
    <t>GrnCode50346694</t>
  </si>
  <si>
    <t>P4530131</t>
  </si>
  <si>
    <t>INV26-27/000385</t>
  </si>
  <si>
    <t xml:space="preserve">GrnCode49410734 </t>
  </si>
  <si>
    <t>P4534199</t>
  </si>
  <si>
    <t>INV26-27/000386</t>
  </si>
  <si>
    <t xml:space="preserve">GrnCode49360336 </t>
  </si>
  <si>
    <t>P4534045</t>
  </si>
  <si>
    <t>INV26-27/000387</t>
  </si>
  <si>
    <t>GrnCode49593295</t>
  </si>
  <si>
    <t>P4535167</t>
  </si>
  <si>
    <t>INV26-27/000388</t>
  </si>
  <si>
    <t xml:space="preserve">GrnCode49464625 </t>
  </si>
  <si>
    <t>P4555108</t>
  </si>
  <si>
    <t>INV26-27/000393</t>
  </si>
  <si>
    <t>GrnCode49081473</t>
  </si>
  <si>
    <t>P4551505</t>
  </si>
  <si>
    <t>INV26-27/000394</t>
  </si>
  <si>
    <t xml:space="preserve">GrnCode49410787 </t>
  </si>
  <si>
    <t>P4554648</t>
  </si>
  <si>
    <t>INV26-27/000395</t>
  </si>
  <si>
    <t>GrnCode49694777</t>
  </si>
  <si>
    <t>P4554556</t>
  </si>
  <si>
    <t>INV26-27/000396</t>
  </si>
  <si>
    <t>GrnCode49133599</t>
  </si>
  <si>
    <t>P4554673</t>
  </si>
  <si>
    <t>INV26-27/000397</t>
  </si>
  <si>
    <t>GrnCode48601532</t>
  </si>
  <si>
    <t>P4554939</t>
  </si>
  <si>
    <t>INV26-27/000398</t>
  </si>
  <si>
    <t>GrnCode50207783</t>
  </si>
  <si>
    <t>P4552702</t>
  </si>
  <si>
    <t>INV26-27/000399</t>
  </si>
  <si>
    <t>GrnCode50207529</t>
  </si>
  <si>
    <t>P4555174</t>
  </si>
  <si>
    <t>INV26-27/000400</t>
  </si>
  <si>
    <t>GrnCode48716181</t>
  </si>
  <si>
    <t>P4554540</t>
  </si>
  <si>
    <t>INV26-27/000401</t>
  </si>
  <si>
    <t>GrnCode49261559</t>
  </si>
  <si>
    <t>P4554590</t>
  </si>
  <si>
    <t>INV26-27/000402</t>
  </si>
  <si>
    <t>GrnCode50239301</t>
  </si>
  <si>
    <t>P4555198</t>
  </si>
  <si>
    <t>INV26-27/000403</t>
  </si>
  <si>
    <t>GrnCode50518806</t>
  </si>
  <si>
    <t>P4555298</t>
  </si>
  <si>
    <t>INV26-27/000404</t>
  </si>
  <si>
    <t>GrnCode50536977</t>
  </si>
  <si>
    <t>P4555180</t>
  </si>
  <si>
    <t>INV26-27/000405</t>
  </si>
  <si>
    <t>GrnCode48556746</t>
  </si>
  <si>
    <t>P4555149</t>
  </si>
  <si>
    <t>INV26-27/000406</t>
  </si>
  <si>
    <t>GrnCode49792371</t>
  </si>
  <si>
    <t>P4555022</t>
  </si>
  <si>
    <t>INV26-27/000407</t>
  </si>
  <si>
    <t>P4554580</t>
  </si>
  <si>
    <t>INV26-27/000408</t>
  </si>
  <si>
    <t>GrnCode50236089</t>
  </si>
  <si>
    <t>P4554547</t>
  </si>
  <si>
    <t>INV26-27/000409</t>
  </si>
  <si>
    <t xml:space="preserve">GrnCode49360185 </t>
  </si>
  <si>
    <t>P4551924</t>
  </si>
  <si>
    <t>INV26-27/000410</t>
  </si>
  <si>
    <t>P4577115</t>
  </si>
  <si>
    <t>INV26-27/000429</t>
  </si>
  <si>
    <t>GrnCode49672777</t>
  </si>
  <si>
    <t>P4577857</t>
  </si>
  <si>
    <t>INV26-27/000430</t>
  </si>
  <si>
    <t>GrnCode49153256</t>
  </si>
  <si>
    <t>P4577414</t>
  </si>
  <si>
    <t>INV26-27/000431</t>
  </si>
  <si>
    <t>GrnCode48556976</t>
  </si>
  <si>
    <t>P4597886</t>
  </si>
  <si>
    <t>INV26-27/000433</t>
  </si>
  <si>
    <t>GrnCode49829607</t>
  </si>
  <si>
    <t>P4598023</t>
  </si>
  <si>
    <t>INV26-27/000434</t>
  </si>
  <si>
    <t xml:space="preserve">GrnCode49466076 </t>
  </si>
  <si>
    <t>P4598693</t>
  </si>
  <si>
    <t>INV26-27/000435</t>
  </si>
  <si>
    <t xml:space="preserve">GrnCode49464733 </t>
  </si>
  <si>
    <t>P4598756</t>
  </si>
  <si>
    <t>INV26-27/000436</t>
  </si>
  <si>
    <t xml:space="preserve">GrnCode49360290 </t>
  </si>
  <si>
    <t>P4598881</t>
  </si>
  <si>
    <t>INV26-27/000437</t>
  </si>
  <si>
    <t xml:space="preserve">GrnCode49464688 </t>
  </si>
  <si>
    <t>P4599298</t>
  </si>
  <si>
    <t>INV26-27/000438</t>
  </si>
  <si>
    <t xml:space="preserve">GrnCode49578955 </t>
  </si>
  <si>
    <t>P4599787</t>
  </si>
  <si>
    <t>INV26-27/000439</t>
  </si>
  <si>
    <t>GrnCode50206672</t>
  </si>
  <si>
    <t>P4600244</t>
  </si>
  <si>
    <t>INV26-27/000440</t>
  </si>
  <si>
    <t>GrnCode50230819</t>
  </si>
  <si>
    <t>P4600792</t>
  </si>
  <si>
    <t>INV26-27/000441</t>
  </si>
  <si>
    <t xml:space="preserve">GrnCode49574031 </t>
  </si>
  <si>
    <t>P4600837</t>
  </si>
  <si>
    <t>INV26-27/000442</t>
  </si>
  <si>
    <t xml:space="preserve">GrnCode49466095 </t>
  </si>
  <si>
    <t>P4602653</t>
  </si>
  <si>
    <t>INV26-27/000443</t>
  </si>
  <si>
    <t xml:space="preserve">GrnCode49579445 </t>
  </si>
  <si>
    <t>P4610566</t>
  </si>
  <si>
    <t>INV26-27/000448</t>
  </si>
  <si>
    <t xml:space="preserve">GrnCode49517258 </t>
  </si>
  <si>
    <t>P4580309</t>
  </si>
  <si>
    <t>INV26-27/000455</t>
  </si>
  <si>
    <t xml:space="preserve">GrnCode49479523 </t>
  </si>
  <si>
    <t>P4579767</t>
  </si>
  <si>
    <t>INV26-27/000456</t>
  </si>
  <si>
    <t>P4610137</t>
  </si>
  <si>
    <t>INV26-27/000457</t>
  </si>
  <si>
    <t xml:space="preserve">GrnCode49479232 </t>
  </si>
  <si>
    <t>P4661681</t>
  </si>
  <si>
    <t>INV26-27/000467</t>
  </si>
  <si>
    <t>GrnCode50133256</t>
  </si>
  <si>
    <t>P4662574</t>
  </si>
  <si>
    <t>INV26-27/000468</t>
  </si>
  <si>
    <t>GrnCode50111598</t>
  </si>
  <si>
    <t>P4663178</t>
  </si>
  <si>
    <t>INV26-27/000469</t>
  </si>
  <si>
    <t>GrnCode50501249</t>
  </si>
  <si>
    <t>P4663390</t>
  </si>
  <si>
    <t>INV26-27/000470</t>
  </si>
  <si>
    <t>GrnCode50340323</t>
  </si>
  <si>
    <t>P4664929</t>
  </si>
  <si>
    <t>INV26-27/000471</t>
  </si>
  <si>
    <t>GrnCode50121551</t>
  </si>
  <si>
    <t>P4665456</t>
  </si>
  <si>
    <t>INV26-27/000472</t>
  </si>
  <si>
    <t>GrnCode50310500</t>
  </si>
  <si>
    <t>P4665711</t>
  </si>
  <si>
    <t>INV26-27/000473</t>
  </si>
  <si>
    <t>GrnCode50838402</t>
  </si>
  <si>
    <t>P4663626</t>
  </si>
  <si>
    <t>INV26-27/000475</t>
  </si>
  <si>
    <t>GrnCode50445316</t>
  </si>
  <si>
    <t>P4641634</t>
  </si>
  <si>
    <t>P4664252</t>
  </si>
  <si>
    <t>INV26-27/000476</t>
  </si>
  <si>
    <t>GrnCode50094400</t>
  </si>
  <si>
    <t>P4687586</t>
  </si>
  <si>
    <t>INV26-27/000480</t>
  </si>
  <si>
    <t>MUM - Shakti</t>
  </si>
  <si>
    <t>GrnCode50617838</t>
  </si>
  <si>
    <t>P4686660</t>
  </si>
  <si>
    <t>INV26-27/000481</t>
  </si>
  <si>
    <t>GrnCode50326125</t>
  </si>
  <si>
    <t>P4686591</t>
  </si>
  <si>
    <t>INV26-27/000482</t>
  </si>
  <si>
    <t>GrnCode50337256</t>
  </si>
  <si>
    <t>P4662313</t>
  </si>
  <si>
    <t>INV26-27/000483</t>
  </si>
  <si>
    <t>GrnCode50953530</t>
  </si>
  <si>
    <t>P4601061</t>
  </si>
  <si>
    <t>INV26-27/000484</t>
  </si>
  <si>
    <t>GrnCode50721654</t>
  </si>
  <si>
    <t>P4689814</t>
  </si>
  <si>
    <t>INV26-27/000485</t>
  </si>
  <si>
    <t>GrnCode50931129</t>
  </si>
  <si>
    <t>P4689481</t>
  </si>
  <si>
    <t>INV26-27/000486</t>
  </si>
  <si>
    <t>GrnCode50425414</t>
  </si>
  <si>
    <t>P4689452</t>
  </si>
  <si>
    <t>INV26-27/000487</t>
  </si>
  <si>
    <t>GrnCode50302968</t>
  </si>
  <si>
    <t>P4689412</t>
  </si>
  <si>
    <t>INV26-27/000488</t>
  </si>
  <si>
    <t>GrnCode50832573</t>
  </si>
  <si>
    <t>P4689409</t>
  </si>
  <si>
    <t>INV26-27/000489</t>
  </si>
  <si>
    <t>GrnCode50434902</t>
  </si>
  <si>
    <t>P4689406</t>
  </si>
  <si>
    <t>INV26-27/000490</t>
  </si>
  <si>
    <t>GrnCode50942957</t>
  </si>
  <si>
    <t>P4689756</t>
  </si>
  <si>
    <t>INV26-27/000491</t>
  </si>
  <si>
    <t>GrnCode50599713</t>
  </si>
  <si>
    <t>P4689476</t>
  </si>
  <si>
    <t>INV26-27/000492</t>
  </si>
  <si>
    <t>GrnCode50318372</t>
  </si>
  <si>
    <t>P4713808</t>
  </si>
  <si>
    <t>INV26-27/000499</t>
  </si>
  <si>
    <t>P4735126</t>
  </si>
  <si>
    <t>INV26-27/000504</t>
  </si>
  <si>
    <t>GrnCode50964506</t>
  </si>
  <si>
    <t>P4737458</t>
  </si>
  <si>
    <t>INV26-27/000505</t>
  </si>
  <si>
    <t>GrnCode50965489</t>
  </si>
  <si>
    <t>P4733994</t>
  </si>
  <si>
    <t>INV26-27/000506</t>
  </si>
  <si>
    <t>P4736267</t>
  </si>
  <si>
    <t>INV26-27/000507</t>
  </si>
  <si>
    <t>P4731610</t>
  </si>
  <si>
    <t>INV26-27/000508</t>
  </si>
  <si>
    <t>GrnCode50905219</t>
  </si>
  <si>
    <t>P4736440</t>
  </si>
  <si>
    <t>INV26-27/000509</t>
  </si>
  <si>
    <t>GrnCode50905040</t>
  </si>
  <si>
    <t>P4731929</t>
  </si>
  <si>
    <t>INV26-27/000510</t>
  </si>
  <si>
    <t>GrnCode50840354</t>
  </si>
  <si>
    <t>P4735986</t>
  </si>
  <si>
    <t>INV26-27/000511</t>
  </si>
  <si>
    <t>GrnCode50840130</t>
  </si>
  <si>
    <t>P4730260</t>
  </si>
  <si>
    <t>INV26-27/000512</t>
  </si>
  <si>
    <t>P4735551</t>
  </si>
  <si>
    <t>INV26-27/000513</t>
  </si>
  <si>
    <t>P4730443</t>
  </si>
  <si>
    <t>INV26-27/000514</t>
  </si>
  <si>
    <t>P4735903</t>
  </si>
  <si>
    <t>INV26-27/000515</t>
  </si>
  <si>
    <t>P4732955</t>
  </si>
  <si>
    <t>INV26-27/000517</t>
  </si>
  <si>
    <t>GrnCode51011080</t>
  </si>
  <si>
    <t>P4736344</t>
  </si>
  <si>
    <t>INV26-27/000518</t>
  </si>
  <si>
    <t>GrnCode51006519</t>
  </si>
  <si>
    <t>P4730926</t>
  </si>
  <si>
    <t>INV26-27/000519</t>
  </si>
  <si>
    <t>P4736874</t>
  </si>
  <si>
    <t>INV26-27/000520</t>
  </si>
  <si>
    <t>P4730250</t>
  </si>
  <si>
    <t>INV26-27/000521</t>
  </si>
  <si>
    <t>GrnCode50950868</t>
  </si>
  <si>
    <t>P4735667</t>
  </si>
  <si>
    <t>INV26-27/000522</t>
  </si>
  <si>
    <t>GrnCode50946951</t>
  </si>
  <si>
    <t>P4713800</t>
  </si>
  <si>
    <t>INV26-27/000523</t>
  </si>
  <si>
    <t>GrnCode50947774</t>
  </si>
  <si>
    <t>P4731334</t>
  </si>
  <si>
    <t>INV26-27/000527</t>
  </si>
  <si>
    <t>GrnCode50932883</t>
  </si>
  <si>
    <t>P4713951</t>
  </si>
  <si>
    <t>INV26-27/000528</t>
  </si>
  <si>
    <t>GrnCode50938027</t>
  </si>
  <si>
    <t>P4732683</t>
  </si>
  <si>
    <t>INV26-27/000529</t>
  </si>
  <si>
    <t>P4737428</t>
  </si>
  <si>
    <t>INV26-27/000530</t>
  </si>
  <si>
    <t>P4713290</t>
  </si>
  <si>
    <t>INV26-27/000531</t>
  </si>
  <si>
    <t>P4686916</t>
  </si>
  <si>
    <t>INV26-27/000533</t>
  </si>
  <si>
    <t>P212456</t>
  </si>
  <si>
    <t>INV24-25/000637</t>
  </si>
  <si>
    <t>P230570</t>
  </si>
  <si>
    <t>INV24-25/000650</t>
  </si>
  <si>
    <t>P228882</t>
  </si>
  <si>
    <t>INV24-25/000651</t>
  </si>
  <si>
    <t>P228789</t>
  </si>
  <si>
    <t>INV24-25/000652</t>
  </si>
  <si>
    <t>P227601</t>
  </si>
  <si>
    <t>INV24-25/000653</t>
  </si>
  <si>
    <t>INV24-25/000654</t>
  </si>
  <si>
    <t>INV24-25/000655</t>
  </si>
  <si>
    <t>P230253</t>
  </si>
  <si>
    <t>INV24-25/000656</t>
  </si>
  <si>
    <t>P136474</t>
  </si>
  <si>
    <t>INV24-25/000605</t>
  </si>
  <si>
    <t>LR-3491530041</t>
  </si>
  <si>
    <t>P263498</t>
  </si>
</sst>
</file>

<file path=xl/styles.xml><?xml version="1.0" encoding="utf-8"?>
<styleSheet xmlns="http://schemas.openxmlformats.org/spreadsheetml/2006/main">
  <numFmts count="7">
    <numFmt formatCode="dd/mm/yyyy" numFmtId="164"/>
    <numFmt formatCode="[$₹]#,##0.00" numFmtId="165"/>
    <numFmt formatCode="d/m/yy" numFmtId="166"/>
    <numFmt formatCode="#0.00" numFmtId="167"/>
    <numFmt formatCode="&quot;₹&quot;#,##0.00" numFmtId="168"/>
    <numFmt formatCode="#0" numFmtId="169"/>
    <numFmt formatCode="d/mm/yyyy" numFmtId="170"/>
  </numFmts>
  <fonts count="15">
    <font>
      <sz val="10"/>
      <color rgb="FF000000"/>
      <name val="Roboto"/>
    </font>
    <font>
      <sz val="9"/>
      <name val="Poppins"/>
    </font>
    <font>
      <sz val="10"/>
      <name val="Arial"/>
    </font>
    <font>
      <b/>
      <sz val="10"/>
      <name val="Arial"/>
    </font>
    <font>
      <sz val="10"/>
      <name val="Roboto"/>
    </font>
    <font>
      <sz val="10"/>
      <name val="Arial"/>
    </font>
    <font>
      <sz val="11.0"/>
      <name val="Calibri"/>
    </font>
    <font>
      <sz val="11"/>
      <name val="Calibri"/>
    </font>
    <font>
      <sz val="10"/>
      <name val="Roboto"/>
    </font>
    <font>
      <sz val="11"/>
      <name val="Roboto"/>
    </font>
    <font>
      <u/>
      <sz val="12"/>
      <color rgb="FF4A148C"/>
      <name val="IBM Plex Sans"/>
    </font>
    <font>
      <sz val="12"/>
      <color rgb="FF18191B"/>
      <name val="Lato 2"/>
    </font>
    <font>
      <sz val="11"/>
      <name val="Lato 2"/>
    </font>
    <font>
      <sz val="10"/>
      <name val="Roboto"/>
    </font>
    <font>
      <b/>
      <sz val="8"/>
      <name val="Ubuntu"/>
    </font>
  </fonts>
  <fills count="19">
    <fill>
      <patternFill patternType="none"/>
    </fill>
    <fill>
      <patternFill patternType="gray125"/>
    </fill>
    <fill>
      <patternFill patternType="solid">
        <fgColor rgb="FF83CBEB"/>
        <bgColor rgb="FF85C1E9"/>
      </patternFill>
    </fill>
    <fill>
      <patternFill patternType="solid">
        <fgColor rgb="FF83CBEB"/>
        <bgColor rgb="FF000000"/>
      </patternFill>
    </fill>
    <fill>
      <patternFill patternType="solid">
        <fgColor rgb="FFD9F2D0"/>
        <bgColor rgb="FFAAECC6"/>
      </patternFill>
    </fill>
    <fill>
      <patternFill patternType="solid">
        <fgColor rgb="FFF0AD7A"/>
        <bgColor rgb="FFF0AD7A"/>
      </patternFill>
    </fill>
    <fill>
      <patternFill patternType="solid">
        <fgColor rgb="FFD9F2D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5C8A7"/>
        <bgColor rgb="FFF5C8A7"/>
      </patternFill>
    </fill>
    <fill>
      <patternFill patternType="solid">
        <fgColor rgb="FFF6C6AD"/>
        <bgColor rgb="FFF6C6AD"/>
      </patternFill>
    </fill>
    <fill>
      <patternFill patternType="solid">
        <fgColor rgb="FF00FF00"/>
        <bgColor rgb="FF00FF00"/>
      </patternFill>
    </fill>
    <fill>
      <patternFill patternType="solid">
        <fgColor rgb="FFF6C6AD"/>
        <bgColor rgb="FF000000"/>
      </patternFill>
    </fill>
    <fill>
      <patternFill patternType="solid">
        <fgColor rgb="FFF6C6AD"/>
        <bgColor rgb="FFF5C8A7"/>
      </patternFill>
    </fill>
    <fill>
      <patternFill patternType="solid">
        <fgColor rgb="FFF6C6AD"/>
        <bgColor rgb="FFF0AD7A"/>
      </patternFill>
    </fill>
    <fill>
      <patternFill patternType="solid">
        <fgColor rgb="FFF6C6AD"/>
        <bgColor rgb="FFF6C6AD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4E5A2"/>
        <bgColor rgb="FFB4E5A2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FFFFFF"/>
      </left>
      <right/>
      <top style="thin">
        <color rgb="FFABABAB"/>
      </top>
      <bottom/>
      <diagonal/>
    </border>
    <border>
      <left style="thin">
        <color rgb="FFFFFFFF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borderId="0" fillId="0" fontId="0" numFmtId="0" xfId="0">
      <alignment vertical="top"/>
    </xf>
  </cellStyleXfs>
  <cellXfs count="170">
    <xf borderId="0" fillId="0" fontId="0" numFmtId="0" xfId="0">
      <alignment vertical="top"/>
    </xf>
    <xf borderId="0" fillId="0" fontId="1" numFmtId="0" xfId="0">
      <alignment vertical="top"/>
    </xf>
    <xf borderId="0" fillId="0" fontId="1" numFmtId="164" xfId="0">
      <alignment vertical="top"/>
    </xf>
    <xf borderId="0" fillId="0" fontId="2" numFmtId="165" xfId="0">
      <alignment vertical="top"/>
    </xf>
    <xf borderId="1" fillId="2" fontId="3" numFmtId="0" xfId="0">
      <alignment horizontal="center" vertical="top"/>
    </xf>
    <xf borderId="2" fillId="2" fontId="3" numFmtId="0" xfId="0">
      <alignment horizontal="center" vertical="top"/>
    </xf>
    <xf borderId="2" fillId="2" fontId="3" numFmtId="164" xfId="0">
      <alignment horizontal="center" vertical="top"/>
    </xf>
    <xf borderId="2" fillId="2" fontId="3" numFmtId="166" xfId="0">
      <alignment horizontal="center" vertical="top"/>
    </xf>
    <xf borderId="2" fillId="3" fontId="3" numFmtId="0" xfId="0">
      <alignment horizontal="center" vertical="top"/>
    </xf>
    <xf borderId="2" fillId="2" fontId="3" numFmtId="165" xfId="0">
      <alignment horizontal="center" vertical="top"/>
    </xf>
    <xf borderId="3" fillId="3" fontId="3" numFmtId="0" xfId="0">
      <alignment horizontal="center" vertical="top"/>
    </xf>
    <xf borderId="4" fillId="4" fontId="2" numFmtId="0" xfId="0">
      <alignment horizontal="center" vertical="top"/>
    </xf>
    <xf borderId="5" fillId="4" fontId="2" numFmtId="0" xfId="0">
      <alignment horizontal="center" vertical="top"/>
    </xf>
    <xf borderId="5" fillId="4" fontId="2" numFmtId="167" xfId="0">
      <alignment horizontal="center" vertical="top"/>
    </xf>
    <xf borderId="5" fillId="4" fontId="2" numFmtId="164" xfId="0">
      <alignment horizontal="center" vertical="top"/>
    </xf>
    <xf borderId="5" fillId="4" fontId="2" numFmtId="166" xfId="0">
      <alignment horizontal="center" vertical="top"/>
    </xf>
    <xf borderId="5" fillId="5" fontId="2" numFmtId="166" xfId="0">
      <alignment horizontal="center" vertical="top"/>
    </xf>
    <xf borderId="5" fillId="6" fontId="2" numFmtId="166" xfId="0">
      <alignment horizontal="center" vertical="top"/>
    </xf>
    <xf borderId="5" fillId="6" fontId="2" numFmtId="165" xfId="0">
      <alignment horizontal="center" vertical="top"/>
    </xf>
    <xf borderId="5" fillId="6" fontId="2" numFmtId="168" xfId="0">
      <alignment horizontal="center" vertical="top"/>
    </xf>
    <xf borderId="5" fillId="6" fontId="2" numFmtId="0" xfId="0">
      <alignment horizontal="center" vertical="top"/>
    </xf>
    <xf borderId="6" fillId="6" fontId="2" numFmtId="0" xfId="0">
      <alignment horizontal="center" vertical="top"/>
    </xf>
    <xf borderId="5" fillId="0" fontId="2" numFmtId="0" xfId="0">
      <alignment horizontal="center" vertical="top"/>
    </xf>
    <xf borderId="5" fillId="4" fontId="2" numFmtId="168" xfId="0">
      <alignment horizontal="center" vertical="top"/>
    </xf>
    <xf borderId="4" fillId="7" fontId="2" numFmtId="0" xfId="0">
      <alignment horizontal="center" vertical="top"/>
    </xf>
    <xf borderId="5" fillId="8" fontId="2" numFmtId="0" xfId="0">
      <alignment horizontal="center" vertical="top"/>
    </xf>
    <xf borderId="5" fillId="7" fontId="2" numFmtId="0" xfId="0">
      <alignment horizontal="center" vertical="top"/>
    </xf>
    <xf borderId="5" fillId="7" fontId="2" numFmtId="167" xfId="0">
      <alignment horizontal="center" vertical="top"/>
    </xf>
    <xf borderId="5" fillId="7" fontId="2" numFmtId="164" xfId="0">
      <alignment horizontal="center" vertical="top"/>
    </xf>
    <xf borderId="5" fillId="7" fontId="2" numFmtId="166" xfId="0">
      <alignment horizontal="center" vertical="top"/>
    </xf>
    <xf borderId="5" fillId="7" fontId="2" numFmtId="165" xfId="0">
      <alignment horizontal="center" vertical="top"/>
    </xf>
    <xf borderId="6" fillId="7" fontId="2" numFmtId="0" xfId="0">
      <alignment horizontal="center" vertical="top"/>
    </xf>
    <xf borderId="4" fillId="0" fontId="2" numFmtId="0" xfId="0">
      <alignment horizontal="center" vertical="top"/>
    </xf>
    <xf borderId="5" fillId="0" fontId="2" numFmtId="167" xfId="0">
      <alignment horizontal="center" vertical="top"/>
    </xf>
    <xf borderId="5" fillId="0" fontId="2" numFmtId="164" xfId="0">
      <alignment horizontal="center" vertical="top"/>
    </xf>
    <xf borderId="5" fillId="0" fontId="2" numFmtId="166" xfId="0">
      <alignment horizontal="center" vertical="top"/>
    </xf>
    <xf borderId="5" fillId="0" fontId="2" numFmtId="165" xfId="0">
      <alignment horizontal="center" vertical="top"/>
    </xf>
    <xf borderId="6" fillId="0" fontId="2" numFmtId="0" xfId="0">
      <alignment horizontal="center" vertical="top"/>
    </xf>
    <xf borderId="5" fillId="0" fontId="2" numFmtId="165" xfId="0">
      <alignment horizontal="center" vertical="top" wrapText="1"/>
    </xf>
    <xf borderId="0" fillId="9" fontId="1" numFmtId="0" xfId="0">
      <alignment vertical="top"/>
    </xf>
    <xf borderId="5" fillId="10" fontId="2" numFmtId="166" xfId="0">
      <alignment horizontal="center" vertical="top"/>
    </xf>
    <xf borderId="5" fillId="10" fontId="2" numFmtId="165" xfId="0">
      <alignment horizontal="center" vertical="top"/>
    </xf>
    <xf borderId="5" fillId="10" fontId="2" numFmtId="0" xfId="0">
      <alignment horizontal="center" vertical="top"/>
    </xf>
    <xf borderId="5" fillId="11" fontId="4" numFmtId="0" xfId="0">
      <alignment horizontal="center" vertical="top" wrapText="1"/>
    </xf>
    <xf borderId="6" fillId="10" fontId="2" numFmtId="0" xfId="0">
      <alignment horizontal="center" vertical="top"/>
    </xf>
    <xf borderId="6" fillId="12" fontId="2" numFmtId="0" xfId="0">
      <alignment horizontal="center" vertical="top"/>
    </xf>
    <xf borderId="4" fillId="13" fontId="2" numFmtId="0" xfId="0">
      <alignment horizontal="center" vertical="top"/>
    </xf>
    <xf borderId="5" fillId="13" fontId="2" numFmtId="0" xfId="0">
      <alignment horizontal="center" vertical="top"/>
    </xf>
    <xf borderId="5" fillId="13" fontId="2" numFmtId="167" xfId="0">
      <alignment horizontal="center" vertical="top"/>
    </xf>
    <xf borderId="5" fillId="13" fontId="2" numFmtId="164" xfId="0">
      <alignment horizontal="center" vertical="top"/>
    </xf>
    <xf borderId="5" fillId="13" fontId="2" numFmtId="166" xfId="0">
      <alignment horizontal="center" vertical="top"/>
    </xf>
    <xf borderId="5" fillId="12" fontId="2" numFmtId="165" xfId="0">
      <alignment horizontal="center" vertical="top"/>
    </xf>
    <xf borderId="5" fillId="0" fontId="2" numFmtId="0" xfId="0">
      <alignment horizontal="center" vertical="top" wrapText="1"/>
    </xf>
    <xf borderId="5" fillId="0" fontId="2" numFmtId="169" xfId="0">
      <alignment horizontal="center" vertical="top"/>
    </xf>
    <xf borderId="5" fillId="13" fontId="2" numFmtId="169" xfId="0">
      <alignment horizontal="center" vertical="top"/>
    </xf>
    <xf borderId="4" fillId="14" fontId="2" numFmtId="0" xfId="0">
      <alignment horizontal="center" vertical="top"/>
    </xf>
    <xf borderId="5" fillId="14" fontId="2" numFmtId="0" xfId="0">
      <alignment horizontal="center" vertical="top"/>
    </xf>
    <xf borderId="5" fillId="14" fontId="2" numFmtId="167" xfId="0">
      <alignment horizontal="center" vertical="top"/>
    </xf>
    <xf borderId="5" fillId="14" fontId="2" numFmtId="164" xfId="0">
      <alignment horizontal="center" vertical="top"/>
    </xf>
    <xf borderId="5" fillId="14" fontId="2" numFmtId="169" xfId="0">
      <alignment horizontal="center" vertical="top"/>
    </xf>
    <xf borderId="5" fillId="14" fontId="2" numFmtId="165" xfId="0">
      <alignment horizontal="center" vertical="top" wrapText="1"/>
    </xf>
    <xf borderId="5" fillId="12" fontId="2" numFmtId="0" xfId="0">
      <alignment horizontal="center" vertical="top"/>
    </xf>
    <xf borderId="5" fillId="0" fontId="5" numFmtId="0" xfId="0">
      <alignment horizontal="center" vertical="top"/>
    </xf>
    <xf borderId="7" fillId="0" fontId="2" numFmtId="0" xfId="0">
      <alignment horizontal="center" vertical="top"/>
    </xf>
    <xf borderId="8" fillId="0" fontId="2" numFmtId="0" xfId="0">
      <alignment horizontal="center" vertical="top"/>
    </xf>
    <xf borderId="8" fillId="0" fontId="2" numFmtId="167" xfId="0">
      <alignment horizontal="center" vertical="top"/>
    </xf>
    <xf borderId="8" fillId="0" fontId="2" numFmtId="164" xfId="0">
      <alignment horizontal="center" vertical="top"/>
    </xf>
    <xf borderId="8" fillId="0" fontId="2" numFmtId="169" xfId="0">
      <alignment horizontal="center" vertical="top"/>
    </xf>
    <xf borderId="8" fillId="5" fontId="2" numFmtId="166" xfId="0">
      <alignment horizontal="center" vertical="top"/>
    </xf>
    <xf borderId="8" fillId="0" fontId="2" numFmtId="166" xfId="0">
      <alignment horizontal="center" vertical="top"/>
    </xf>
    <xf borderId="8" fillId="0" fontId="2" numFmtId="165" xfId="0">
      <alignment horizontal="center" vertical="top"/>
    </xf>
    <xf borderId="9" fillId="0" fontId="2" numFmtId="0" xfId="0">
      <alignment horizontal="center" vertical="top"/>
    </xf>
    <xf borderId="1" fillId="0" fontId="2" numFmtId="0" xfId="0">
      <alignment horizontal="center" vertical="top"/>
    </xf>
    <xf borderId="2" fillId="0" fontId="2" numFmtId="0" xfId="0">
      <alignment horizontal="center" vertical="top"/>
    </xf>
    <xf borderId="2" fillId="0" fontId="2" numFmtId="167" xfId="0">
      <alignment horizontal="center" vertical="top"/>
    </xf>
    <xf borderId="2" fillId="0" fontId="2" numFmtId="164" xfId="0">
      <alignment horizontal="center" vertical="top"/>
    </xf>
    <xf borderId="2" fillId="0" fontId="2" numFmtId="169" xfId="0">
      <alignment horizontal="center" vertical="top"/>
    </xf>
    <xf borderId="2" fillId="5" fontId="2" numFmtId="166" xfId="0">
      <alignment horizontal="center" vertical="top"/>
    </xf>
    <xf borderId="2" fillId="0" fontId="2" numFmtId="166" xfId="0">
      <alignment horizontal="center" vertical="top"/>
    </xf>
    <xf borderId="2" fillId="0" fontId="2" numFmtId="165" xfId="0">
      <alignment horizontal="center" vertical="top"/>
    </xf>
    <xf borderId="3" fillId="0" fontId="2" numFmtId="0" xfId="0">
      <alignment horizontal="center" vertical="top"/>
    </xf>
    <xf borderId="5" fillId="15" fontId="2" numFmtId="166" xfId="0">
      <alignment horizontal="center" vertical="top"/>
    </xf>
    <xf borderId="4" fillId="5" fontId="2" numFmtId="166" xfId="0">
      <alignment horizontal="center" vertical="top"/>
    </xf>
    <xf borderId="7" fillId="0" fontId="2" numFmtId="166" xfId="0">
      <alignment horizontal="center" vertical="top"/>
    </xf>
    <xf borderId="1" fillId="0" fontId="2" numFmtId="166" xfId="0">
      <alignment horizontal="center" vertical="top"/>
    </xf>
    <xf borderId="5" fillId="0" fontId="2" numFmtId="165" xfId="0">
      <alignment horizontal="center" vertical="bottom"/>
    </xf>
    <xf borderId="5" fillId="16" fontId="2" numFmtId="0" xfId="0">
      <alignment horizontal="center" vertical="top"/>
    </xf>
    <xf borderId="8" fillId="0" fontId="2" numFmtId="165" xfId="0">
      <alignment horizontal="center" vertical="bottom"/>
    </xf>
    <xf borderId="5" fillId="0" fontId="2" numFmtId="0" xfId="0">
      <alignment vertical="top"/>
    </xf>
    <xf borderId="5" fillId="0" fontId="1" numFmtId="0" xfId="0">
      <alignment vertical="top"/>
    </xf>
    <xf borderId="5" fillId="0" fontId="2" numFmtId="0" xfId="0">
      <alignment horizontal="right" vertical="top"/>
    </xf>
    <xf borderId="8" fillId="0" fontId="2" numFmtId="0" xfId="0">
      <alignment horizontal="right" vertical="top"/>
    </xf>
    <xf borderId="8" fillId="0" fontId="5" numFmtId="170" xfId="0">
      <alignment horizontal="center" vertical="top"/>
    </xf>
    <xf borderId="8" fillId="0" fontId="5" numFmtId="165" xfId="0">
      <alignment horizontal="center" vertical="top" wrapText="1"/>
    </xf>
    <xf borderId="5" fillId="0" fontId="5" numFmtId="170" xfId="0">
      <alignment horizontal="center" vertical="top"/>
    </xf>
    <xf borderId="8" fillId="0" fontId="6" numFmtId="0" xfId="0">
      <alignment vertical="top"/>
    </xf>
    <xf borderId="10" fillId="0" fontId="6" numFmtId="0" xfId="0">
      <alignment vertical="top"/>
    </xf>
    <xf borderId="6" fillId="0" fontId="7" numFmtId="0" xfId="0">
      <alignment horizontal="right" vertical="top"/>
    </xf>
    <xf borderId="6" fillId="0" fontId="7" numFmtId="0" xfId="0">
      <alignment horizontal="right" vertical="top" wrapText="1"/>
    </xf>
    <xf borderId="8" fillId="0" fontId="1" numFmtId="0" xfId="0">
      <alignment vertical="top"/>
    </xf>
    <xf borderId="6" fillId="0" fontId="1" numFmtId="0" xfId="0">
      <alignment vertical="top"/>
    </xf>
    <xf borderId="4" fillId="0" fontId="1" numFmtId="0" xfId="0">
      <alignment vertical="top"/>
    </xf>
    <xf borderId="9" fillId="0" fontId="7" numFmtId="0" xfId="0">
      <alignment horizontal="right" vertical="top" wrapText="1"/>
    </xf>
    <xf borderId="2" fillId="0" fontId="1" numFmtId="0" xfId="0">
      <alignment vertical="top"/>
    </xf>
    <xf borderId="5" fillId="0" fontId="8" numFmtId="0" xfId="0">
      <alignment vertical="top"/>
    </xf>
    <xf borderId="5" fillId="0" fontId="9" numFmtId="0" xfId="0">
      <alignment horizontal="right" vertical="top"/>
    </xf>
    <xf borderId="3" fillId="0" fontId="7" numFmtId="0" xfId="0">
      <alignment horizontal="right" vertical="top" wrapText="1"/>
    </xf>
    <xf borderId="5" fillId="17" fontId="7" numFmtId="0" xfId="0">
      <alignment horizontal="right" vertical="top" wrapText="1"/>
    </xf>
    <xf borderId="5" fillId="0" fontId="7" numFmtId="0" xfId="0">
      <alignment horizontal="right" vertical="top" wrapText="1"/>
    </xf>
    <xf borderId="5" fillId="0" fontId="6" numFmtId="0" xfId="0">
      <alignment vertical="top"/>
    </xf>
    <xf borderId="6" fillId="0" fontId="2" numFmtId="166" xfId="0">
      <alignment horizontal="center" vertical="top"/>
    </xf>
    <xf borderId="7" fillId="0" fontId="1" numFmtId="0" xfId="0">
      <alignment vertical="top"/>
    </xf>
    <xf borderId="11" fillId="0" fontId="2" numFmtId="165" xfId="0">
      <alignment horizontal="center" vertical="bottom"/>
    </xf>
    <xf borderId="6" fillId="0" fontId="2" numFmtId="0" xfId="0">
      <alignment vertical="top"/>
    </xf>
    <xf borderId="2" fillId="0" fontId="6" numFmtId="0" xfId="0">
      <alignment vertical="top"/>
    </xf>
    <xf borderId="6" fillId="0" fontId="6" numFmtId="0" xfId="0">
      <alignment vertical="top"/>
    </xf>
    <xf borderId="10" fillId="0" fontId="2" numFmtId="0" xfId="0">
      <alignment horizontal="center" vertical="top"/>
    </xf>
    <xf borderId="4" fillId="10" fontId="2" numFmtId="0" xfId="0">
      <alignment horizontal="center" vertical="top"/>
    </xf>
    <xf borderId="8" fillId="10" fontId="2" numFmtId="0" xfId="0">
      <alignment horizontal="center" vertical="top"/>
    </xf>
    <xf borderId="5" fillId="10" fontId="2" numFmtId="167" xfId="0">
      <alignment horizontal="center" vertical="top"/>
    </xf>
    <xf borderId="5" fillId="10" fontId="2" numFmtId="164" xfId="0">
      <alignment horizontal="center" vertical="top"/>
    </xf>
    <xf borderId="5" fillId="10" fontId="2" numFmtId="0" xfId="0">
      <alignment vertical="top"/>
    </xf>
    <xf borderId="5" fillId="10" fontId="6" numFmtId="0" xfId="0">
      <alignment vertical="top"/>
    </xf>
    <xf borderId="8" fillId="0" fontId="2" numFmtId="0" xfId="0">
      <alignment vertical="top"/>
    </xf>
    <xf borderId="7" fillId="5" fontId="2" numFmtId="166" xfId="0">
      <alignment horizontal="center" vertical="top"/>
    </xf>
    <xf borderId="12" fillId="5" fontId="2" numFmtId="166" xfId="0">
      <alignment horizontal="center" vertical="top"/>
    </xf>
    <xf borderId="10" fillId="0" fontId="2" numFmtId="166" xfId="0">
      <alignment horizontal="center" vertical="top"/>
    </xf>
    <xf borderId="1" fillId="5" fontId="2" numFmtId="166" xfId="0">
      <alignment horizontal="center" vertical="top"/>
    </xf>
    <xf borderId="7" fillId="0" fontId="2" numFmtId="165" xfId="0">
      <alignment horizontal="center" vertical="bottom"/>
    </xf>
    <xf borderId="10" fillId="0" fontId="2" numFmtId="167" xfId="0">
      <alignment horizontal="center" vertical="top"/>
    </xf>
    <xf borderId="11" fillId="0" fontId="2" numFmtId="0" xfId="0">
      <alignment horizontal="center" vertical="top"/>
    </xf>
    <xf borderId="9" fillId="0" fontId="2" numFmtId="167" xfId="0">
      <alignment horizontal="center" vertical="top"/>
    </xf>
    <xf borderId="4" fillId="0" fontId="6" numFmtId="0" xfId="0">
      <alignment vertical="top"/>
    </xf>
    <xf borderId="4" fillId="0" fontId="2" numFmtId="165" xfId="0">
      <alignment horizontal="center" vertical="top"/>
    </xf>
    <xf borderId="8" fillId="0" fontId="5" numFmtId="0" xfId="0">
      <alignment horizontal="center" vertical="top"/>
    </xf>
    <xf borderId="5" fillId="0" fontId="10" numFmtId="0" xfId="0">
      <alignment horizontal="left" vertical="top"/>
    </xf>
    <xf borderId="8" fillId="0" fontId="5" numFmtId="164" xfId="0">
      <alignment horizontal="center" vertical="top"/>
    </xf>
    <xf borderId="8" fillId="10" fontId="2" numFmtId="167" xfId="0">
      <alignment horizontal="center" vertical="top"/>
    </xf>
    <xf borderId="10" fillId="10" fontId="6" numFmtId="0" xfId="0">
      <alignment vertical="top"/>
    </xf>
    <xf borderId="11" fillId="0" fontId="6" numFmtId="0" xfId="0">
      <alignment vertical="top"/>
    </xf>
    <xf borderId="8" fillId="0" fontId="8" numFmtId="0" xfId="0">
      <alignment vertical="top"/>
    </xf>
    <xf borderId="5" fillId="0" fontId="8" numFmtId="0" xfId="0">
      <alignment horizontal="right" vertical="top"/>
    </xf>
    <xf borderId="8" fillId="18" fontId="2" numFmtId="0" xfId="0">
      <alignment horizontal="center" vertical="top"/>
    </xf>
    <xf borderId="5" fillId="10" fontId="8" numFmtId="0" xfId="0">
      <alignment vertical="top"/>
    </xf>
    <xf borderId="6" fillId="0" fontId="8" numFmtId="0" xfId="0">
      <alignment vertical="top"/>
    </xf>
    <xf borderId="9" fillId="0" fontId="8" numFmtId="0" xfId="0">
      <alignment vertical="top"/>
    </xf>
    <xf borderId="5" fillId="0" fontId="11" numFmtId="0" xfId="0">
      <alignment horizontal="left" vertical="top"/>
    </xf>
    <xf borderId="6" fillId="10" fontId="8" numFmtId="0" xfId="0">
      <alignment vertical="top"/>
    </xf>
    <xf borderId="5" fillId="0" fontId="12" numFmtId="0" xfId="0">
      <alignment horizontal="left" vertical="top" wrapText="1"/>
    </xf>
    <xf borderId="5" fillId="0" fontId="5" numFmtId="164" xfId="0">
      <alignment horizontal="center" vertical="top"/>
    </xf>
    <xf borderId="13" fillId="0" fontId="13" numFmtId="0" xfId="0">
      <alignment vertical="top"/>
    </xf>
    <xf borderId="14" fillId="0" fontId="13" numFmtId="0" xfId="0">
      <alignment vertical="top"/>
    </xf>
    <xf borderId="15" fillId="0" fontId="13" numFmtId="0" xfId="0">
      <alignment vertical="top"/>
    </xf>
    <xf borderId="16" fillId="0" fontId="13" numFmtId="0" xfId="0">
      <alignment vertical="top"/>
    </xf>
    <xf borderId="17" fillId="0" fontId="13" numFmtId="0" xfId="0">
      <alignment vertical="top"/>
    </xf>
    <xf borderId="16" fillId="0" fontId="13" numFmtId="165" xfId="0">
      <alignment vertical="top"/>
    </xf>
    <xf borderId="17" fillId="0" fontId="13" numFmtId="168" xfId="0">
      <alignment vertical="top"/>
    </xf>
    <xf borderId="0" fillId="0" fontId="13" numFmtId="0" xfId="0">
      <alignment vertical="top"/>
    </xf>
    <xf borderId="0" fillId="0" fontId="8" numFmtId="0" xfId="0">
      <alignment vertical="top"/>
    </xf>
    <xf borderId="0" fillId="0" fontId="8" numFmtId="165" xfId="0">
      <alignment vertical="top"/>
    </xf>
    <xf borderId="0" fillId="0" fontId="8" numFmtId="168" xfId="0">
      <alignment vertical="top"/>
    </xf>
    <xf borderId="18" fillId="0" fontId="13" numFmtId="0" xfId="0">
      <alignment vertical="top"/>
    </xf>
    <xf borderId="0" fillId="0" fontId="13" numFmtId="165" xfId="0">
      <alignment vertical="top"/>
    </xf>
    <xf borderId="19" fillId="0" fontId="13" numFmtId="168" xfId="0">
      <alignment vertical="top"/>
    </xf>
    <xf borderId="20" fillId="0" fontId="13" numFmtId="0" xfId="0">
      <alignment vertical="top"/>
    </xf>
    <xf borderId="21" fillId="0" fontId="13" numFmtId="165" xfId="0">
      <alignment vertical="top"/>
    </xf>
    <xf borderId="22" fillId="0" fontId="13" numFmtId="168" xfId="0">
      <alignment vertical="top"/>
    </xf>
    <xf borderId="0" fillId="0" fontId="13" numFmtId="168" xfId="0">
      <alignment vertical="top"/>
    </xf>
    <xf borderId="5" fillId="0" fontId="14" numFmtId="165" xfId="0">
      <alignment horizontal="right" vertical="top" wrapText="1"/>
    </xf>
    <xf borderId="0" fillId="0" fontId="2" numFmtId="166" xfId="0">
      <alignment horizontal="center" vertical="top"/>
    </xf>
  </cellXfs>
  <cellStyles count="1">
    <cellStyle name="Normal" xfId="0" builtinId="0" customBuiltin="1"/>
  </cellStyles>
  <dxfs count="19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  <vertical/>
        <horizontal/>
      </border>
    </dxf>
    <dxf>
      <font>
        <color rgb="FFE7484D"/>
      </font>
      <fill>
        <patternFill patternType="solid">
          <fgColor rgb="FFF8CDCF"/>
          <bgColor rgb="FFF8CDCF"/>
        </patternFill>
      </fill>
    </dxf>
    <dxf>
      <font>
        <color rgb="FF259650"/>
      </font>
      <fill>
        <patternFill patternType="solid">
          <fgColor rgb="FF9BDEB4"/>
          <bgColor rgb="FF9BDEB4"/>
        </patternFill>
      </fill>
    </dxf>
    <dxf>
      <font>
        <color rgb="FF8C841C"/>
      </font>
      <fill>
        <patternFill patternType="solid">
          <fgColor rgb="FFF8F5CB"/>
          <bgColor rgb="FFF8F5CB"/>
        </patternFill>
      </fill>
    </dxf>
    <dxf>
      <font/>
      <border>
        <left style="thin">
          <color rgb="FFABABAB"/>
        </left>
        <right/>
        <top style="thin">
          <color rgb="FFABABAB"/>
        </top>
        <bottom/>
        <diagonal/>
        <vertical/>
        <horizontal/>
      </border>
    </dxf>
    <dxf>
      <font/>
      <border>
        <left style="thin">
          <color rgb="FFFFFFFF"/>
        </left>
        <right/>
        <top style="thin">
          <color rgb="FFABABAB"/>
        </top>
        <bottom/>
        <diagonal/>
        <vertical/>
        <horizontal/>
      </border>
    </dxf>
    <dxf>
      <font/>
      <border>
        <left style="thin">
          <color rgb="FFFFFFFF"/>
        </left>
        <right style="thin">
          <color rgb="FFABABAB"/>
        </right>
        <top style="thin">
          <color rgb="FFABABAB"/>
        </top>
        <bottom/>
        <diagonal/>
        <vertical/>
        <horizontal/>
      </border>
    </dxf>
    <dxf>
      <font/>
      <border>
        <left/>
        <right/>
        <top style="thin">
          <color rgb="FFABABAB"/>
        </top>
        <bottom/>
        <diagonal/>
        <vertical/>
        <horizontal/>
      </border>
    </dxf>
    <dxf>
      <font/>
      <border>
        <left/>
        <right style="thin">
          <color rgb="FFABABAB"/>
        </right>
        <top style="thin">
          <color rgb="FFABABAB"/>
        </top>
        <bottom/>
        <diagonal/>
        <vertical/>
        <horizontal/>
      </border>
    </dxf>
    <dxf>
      <numFmt formatCode="[$₹]#,##0.00" numFmtId="164"/>
      <font/>
      <border>
        <left/>
        <right/>
        <top style="thin">
          <color rgb="FFABABAB"/>
        </top>
        <bottom/>
        <diagonal/>
        <vertical/>
        <horizontal/>
      </border>
    </dxf>
    <dxf>
      <numFmt formatCode="&quot;₹&quot;#,##0.00" numFmtId="165"/>
      <font/>
      <border>
        <left/>
        <right style="thin">
          <color rgb="FFABABAB"/>
        </right>
        <top style="thin">
          <color rgb="FFABABAB"/>
        </top>
        <bottom/>
        <diagonal/>
        <vertical/>
        <horizontal/>
      </border>
    </dxf>
    <dxf>
      <font/>
      <border>
        <left style="thin">
          <color rgb="FFABABAB"/>
        </left>
        <right/>
        <top/>
        <bottom/>
        <diagonal/>
        <vertical/>
        <horizontal/>
      </border>
    </dxf>
    <dxf>
      <numFmt formatCode="[$₹]#,##0.00" numFmtId="164"/>
      <font/>
    </dxf>
    <dxf>
      <numFmt formatCode="&quot;₹&quot;#,##0.00" numFmtId="165"/>
      <font/>
      <border>
        <left/>
        <right style="thin">
          <color rgb="FFABABAB"/>
        </right>
        <top/>
        <bottom/>
        <diagonal/>
        <vertical/>
        <horizontal/>
      </border>
    </dxf>
    <dxf>
      <font/>
      <border>
        <left style="thin">
          <color rgb="FFABABAB"/>
        </left>
        <right/>
        <top style="thin">
          <color rgb="FFABABAB"/>
        </top>
        <bottom style="thin">
          <color rgb="FFABABAB"/>
        </bottom>
        <diagonal/>
        <vertical/>
        <horizontal/>
      </border>
    </dxf>
    <dxf>
      <numFmt formatCode="[$₹]#,##0.00" numFmtId="164"/>
      <font/>
      <border>
        <left/>
        <right/>
        <top style="thin">
          <color rgb="FFABABAB"/>
        </top>
        <bottom style="thin">
          <color rgb="FFABABAB"/>
        </bottom>
        <diagonal/>
        <vertical/>
        <horizontal/>
      </border>
    </dxf>
    <dxf>
      <numFmt formatCode="&quot;₹&quot;#,##0.00" numFmtId="165"/>
      <font/>
      <border>
        <left/>
        <right style="thin">
          <color rgb="FFABABAB"/>
        </right>
        <top style="thin">
          <color rgb="FFABABAB"/>
        </top>
        <bottom style="thin">
          <color rgb="FFABABAB"/>
        </bottom>
        <diagonal/>
        <vertical/>
        <horizontal/>
      </border>
    </dxf>
    <dxf>
      <font/>
    </dxf>
    <dxf>
      <numFmt formatCode="&quot;₹&quot;#,##0.00" numFmtId="165"/>
      <font/>
    </dxf>
  </dxfs>
  <tableStyles count="1" defaultPivotStyle="PivotStyleLight16" defaultTableStyle="TableStyleMedium2">
    <tableStyle name="EMPTY_TABLESTYLE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pivotCache/pivotCacheDefinition1.xml" Id="rId3" Type="http://schemas.openxmlformats.org/officeDocument/2006/relationships/pivotCacheDefinition"/><Relationship Target="worksheets/sheet3.xml" Id="rId4" Type="http://schemas.openxmlformats.org/officeDocument/2006/relationships/worksheet"/><Relationship Target="sharedStrings.xml" Id="rId5" Type="http://schemas.openxmlformats.org/officeDocument/2006/relationships/sharedStrings"/><Relationship Target="styles.xml" Id="rId6" Type="http://schemas.openxmlformats.org/officeDocument/2006/relationships/style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6" invalid="1" refreshOnLoad="1">
  <cacheSource type="worksheet">
    <worksheetSource name="Table1"/>
  </cacheSource>
  <cacheFields count="14">
    <cacheField name="PO Number "/>
    <cacheField name="Invoice Number ">
      <sharedItems/>
    </cacheField>
    <cacheField name="Cities">
      <sharedItems/>
    </cacheField>
    <cacheField name="QTY">
      <sharedItems/>
    </cacheField>
    <cacheField name="Delivery Date">
      <sharedItems/>
    </cacheField>
    <cacheField name="Courier">
      <sharedItems/>
    </cacheField>
    <cacheField name="LRN">
      <sharedItems/>
    </cacheField>
    <cacheField name="GRN">
      <sharedItems/>
    </cacheField>
    <cacheField name="Payment Due Date">
      <sharedItems/>
    </cacheField>
    <cacheField name="Payment Status">
      <sharedItems containsBlank="1"/>
    </cacheField>
    <cacheField name="Amount pending"/>
    <cacheField name="Amount Paid"/>
    <cacheField name="Notes">
      <sharedItems/>
    </cacheField>
    <cacheField name="Zepto Sheet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Tables/_rels/pivotTable1.xml.rels><?xml version="1.0" encoding="UTF-8" standalone="yes"?><Relationships xmlns="http://schemas.openxmlformats.org/package/2006/relationships"><Relationship Target="../pivotCache/pivotCacheDefinition1.xml" Id="rId1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PivotTable1" cacheId="1" dataCaption="" updatedVersion="8" createdVersion="8" compact="0" compactData="0">
  <location ref="A3:D12" firstHeaderRow="1" firstDataRow="2" firstDataCol="1"/>
  <pivotFields count="14"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axis="axisRow" sortType="ascending">
      <items count="0">
        <item t="default"/>
      </items>
    </pivotField>
    <pivotField compact="0" outline="0" subtotalTop="0" showAll="0" multipleItemSelectionAllowed="1" dataField="1" sortType="ascending">
      <items count="0">
        <item t="default"/>
      </items>
    </pivotField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</pivotFields>
  <rowFields count="1">
    <field x="9"/>
  </rowFields>
  <colFields count="1">
    <field x="-2"/>
  </colFields>
  <dataFields count="3">
    <dataField fld="0" name="Count of PO Number " subtotal="count"/>
    <dataField fld="10" name="Sum of Amount pending" subtotal="sum"/>
    <dataField fld="11" name="Sum of Amount Paid" subtotal="sum"/>
  </dataFields>
  <formats count="24">
    <format dxfId="4">
      <pivotArea type="origin" dataOnly="0" labelOnly="1" outline="0"/>
    </format>
    <format dxfId="4">
      <pivotArea type="button" dataOnly="0" labelOnly="1" outline="0" fieldPosition="0"/>
    </format>
    <format dxfId="5">
      <pivotArea type="topRight" dataOnly="0" labelOnly="1" outline="0" offset="A1"/>
    </format>
    <format dxfId="6">
      <pivotArea type="topRight" dataOnly="0" labelOnly="1" outline="0" offset="B1"/>
    </format>
    <format dxfId="4">
      <pivotArea field="9" type="button" dataOnly="0" labelOnly="1" outline="0" axis="axisRow" fieldPosition="0">
        <references count="1">
          <reference field="9" count="0"/>
        </references>
      </pivotArea>
    </format>
    <format dxfId="4">
      <pivotArea dataOnly="0" labelOnly="1" grandCol="1" outline="0">
        <references count="1">
          <reference field="4294967294" count="1">
            <x v="0"/>
          </reference>
        </references>
      </pivotArea>
    </format>
    <format dxfId="7">
      <pivotArea dataOnly="0" labelOnly="1" grandCol="1" outline="0">
        <references count="1">
          <reference field="4294967294" count="1">
            <x v="1"/>
          </reference>
        </references>
      </pivotArea>
    </format>
    <format dxfId="8">
      <pivotArea dataOnly="0" labelOnly="1" grandCol="1" outline="0">
        <references count="1">
          <reference field="4294967294" count="1">
            <x v="2"/>
          </reference>
        </references>
      </pivotArea>
    </format>
    <format dxfId="4">
      <pivotArea dataOnly="0" labelOnly="1" outline="0">
        <references count="1">
          <reference field="9" count="1">
            <x v="0"/>
          </reference>
        </references>
      </pivotArea>
    </format>
    <format dxfId="4">
      <pivotArea grandCol="1" outline="0" field="9" axis="axisRow">
        <references count="2">
          <reference field="9" count="1">
            <x v="0"/>
          </reference>
          <reference field="4294967294" count="1">
            <x v="0"/>
          </reference>
        </references>
      </pivotArea>
    </format>
    <format dxfId="9">
      <pivotArea grandCol="1" outline="0" field="9" axis="axisRow">
        <references count="2">
          <reference field="9" count="1">
            <x v="0"/>
          </reference>
          <reference field="4294967294" count="1">
            <x v="1"/>
          </reference>
        </references>
      </pivotArea>
    </format>
    <format dxfId="10">
      <pivotArea grandCol="1" outline="0" field="9" axis="axisRow">
        <references count="2">
          <reference field="9" count="1">
            <x v="0"/>
          </reference>
          <reference field="4294967294" count="1">
            <x v="2"/>
          </reference>
        </references>
      </pivotArea>
    </format>
    <format dxfId="11">
      <pivotArea dataOnly="0" labelOnly="1" outline="0">
        <references count="1">
          <reference field="9" count="2">
            <x v="3"/>
            <x v="4"/>
          </reference>
        </references>
      </pivotArea>
    </format>
    <format dxfId="11">
      <pivotArea grandCol="1" outline="0" field="9" axis="axisRow">
        <references count="2">
          <reference field="9" count="2">
            <x v="3"/>
            <x v="4"/>
          </reference>
          <reference field="4294967294" count="1">
            <x v="0"/>
          </reference>
        </references>
      </pivotArea>
    </format>
    <format dxfId="12">
      <pivotArea grandCol="1" outline="0" field="9" axis="axisRow">
        <references count="2">
          <reference field="9" count="2">
            <x v="3"/>
            <x v="4"/>
          </reference>
          <reference field="4294967294" count="1">
            <x v="1"/>
          </reference>
        </references>
      </pivotArea>
    </format>
    <format dxfId="13">
      <pivotArea grandCol="1" outline="0" field="9" axis="axisRow">
        <references count="2">
          <reference field="9" count="2">
            <x v="3"/>
            <x v="4"/>
          </reference>
          <reference field="4294967294" count="1">
            <x v="2"/>
          </reference>
        </references>
      </pivotArea>
    </format>
    <format dxfId="14">
      <pivotArea dataOnly="0" labelOnly="1" outline="0">
        <references count="1">
          <reference field="9" count="1">
            <x v="5"/>
          </reference>
        </references>
      </pivotArea>
    </format>
    <format dxfId="14">
      <pivotArea grandCol="1" outline="0" field="9" axis="axisRow">
        <references count="2">
          <reference field="9" count="1">
            <x v="5"/>
          </reference>
          <reference field="4294967294" count="1">
            <x v="0"/>
          </reference>
        </references>
      </pivotArea>
    </format>
    <format dxfId="15">
      <pivotArea grandCol="1" outline="0" field="9" axis="axisRow">
        <references count="2">
          <reference field="9" count="1">
            <x v="5"/>
          </reference>
          <reference field="4294967294" count="1">
            <x v="1"/>
          </reference>
        </references>
      </pivotArea>
    </format>
    <format dxfId="16">
      <pivotArea grandCol="1" outline="0" field="9" axis="axisRow">
        <references count="2">
          <reference field="9" count="1">
            <x v="5"/>
          </reference>
          <reference field="4294967294" count="1">
            <x v="2"/>
          </reference>
        </references>
      </pivotArea>
    </format>
    <format dxfId="17">
      <pivotArea dataOnly="0" labelOnly="1" outline="0">
        <references count="1">
          <reference field="9" count="0"/>
        </references>
      </pivotArea>
    </format>
    <format dxfId="17">
      <pivotArea grandCol="1" outline="0" field="9" axis="axisRow">
        <references count="2">
          <reference field="9" count="0"/>
          <reference field="4294967294" count="1">
            <x v="0"/>
          </reference>
        </references>
      </pivotArea>
    </format>
    <format dxfId="12">
      <pivotArea grandCol="1" outline="0" field="9" axis="axisRow">
        <references count="2">
          <reference field="9" count="0"/>
          <reference field="4294967294" count="1">
            <x v="1"/>
          </reference>
        </references>
      </pivotArea>
    </format>
    <format dxfId="18">
      <pivotArea grandCol="1" outline="0" field="9" axis="axisRow">
        <references count="2">
          <reference field="9" count="0"/>
          <reference field="4294967294" count="1">
            <x v="2"/>
          </reference>
        </references>
      </pivotArea>
    </format>
  </formats>
</pivotTableDefinition>
</file>

<file path=xl/tables/table1.xml><?xml version="1.0" encoding="utf-8"?>
<table xmlns="http://schemas.openxmlformats.org/spreadsheetml/2006/main" id="1" name="Table1" displayName="Table1" ref="A1:N262102">
  <tableColumns count="14">
    <tableColumn id="1" name="PO Number "/>
    <tableColumn id="2" name="Invoice Number "/>
    <tableColumn id="3" name="Cities"/>
    <tableColumn id="4" name="QTY"/>
    <tableColumn id="5" name="Delivery Date"/>
    <tableColumn id="6" name="Courier"/>
    <tableColumn id="7" name="LRN"/>
    <tableColumn id="8" name="GRN"/>
    <tableColumn id="9" name="Payment Due Date"/>
    <tableColumn id="10" name="Payment Status"/>
    <tableColumn id="11" name="Amount pending"/>
    <tableColumn id="12" name="Amount Paid"/>
    <tableColumn id="13" name="Notes"/>
    <tableColumn id="14" name="Zepto Sheet"/>
  </tableColumns>
  <tableStyleInfo name="EMPTY_TABLESTYL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brands.zepto.co.in/vendor/po/grn/GrnCode35510575" TargetMode="External"/><Relationship Target="../tables/table1.xml" Id="rId2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Target="../pivotTables/pivotTable1.xml" Id="rId1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Q1456"/>
  <sheetViews>
    <sheetView workbookViewId="0"/>
  </sheetViews>
  <sheetFormatPr defaultRowHeight="14.0" customHeight="1"/>
  <cols>
    <col min="1" max="1" style="1" width="15.76"/>
    <col min="2" max="2" style="1" width="19.34"/>
    <col min="3" max="3" style="1" width="24.9"/>
    <col min="4" max="4" style="1" width="9.14"/>
    <col min="5" max="5" style="2" width="16.69"/>
    <col min="6" max="7" style="1" width="13.77"/>
    <col min="8" max="8" style="1" width="18.01"/>
    <col min="9" max="9" style="1" width="21.33"/>
    <col min="10" max="10" style="1" width="18.94"/>
    <col min="11" max="11" style="3" width="19.47"/>
    <col min="12" max="12" style="1" width="19.87"/>
    <col min="13" max="13" style="1" width="34.84"/>
    <col min="14" max="14" style="1" width="15.63"/>
    <col min="15" max="1025" style="1" width="13.24"/>
    <col min="1026" max="2048" width="10.59"/>
  </cols>
  <sheetData>
    <row r="1" ht="15.0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5" t="s">
        <v>8</v>
      </c>
      <c r="J1" s="8" t="s">
        <v>9</v>
      </c>
      <c r="K1" s="9" t="s">
        <v>10</v>
      </c>
      <c r="L1" s="5" t="s">
        <v>11</v>
      </c>
      <c r="M1" s="5" t="s">
        <v>12</v>
      </c>
      <c r="N1" s="10" t="s">
        <v>13</v>
      </c>
      <c r="Q1" s="1">
        <f>TODAY()</f>
        <v>46205</v>
      </c>
    </row>
    <row r="2" ht="14.0">
      <c r="A2" s="11">
        <v>3.100356806E9</v>
      </c>
      <c r="B2" s="12" t="s">
        <v>14</v>
      </c>
      <c r="C2" s="12" t="s">
        <v>15</v>
      </c>
      <c r="D2" s="13"/>
      <c r="E2" s="14">
        <v>45587.0</v>
      </c>
      <c r="F2" s="15"/>
      <c r="G2" s="15"/>
      <c r="H2" s="15" t="s">
        <v>16</v>
      </c>
      <c r="I2" s="16"/>
      <c r="J2" s="17" t="s">
        <v>17</v>
      </c>
      <c r="K2" s="18"/>
      <c r="L2" s="19">
        <v>32577.0</v>
      </c>
      <c r="M2" s="20" t="s">
        <v>18</v>
      </c>
      <c r="N2" s="21" t="s">
        <v>14</v>
      </c>
    </row>
    <row r="3" ht="14.0">
      <c r="A3" s="11">
        <v>3.100356809E9</v>
      </c>
      <c r="B3" s="12" t="s">
        <v>19</v>
      </c>
      <c r="C3" s="22" t="s">
        <v>20</v>
      </c>
      <c r="D3" s="13"/>
      <c r="E3" s="14">
        <v>45587.0</v>
      </c>
      <c r="F3" s="15"/>
      <c r="G3" s="15"/>
      <c r="H3" s="15" t="s">
        <v>21</v>
      </c>
      <c r="I3" s="16"/>
      <c r="J3" s="17" t="s">
        <v>17</v>
      </c>
      <c r="K3" s="18"/>
      <c r="L3" s="23">
        <v>39701.0</v>
      </c>
      <c r="M3" s="20"/>
      <c r="N3" s="21" t="s">
        <v>19</v>
      </c>
    </row>
    <row r="4" ht="14.0">
      <c r="A4" s="11">
        <v>3.100356808E9</v>
      </c>
      <c r="B4" s="12" t="s">
        <v>22</v>
      </c>
      <c r="C4" s="12" t="s">
        <v>23</v>
      </c>
      <c r="D4" s="13"/>
      <c r="E4" s="14">
        <v>45593.0</v>
      </c>
      <c r="F4" s="15"/>
      <c r="G4" s="15"/>
      <c r="H4" s="15" t="s">
        <v>24</v>
      </c>
      <c r="I4" s="16"/>
      <c r="J4" s="17" t="s">
        <v>17</v>
      </c>
      <c r="K4" s="18"/>
      <c r="L4" s="19">
        <v>76361.0</v>
      </c>
      <c r="M4" s="20" t="s">
        <v>18</v>
      </c>
      <c r="N4" s="21" t="s">
        <v>22</v>
      </c>
    </row>
    <row r="5" ht="14.0">
      <c r="A5" s="24">
        <v>3.100356807E9</v>
      </c>
      <c r="B5" s="25" t="s">
        <v>25</v>
      </c>
      <c r="C5" s="26" t="s">
        <v>26</v>
      </c>
      <c r="D5" s="27"/>
      <c r="E5" s="28">
        <v>45601.0</v>
      </c>
      <c r="F5" s="29"/>
      <c r="G5" s="29"/>
      <c r="H5" s="29" t="s">
        <v>27</v>
      </c>
      <c r="I5" s="29">
        <f>IF(@Table1[[#This Row],[Delivery Date]]="","NA",@Table1[[#This Row],[Delivery Date]]+30)</f>
        <v>45631.0</v>
      </c>
      <c r="J5" s="29" t="s">
        <f>IF(I5&lt;$Q$1,"Overdue","Pending")</f>
        <v>28</v>
      </c>
      <c r="K5" s="30">
        <v>61593.0</v>
      </c>
      <c r="L5" s="26"/>
      <c r="M5" s="26"/>
      <c r="N5" s="31">
        <v>0.0</v>
      </c>
    </row>
    <row r="6" ht="14.0">
      <c r="A6" s="11">
        <v>3.10035681E9</v>
      </c>
      <c r="B6" s="12" t="s">
        <v>29</v>
      </c>
      <c r="C6" s="12" t="s">
        <v>30</v>
      </c>
      <c r="D6" s="13"/>
      <c r="E6" s="14">
        <v>45582.0</v>
      </c>
      <c r="F6" s="15"/>
      <c r="G6" s="15"/>
      <c r="H6" s="15" t="s">
        <v>31</v>
      </c>
      <c r="I6" s="16"/>
      <c r="J6" s="17" t="s">
        <v>17</v>
      </c>
      <c r="K6" s="18"/>
      <c r="L6" s="23">
        <v>10686.0</v>
      </c>
      <c r="M6" s="20"/>
      <c r="N6" s="21" t="s">
        <v>29</v>
      </c>
    </row>
    <row r="7" ht="14.0" customFormat="1" s="1">
      <c r="A7" s="11">
        <v>3.100356804E9</v>
      </c>
      <c r="B7" s="12" t="s">
        <v>32</v>
      </c>
      <c r="C7" s="22" t="s">
        <v>33</v>
      </c>
      <c r="D7" s="13"/>
      <c r="E7" s="14">
        <v>45589.0</v>
      </c>
      <c r="F7" s="15"/>
      <c r="G7" s="15"/>
      <c r="H7" s="15" t="s">
        <v>34</v>
      </c>
      <c r="I7" s="16"/>
      <c r="J7" s="17" t="s">
        <v>17</v>
      </c>
      <c r="K7" s="18"/>
      <c r="L7" s="19">
        <v>83485.0</v>
      </c>
      <c r="M7" s="20" t="s">
        <v>18</v>
      </c>
      <c r="N7" s="21" t="s">
        <v>32</v>
      </c>
    </row>
    <row r="8" ht="14.0" customFormat="1" s="1">
      <c r="A8" s="32">
        <v>3.100356805E9</v>
      </c>
      <c r="B8" s="25" t="s">
        <v>35</v>
      </c>
      <c r="C8" s="22" t="s">
        <v>36</v>
      </c>
      <c r="D8" s="33"/>
      <c r="E8" s="34">
        <v>45603.0</v>
      </c>
      <c r="F8" s="35"/>
      <c r="G8" s="35"/>
      <c r="H8" s="35" t="s">
        <v>37</v>
      </c>
      <c r="I8" s="16">
        <f>IF(@Table1[[#This Row],[Delivery Date]]="","NA",@Table1[[#This Row],[Delivery Date]]+30)</f>
        <v>45633.0</v>
      </c>
      <c r="J8" s="35" t="s">
        <f t="shared" ref="J8:J101" si="4">IF(I8&lt;$Q$1,"Overdue","Pending")</f>
        <v>28</v>
      </c>
      <c r="K8" s="36">
        <v>58031.0</v>
      </c>
      <c r="L8" s="22"/>
      <c r="M8" s="22"/>
      <c r="N8" s="37" t="s">
        <v>35</v>
      </c>
    </row>
    <row r="9" ht="14.0" customFormat="1" s="1">
      <c r="A9" s="32">
        <v>3.100395347E9</v>
      </c>
      <c r="B9" s="25" t="s">
        <v>38</v>
      </c>
      <c r="C9" s="22" t="s">
        <v>39</v>
      </c>
      <c r="D9" s="33"/>
      <c r="E9" s="34">
        <v>45612.0</v>
      </c>
      <c r="F9" s="35"/>
      <c r="G9" s="35"/>
      <c r="H9" s="35" t="s">
        <v>40</v>
      </c>
      <c r="I9" s="16">
        <f>IF(@Table1[[#This Row],[Delivery Date]]="","NA",@Table1[[#This Row],[Delivery Date]]+30)</f>
        <v>45642.0</v>
      </c>
      <c r="J9" s="35" t="s">
        <f t="shared" si="4"/>
        <v>28</v>
      </c>
      <c r="K9" s="36">
        <v>9359.19</v>
      </c>
      <c r="L9" s="22"/>
      <c r="M9" s="22"/>
      <c r="N9" s="37" t="s">
        <v>38</v>
      </c>
    </row>
    <row r="10" ht="14.0" customFormat="1" s="1">
      <c r="A10" s="32">
        <v>3.100395373E9</v>
      </c>
      <c r="B10" s="25" t="s">
        <v>41</v>
      </c>
      <c r="C10" s="22" t="s">
        <v>15</v>
      </c>
      <c r="D10" s="33"/>
      <c r="E10" s="34">
        <v>45612.0</v>
      </c>
      <c r="F10" s="35"/>
      <c r="G10" s="35"/>
      <c r="H10" s="35" t="s">
        <v>42</v>
      </c>
      <c r="I10" s="16">
        <f>IF(@Table1[[#This Row],[Delivery Date]]="","NA",@Table1[[#This Row],[Delivery Date]]+30)</f>
        <v>45642.0</v>
      </c>
      <c r="J10" s="35" t="s">
        <f t="shared" si="4"/>
        <v>28</v>
      </c>
      <c r="K10" s="36">
        <v>9310.45</v>
      </c>
      <c r="L10" s="22"/>
      <c r="M10" s="22"/>
      <c r="N10" s="37" t="s">
        <v>41</v>
      </c>
    </row>
    <row r="11" ht="14.0" customFormat="1" s="1">
      <c r="A11" s="32">
        <v>3.100395392E9</v>
      </c>
      <c r="B11" s="25" t="s">
        <v>43</v>
      </c>
      <c r="C11" s="22" t="s">
        <v>26</v>
      </c>
      <c r="D11" s="33"/>
      <c r="E11" s="34">
        <v>45616.0</v>
      </c>
      <c r="F11" s="35"/>
      <c r="G11" s="35"/>
      <c r="H11" s="35" t="s">
        <v>44</v>
      </c>
      <c r="I11" s="16">
        <f>IF(@Table1[[#This Row],[Delivery Date]]="","NA",@Table1[[#This Row],[Delivery Date]]+30)</f>
        <v>45646.0</v>
      </c>
      <c r="J11" s="35" t="s">
        <f t="shared" si="4"/>
        <v>28</v>
      </c>
      <c r="K11" s="36">
        <v>9359.19</v>
      </c>
      <c r="L11" s="22"/>
      <c r="M11" s="22"/>
      <c r="N11" s="37" t="s">
        <v>43</v>
      </c>
    </row>
    <row r="12" ht="14.0" customFormat="1" s="1">
      <c r="A12" s="32">
        <v>3.100538037E9</v>
      </c>
      <c r="B12" s="25" t="s">
        <v>45</v>
      </c>
      <c r="C12" s="22" t="s">
        <v>26</v>
      </c>
      <c r="D12" s="33"/>
      <c r="E12" s="34">
        <v>45661.0</v>
      </c>
      <c r="F12" s="35"/>
      <c r="G12" s="35"/>
      <c r="H12" s="35" t="s">
        <v>46</v>
      </c>
      <c r="I12" s="16">
        <f>IF(@Table1[[#This Row],[Delivery Date]]="","NA",@Table1[[#This Row],[Delivery Date]]+30)</f>
        <v>45691.0</v>
      </c>
      <c r="J12" s="35" t="s">
        <f t="shared" si="4"/>
        <v>28</v>
      </c>
      <c r="K12" s="38">
        <v>17289.78</v>
      </c>
      <c r="L12" s="22"/>
      <c r="M12" s="22"/>
      <c r="N12" s="37" t="s">
        <v>45</v>
      </c>
    </row>
    <row r="13" ht="14.0" customFormat="1" s="1">
      <c r="A13" s="32">
        <v>3.100400259E9</v>
      </c>
      <c r="B13" s="25" t="s">
        <v>47</v>
      </c>
      <c r="C13" s="22" t="s">
        <v>36</v>
      </c>
      <c r="D13" s="33"/>
      <c r="E13" s="34">
        <v>45615.0</v>
      </c>
      <c r="F13" s="35"/>
      <c r="G13" s="35"/>
      <c r="H13" s="35" t="s">
        <v>48</v>
      </c>
      <c r="I13" s="16">
        <f>IF(@Table1[[#This Row],[Delivery Date]]="","NA",@Table1[[#This Row],[Delivery Date]]+30)</f>
        <v>45645.0</v>
      </c>
      <c r="J13" s="35" t="s">
        <f t="shared" si="4"/>
        <v>28</v>
      </c>
      <c r="K13" s="36">
        <v>19889.56</v>
      </c>
      <c r="L13" s="22"/>
      <c r="M13" s="22"/>
      <c r="N13" s="37" t="s">
        <v>47</v>
      </c>
    </row>
    <row r="14" ht="14.0">
      <c r="A14" s="32">
        <v>3.100410392E9</v>
      </c>
      <c r="B14" s="25" t="s">
        <v>49</v>
      </c>
      <c r="C14" s="22" t="s">
        <v>15</v>
      </c>
      <c r="D14" s="33"/>
      <c r="E14" s="34">
        <v>45612.0</v>
      </c>
      <c r="F14" s="35"/>
      <c r="G14" s="35"/>
      <c r="H14" s="35" t="s">
        <v>50</v>
      </c>
      <c r="I14" s="16">
        <f>IF(@Table1[[#This Row],[Delivery Date]]="","NA",@Table1[[#This Row],[Delivery Date]]+30)</f>
        <v>45642.0</v>
      </c>
      <c r="J14" s="35" t="s">
        <f t="shared" si="4"/>
        <v>28</v>
      </c>
      <c r="K14" s="36">
        <v>9359.19</v>
      </c>
      <c r="L14" s="22"/>
      <c r="M14" s="22"/>
      <c r="N14" s="37" t="s">
        <v>49</v>
      </c>
    </row>
    <row r="15" ht="14.0">
      <c r="A15" s="32">
        <v>3.100410941E9</v>
      </c>
      <c r="B15" s="25" t="s">
        <v>51</v>
      </c>
      <c r="C15" s="22" t="s">
        <v>26</v>
      </c>
      <c r="D15" s="33"/>
      <c r="E15" s="34">
        <v>45615.0</v>
      </c>
      <c r="F15" s="35"/>
      <c r="G15" s="35"/>
      <c r="H15" s="35" t="s">
        <v>52</v>
      </c>
      <c r="I15" s="16">
        <f>IF(@Table1[[#This Row],[Delivery Date]]="","NA",@Table1[[#This Row],[Delivery Date]]+30)</f>
        <v>45645.0</v>
      </c>
      <c r="J15" s="35" t="s">
        <f t="shared" si="4"/>
        <v>28</v>
      </c>
      <c r="K15" s="36">
        <v>20564.99</v>
      </c>
      <c r="L15" s="22"/>
      <c r="M15" s="22"/>
      <c r="N15" s="37" t="s">
        <v>51</v>
      </c>
    </row>
    <row r="16" ht="14.0">
      <c r="A16" s="32">
        <v>3.100411331E9</v>
      </c>
      <c r="B16" s="25" t="s">
        <v>53</v>
      </c>
      <c r="C16" s="22" t="s">
        <v>39</v>
      </c>
      <c r="D16" s="33"/>
      <c r="E16" s="34">
        <v>45613.0</v>
      </c>
      <c r="F16" s="35"/>
      <c r="G16" s="35"/>
      <c r="H16" s="35" t="s">
        <v>54</v>
      </c>
      <c r="I16" s="16">
        <f>IF(@Table1[[#This Row],[Delivery Date]]="","NA",@Table1[[#This Row],[Delivery Date]]+30)</f>
        <v>45643.0</v>
      </c>
      <c r="J16" s="35" t="s">
        <f t="shared" si="4"/>
        <v>28</v>
      </c>
      <c r="K16" s="36">
        <v>18718.39</v>
      </c>
      <c r="L16" s="22"/>
      <c r="M16" s="22"/>
      <c r="N16" s="37" t="s">
        <v>53</v>
      </c>
    </row>
    <row r="17" ht="14.0">
      <c r="A17" s="32">
        <v>3.10041147E9</v>
      </c>
      <c r="B17" s="25" t="s">
        <v>55</v>
      </c>
      <c r="C17" s="22" t="s">
        <v>20</v>
      </c>
      <c r="D17" s="33"/>
      <c r="E17" s="34">
        <v>45612.0</v>
      </c>
      <c r="F17" s="35"/>
      <c r="G17" s="35"/>
      <c r="H17" s="35" t="s">
        <v>56</v>
      </c>
      <c r="I17" s="16">
        <f>IF(@Table1[[#This Row],[Delivery Date]]="","NA",@Table1[[#This Row],[Delivery Date]]+30)</f>
        <v>45642.0</v>
      </c>
      <c r="J17" s="35" t="s">
        <f t="shared" si="4"/>
        <v>28</v>
      </c>
      <c r="K17" s="36">
        <v>9359.19</v>
      </c>
      <c r="L17" s="22"/>
      <c r="M17" s="22"/>
      <c r="N17" s="37" t="s">
        <v>55</v>
      </c>
    </row>
    <row r="18" ht="14.0">
      <c r="A18" s="32">
        <v>3.100411625E9</v>
      </c>
      <c r="B18" s="25" t="s">
        <v>57</v>
      </c>
      <c r="C18" s="22" t="s">
        <v>58</v>
      </c>
      <c r="D18" s="33"/>
      <c r="E18" s="34">
        <v>45612.0</v>
      </c>
      <c r="F18" s="35"/>
      <c r="G18" s="35"/>
      <c r="H18" s="35" t="s">
        <v>59</v>
      </c>
      <c r="I18" s="16">
        <f>IF(@Table1[[#This Row],[Delivery Date]]="","NA",@Table1[[#This Row],[Delivery Date]]+30)</f>
        <v>45642.0</v>
      </c>
      <c r="J18" s="35" t="s">
        <f t="shared" si="4"/>
        <v>28</v>
      </c>
      <c r="K18" s="36">
        <v>18485.17</v>
      </c>
      <c r="L18" s="22"/>
      <c r="M18" s="22"/>
      <c r="N18" s="37" t="s">
        <v>57</v>
      </c>
    </row>
    <row r="19" ht="14.0">
      <c r="A19" s="32">
        <v>3.100421671E9</v>
      </c>
      <c r="B19" s="25" t="s">
        <v>60</v>
      </c>
      <c r="C19" s="22" t="s">
        <v>58</v>
      </c>
      <c r="D19" s="33"/>
      <c r="E19" s="34">
        <v>45615.0</v>
      </c>
      <c r="F19" s="35"/>
      <c r="G19" s="35"/>
      <c r="H19" s="35" t="s">
        <v>61</v>
      </c>
      <c r="I19" s="16">
        <f>IF(@Table1[[#This Row],[Delivery Date]]="","NA",@Table1[[#This Row],[Delivery Date]]+30)</f>
        <v>45645.0</v>
      </c>
      <c r="J19" s="35" t="s">
        <f t="shared" si="4"/>
        <v>28</v>
      </c>
      <c r="K19" s="36">
        <v>9359.19</v>
      </c>
      <c r="L19" s="22"/>
      <c r="M19" s="22"/>
      <c r="N19" s="37" t="s">
        <v>60</v>
      </c>
    </row>
    <row r="20" ht="14.0">
      <c r="A20" s="32">
        <v>3.100439598E9</v>
      </c>
      <c r="B20" s="25" t="s">
        <v>62</v>
      </c>
      <c r="C20" s="22" t="s">
        <v>39</v>
      </c>
      <c r="D20" s="33"/>
      <c r="E20" s="34">
        <v>45626.0</v>
      </c>
      <c r="F20" s="35"/>
      <c r="G20" s="35"/>
      <c r="H20" s="35" t="s">
        <v>63</v>
      </c>
      <c r="I20" s="16">
        <f>IF(@Table1[[#This Row],[Delivery Date]]="","NA",@Table1[[#This Row],[Delivery Date]]+30)</f>
        <v>45656.0</v>
      </c>
      <c r="J20" s="35" t="s">
        <f t="shared" si="4"/>
        <v>28</v>
      </c>
      <c r="K20" s="36">
        <v>17243.59</v>
      </c>
      <c r="L20" s="22"/>
      <c r="M20" s="22"/>
      <c r="N20" s="37" t="s">
        <v>62</v>
      </c>
    </row>
    <row r="21" ht="14.0">
      <c r="A21" s="32">
        <v>3.100448049E9</v>
      </c>
      <c r="B21" s="25" t="s">
        <v>64</v>
      </c>
      <c r="C21" s="22" t="s">
        <v>39</v>
      </c>
      <c r="D21" s="33"/>
      <c r="E21" s="34">
        <v>45626.0</v>
      </c>
      <c r="F21" s="35"/>
      <c r="G21" s="35"/>
      <c r="H21" s="35" t="s">
        <v>65</v>
      </c>
      <c r="I21" s="16">
        <f>IF(@Table1[[#This Row],[Delivery Date]]="","NA",@Table1[[#This Row],[Delivery Date]]+30)</f>
        <v>45656.0</v>
      </c>
      <c r="J21" s="35" t="s">
        <f t="shared" si="4"/>
        <v>28</v>
      </c>
      <c r="K21" s="36">
        <v>7884.39</v>
      </c>
      <c r="L21" s="22"/>
      <c r="M21" s="22"/>
      <c r="N21" s="37" t="s">
        <v>64</v>
      </c>
    </row>
    <row r="22" ht="14.0" customFormat="1" s="39">
      <c r="A22" s="32">
        <v>3.10044842E9</v>
      </c>
      <c r="B22" s="25" t="s">
        <v>66</v>
      </c>
      <c r="C22" s="22" t="s">
        <v>33</v>
      </c>
      <c r="D22" s="33"/>
      <c r="E22" s="34">
        <v>45654.0</v>
      </c>
      <c r="F22" s="35"/>
      <c r="G22" s="35"/>
      <c r="H22" s="35" t="s">
        <v>67</v>
      </c>
      <c r="I22" s="16">
        <f>IF(@Table1[[#This Row],[Delivery Date]]="","NA",@Table1[[#This Row],[Delivery Date]]+30)</f>
        <v>45684.0</v>
      </c>
      <c r="J22" s="35" t="s">
        <f t="shared" si="4"/>
        <v>28</v>
      </c>
      <c r="K22" s="36">
        <v>13922.18</v>
      </c>
      <c r="L22" s="22"/>
      <c r="M22" s="22"/>
      <c r="N22" s="37" t="s">
        <v>66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ht="14.0">
      <c r="A23" s="32">
        <v>3.100448214E9</v>
      </c>
      <c r="B23" s="25" t="s">
        <v>68</v>
      </c>
      <c r="C23" s="22" t="s">
        <v>39</v>
      </c>
      <c r="D23" s="33"/>
      <c r="E23" s="34">
        <v>45625.0</v>
      </c>
      <c r="F23" s="35"/>
      <c r="G23" s="35"/>
      <c r="H23" s="35" t="s">
        <v>69</v>
      </c>
      <c r="I23" s="16">
        <f>IF(@Table1[[#This Row],[Delivery Date]]="","NA",@Table1[[#This Row],[Delivery Date]]+30)</f>
        <v>45655.0</v>
      </c>
      <c r="J23" s="35" t="s">
        <f t="shared" si="4"/>
        <v>28</v>
      </c>
      <c r="K23" s="36">
        <v>79558.24</v>
      </c>
      <c r="L23" s="22"/>
      <c r="M23" s="22"/>
      <c r="N23" s="37" t="s">
        <v>68</v>
      </c>
    </row>
    <row r="24" ht="14.0">
      <c r="A24" s="32">
        <v>3.100448424E9</v>
      </c>
      <c r="B24" s="25" t="s">
        <v>70</v>
      </c>
      <c r="C24" s="22" t="s">
        <v>20</v>
      </c>
      <c r="D24" s="33"/>
      <c r="E24" s="34">
        <v>45625.0</v>
      </c>
      <c r="F24" s="35"/>
      <c r="G24" s="35"/>
      <c r="H24" s="35" t="s">
        <v>71</v>
      </c>
      <c r="I24" s="16">
        <f>IF(@Table1[[#This Row],[Delivery Date]]="","NA",@Table1[[#This Row],[Delivery Date]]+30)</f>
        <v>45655.0</v>
      </c>
      <c r="J24" s="35" t="s">
        <f t="shared" si="4"/>
        <v>28</v>
      </c>
      <c r="K24" s="36">
        <v>46740.21</v>
      </c>
      <c r="L24" s="22"/>
      <c r="M24" s="22"/>
      <c r="N24" s="37" t="s">
        <v>70</v>
      </c>
    </row>
    <row r="25" ht="14.0">
      <c r="A25" s="32">
        <v>3.100431002E9</v>
      </c>
      <c r="B25" s="25" t="s">
        <v>72</v>
      </c>
      <c r="C25" s="22" t="s">
        <v>33</v>
      </c>
      <c r="D25" s="33"/>
      <c r="E25" s="34">
        <v>45638.0</v>
      </c>
      <c r="F25" s="35"/>
      <c r="G25" s="35"/>
      <c r="H25" s="35" t="s">
        <v>73</v>
      </c>
      <c r="I25" s="16">
        <f>IF(@Table1[[#This Row],[Delivery Date]]="","NA",@Table1[[#This Row],[Delivery Date]]+30)</f>
        <v>45668.0</v>
      </c>
      <c r="J25" s="35" t="s">
        <f t="shared" si="4"/>
        <v>28</v>
      </c>
      <c r="K25" s="36">
        <v>37436.78</v>
      </c>
      <c r="L25" s="22"/>
      <c r="M25" s="22"/>
      <c r="N25" s="37" t="s">
        <v>72</v>
      </c>
    </row>
    <row r="26" ht="14.0">
      <c r="A26" s="32">
        <v>3.100444075E9</v>
      </c>
      <c r="B26" s="25" t="s">
        <v>74</v>
      </c>
      <c r="C26" s="22" t="s">
        <v>33</v>
      </c>
      <c r="D26" s="33"/>
      <c r="E26" s="34">
        <v>45638.0</v>
      </c>
      <c r="F26" s="35"/>
      <c r="G26" s="35"/>
      <c r="H26" s="35" t="s">
        <v>75</v>
      </c>
      <c r="I26" s="16">
        <f>IF(@Table1[[#This Row],[Delivery Date]]="","NA",@Table1[[#This Row],[Delivery Date]]+30)</f>
        <v>45668.0</v>
      </c>
      <c r="J26" s="35" t="s">
        <f t="shared" si="4"/>
        <v>28</v>
      </c>
      <c r="K26" s="36">
        <v>43520.76</v>
      </c>
      <c r="L26" s="22"/>
      <c r="M26" s="22"/>
      <c r="N26" s="37" t="s">
        <v>74</v>
      </c>
    </row>
    <row r="27" ht="14.0">
      <c r="A27" s="32">
        <v>3.100431003E9</v>
      </c>
      <c r="B27" s="25" t="s">
        <v>76</v>
      </c>
      <c r="C27" s="22" t="s">
        <v>15</v>
      </c>
      <c r="D27" s="33"/>
      <c r="E27" s="34">
        <v>45633.0</v>
      </c>
      <c r="F27" s="35"/>
      <c r="G27" s="35"/>
      <c r="H27" s="35" t="s">
        <v>77</v>
      </c>
      <c r="I27" s="16">
        <f>IF(@Table1[[#This Row],[Delivery Date]]="","NA",@Table1[[#This Row],[Delivery Date]]+30)</f>
        <v>45663.0</v>
      </c>
      <c r="J27" s="35" t="s">
        <f t="shared" si="4"/>
        <v>28</v>
      </c>
      <c r="K27" s="36">
        <v>36768.67</v>
      </c>
      <c r="L27" s="22"/>
      <c r="M27" s="22"/>
      <c r="N27" s="37" t="s">
        <v>76</v>
      </c>
    </row>
    <row r="28" ht="14.0">
      <c r="A28" s="32">
        <v>3.100431041E9</v>
      </c>
      <c r="B28" s="25" t="s">
        <v>78</v>
      </c>
      <c r="C28" s="22" t="s">
        <v>20</v>
      </c>
      <c r="D28" s="33"/>
      <c r="E28" s="34">
        <v>45632.0</v>
      </c>
      <c r="F28" s="35"/>
      <c r="G28" s="35"/>
      <c r="H28" s="35" t="s">
        <v>79</v>
      </c>
      <c r="I28" s="16">
        <f>IF(@Table1[[#This Row],[Delivery Date]]="","NA",@Table1[[#This Row],[Delivery Date]]+30)</f>
        <v>45662.0</v>
      </c>
      <c r="J28" s="35" t="s">
        <f t="shared" si="4"/>
        <v>28</v>
      </c>
      <c r="K28" s="36">
        <v>28630.78</v>
      </c>
      <c r="L28" s="22"/>
      <c r="M28" s="22"/>
      <c r="N28" s="37" t="s">
        <v>78</v>
      </c>
    </row>
    <row r="29" ht="14.0">
      <c r="A29" s="32">
        <v>3.100431051E9</v>
      </c>
      <c r="B29" s="25" t="s">
        <v>80</v>
      </c>
      <c r="C29" s="22" t="s">
        <v>26</v>
      </c>
      <c r="D29" s="33"/>
      <c r="E29" s="34">
        <v>45638.0</v>
      </c>
      <c r="F29" s="35"/>
      <c r="G29" s="35"/>
      <c r="H29" s="35" t="s">
        <v>81</v>
      </c>
      <c r="I29" s="16">
        <f>IF(@Table1[[#This Row],[Delivery Date]]="","NA",@Table1[[#This Row],[Delivery Date]]+30)</f>
        <v>45668.0</v>
      </c>
      <c r="J29" s="35" t="s">
        <f t="shared" si="4"/>
        <v>28</v>
      </c>
      <c r="K29" s="36">
        <v>28077.58</v>
      </c>
      <c r="L29" s="22"/>
      <c r="M29" s="22"/>
      <c r="N29" s="37" t="s">
        <v>80</v>
      </c>
    </row>
    <row r="30" ht="14.0">
      <c r="A30" s="32">
        <v>3.100443868E9</v>
      </c>
      <c r="B30" s="22" t="s">
        <v>82</v>
      </c>
      <c r="C30" s="22" t="s">
        <v>26</v>
      </c>
      <c r="D30" s="33"/>
      <c r="E30" s="34">
        <v>45638.0</v>
      </c>
      <c r="F30" s="22"/>
      <c r="G30" s="22">
        <v>2.64996914E8</v>
      </c>
      <c r="H30" s="35" t="s">
        <v>83</v>
      </c>
      <c r="I30" s="16">
        <f>IF(@Table1[[#This Row],[Delivery Date]]="","NA",@Table1[[#This Row],[Delivery Date]]+30)</f>
        <v>45668.0</v>
      </c>
      <c r="J30" s="40" t="s">
        <f t="shared" si="4"/>
        <v>28</v>
      </c>
      <c r="K30" s="41">
        <v>28077.58</v>
      </c>
      <c r="L30" s="42"/>
      <c r="M30" s="43" t="s">
        <v>84</v>
      </c>
      <c r="N30" s="44">
        <v>0.0</v>
      </c>
    </row>
    <row r="31" ht="14.0">
      <c r="A31" s="32">
        <v>3.100448391E9</v>
      </c>
      <c r="B31" s="25" t="s">
        <v>85</v>
      </c>
      <c r="C31" s="22" t="s">
        <v>26</v>
      </c>
      <c r="D31" s="33"/>
      <c r="E31" s="34">
        <v>45638.0</v>
      </c>
      <c r="F31" s="35"/>
      <c r="G31" s="35"/>
      <c r="H31" s="35" t="s">
        <v>86</v>
      </c>
      <c r="I31" s="16">
        <f>IF(@Table1[[#This Row],[Delivery Date]]="","NA",@Table1[[#This Row],[Delivery Date]]+30)</f>
        <v>45668.0</v>
      </c>
      <c r="J31" s="35" t="s">
        <f t="shared" si="4"/>
        <v>28</v>
      </c>
      <c r="K31" s="36">
        <v>9359.19</v>
      </c>
      <c r="L31" s="22"/>
      <c r="M31" s="22"/>
      <c r="N31" s="37" t="s">
        <v>85</v>
      </c>
    </row>
    <row r="32" ht="14.0">
      <c r="A32" s="32">
        <v>3.100431052E9</v>
      </c>
      <c r="B32" s="25" t="s">
        <v>87</v>
      </c>
      <c r="C32" s="22" t="s">
        <v>39</v>
      </c>
      <c r="D32" s="33"/>
      <c r="E32" s="34">
        <v>45633.0</v>
      </c>
      <c r="F32" s="35"/>
      <c r="G32" s="35"/>
      <c r="H32" s="35" t="s">
        <v>88</v>
      </c>
      <c r="I32" s="16">
        <f>IF(@Table1[[#This Row],[Delivery Date]]="","NA",@Table1[[#This Row],[Delivery Date]]+30)</f>
        <v>45663.0</v>
      </c>
      <c r="J32" s="35" t="s">
        <f t="shared" si="4"/>
        <v>28</v>
      </c>
      <c r="K32" s="36">
        <v>46795.97</v>
      </c>
      <c r="L32" s="22"/>
      <c r="M32" s="22"/>
      <c r="N32" s="37" t="s">
        <v>87</v>
      </c>
    </row>
    <row r="33" ht="14.0">
      <c r="A33" s="32">
        <v>3.100439587E9</v>
      </c>
      <c r="B33" s="25" t="s">
        <v>89</v>
      </c>
      <c r="C33" s="22" t="s">
        <v>39</v>
      </c>
      <c r="D33" s="33"/>
      <c r="E33" s="34">
        <v>45633.0</v>
      </c>
      <c r="F33" s="35"/>
      <c r="G33" s="35"/>
      <c r="H33" s="35" t="s">
        <v>90</v>
      </c>
      <c r="I33" s="16">
        <f>IF(@Table1[[#This Row],[Delivery Date]]="","NA",@Table1[[#This Row],[Delivery Date]]+30)</f>
        <v>45663.0</v>
      </c>
      <c r="J33" s="35" t="s">
        <f t="shared" si="4"/>
        <v>28</v>
      </c>
      <c r="K33" s="36">
        <v>23281.38</v>
      </c>
      <c r="L33" s="22"/>
      <c r="M33" s="22"/>
      <c r="N33" s="37" t="s">
        <v>89</v>
      </c>
    </row>
    <row r="34" ht="14.0">
      <c r="A34" s="32">
        <v>3.100431054E9</v>
      </c>
      <c r="B34" s="22" t="s">
        <v>91</v>
      </c>
      <c r="C34" s="22" t="s">
        <v>58</v>
      </c>
      <c r="D34" s="33"/>
      <c r="E34" s="34">
        <v>45653.0</v>
      </c>
      <c r="F34" s="22"/>
      <c r="G34" s="22">
        <v>2.64996916E8</v>
      </c>
      <c r="H34" s="35" t="s">
        <v>92</v>
      </c>
      <c r="I34" s="16">
        <f>IF(@Table1[[#This Row],[Delivery Date]]="","NA",@Table1[[#This Row],[Delivery Date]]+30)</f>
        <v>45683.0</v>
      </c>
      <c r="J34" s="35" t="s">
        <f t="shared" si="4"/>
        <v>28</v>
      </c>
      <c r="K34" s="36">
        <v>28077.58</v>
      </c>
      <c r="L34" s="22" t="s">
        <v>93</v>
      </c>
      <c r="M34" s="43" t="s">
        <v>94</v>
      </c>
      <c r="N34" s="45">
        <v>0.0</v>
      </c>
    </row>
    <row r="35" ht="14.0">
      <c r="A35" s="32">
        <v>3.100439599E9</v>
      </c>
      <c r="B35" s="25" t="s">
        <v>95</v>
      </c>
      <c r="C35" s="22" t="s">
        <v>58</v>
      </c>
      <c r="D35" s="33"/>
      <c r="E35" s="34">
        <v>45653.0</v>
      </c>
      <c r="F35" s="35"/>
      <c r="G35" s="35"/>
      <c r="H35" s="35" t="s">
        <v>96</v>
      </c>
      <c r="I35" s="16">
        <f>IF(@Table1[[#This Row],[Delivery Date]]="","NA",@Table1[[#This Row],[Delivery Date]]+30)</f>
        <v>45683.0</v>
      </c>
      <c r="J35" s="35" t="s">
        <f t="shared" si="4"/>
        <v>28</v>
      </c>
      <c r="K35" s="36">
        <v>9359.19</v>
      </c>
      <c r="L35" s="22"/>
      <c r="M35" s="22"/>
      <c r="N35" s="37" t="s">
        <v>95</v>
      </c>
    </row>
    <row r="36" ht="14.0">
      <c r="A36" s="32">
        <v>3.100448444E9</v>
      </c>
      <c r="B36" s="25" t="s">
        <v>97</v>
      </c>
      <c r="C36" s="22" t="s">
        <v>58</v>
      </c>
      <c r="D36" s="33"/>
      <c r="E36" s="34">
        <v>45653.0</v>
      </c>
      <c r="F36" s="35"/>
      <c r="G36" s="35"/>
      <c r="H36" s="35" t="s">
        <v>98</v>
      </c>
      <c r="I36" s="16">
        <f>IF(@Table1[[#This Row],[Delivery Date]]="","NA",@Table1[[#This Row],[Delivery Date]]+30)</f>
        <v>45683.0</v>
      </c>
      <c r="J36" s="35" t="s">
        <f t="shared" si="4"/>
        <v>28</v>
      </c>
      <c r="K36" s="36">
        <v>45894.65</v>
      </c>
      <c r="L36" s="22"/>
      <c r="M36" s="22"/>
      <c r="N36" s="37" t="s">
        <v>97</v>
      </c>
    </row>
    <row r="37" ht="14.0">
      <c r="A37" s="32">
        <v>3.100460446E9</v>
      </c>
      <c r="B37" s="25" t="s">
        <v>99</v>
      </c>
      <c r="C37" s="22" t="s">
        <v>33</v>
      </c>
      <c r="D37" s="33"/>
      <c r="E37" s="34">
        <v>45638.0</v>
      </c>
      <c r="F37" s="35"/>
      <c r="G37" s="35"/>
      <c r="H37" s="35" t="s">
        <v>100</v>
      </c>
      <c r="I37" s="16">
        <f>IF(@Table1[[#This Row],[Delivery Date]]="","NA",@Table1[[#This Row],[Delivery Date]]+30)</f>
        <v>45668.0</v>
      </c>
      <c r="J37" s="35" t="s">
        <f t="shared" si="4"/>
        <v>28</v>
      </c>
      <c r="K37" s="36">
        <v>6083.99</v>
      </c>
      <c r="L37" s="22"/>
      <c r="M37" s="22"/>
      <c r="N37" s="37" t="s">
        <v>99</v>
      </c>
    </row>
    <row r="38" ht="14.0">
      <c r="A38" s="32">
        <v>3.100468855E9</v>
      </c>
      <c r="B38" s="25" t="s">
        <v>101</v>
      </c>
      <c r="C38" s="22" t="s">
        <v>33</v>
      </c>
      <c r="D38" s="33"/>
      <c r="E38" s="34">
        <v>45638.0</v>
      </c>
      <c r="F38" s="35"/>
      <c r="G38" s="35"/>
      <c r="H38" s="35" t="s">
        <v>102</v>
      </c>
      <c r="I38" s="16">
        <f>IF(@Table1[[#This Row],[Delivery Date]]="","NA",@Table1[[#This Row],[Delivery Date]]+30)</f>
        <v>45668.0</v>
      </c>
      <c r="J38" s="35" t="s">
        <f t="shared" si="4"/>
        <v>28</v>
      </c>
      <c r="K38" s="36">
        <v>27657.35</v>
      </c>
      <c r="L38" s="22"/>
      <c r="M38" s="22"/>
      <c r="N38" s="37" t="s">
        <v>101</v>
      </c>
    </row>
    <row r="39" ht="14.0">
      <c r="A39" s="32">
        <v>3.100476328E9</v>
      </c>
      <c r="B39" s="25" t="s">
        <v>103</v>
      </c>
      <c r="C39" s="22" t="s">
        <v>33</v>
      </c>
      <c r="D39" s="33"/>
      <c r="E39" s="34">
        <v>45638.0</v>
      </c>
      <c r="F39" s="35"/>
      <c r="G39" s="35"/>
      <c r="H39" s="35" t="s">
        <v>104</v>
      </c>
      <c r="I39" s="16">
        <f>IF(@Table1[[#This Row],[Delivery Date]]="","NA",@Table1[[#This Row],[Delivery Date]]+30)</f>
        <v>45668.0</v>
      </c>
      <c r="J39" s="35" t="s">
        <f t="shared" si="4"/>
        <v>28</v>
      </c>
      <c r="K39" s="36">
        <v>29015.54</v>
      </c>
      <c r="L39" s="22"/>
      <c r="M39" s="22"/>
      <c r="N39" s="37" t="s">
        <v>103</v>
      </c>
    </row>
    <row r="40" ht="14.0">
      <c r="A40" s="32">
        <v>3.100468897E9</v>
      </c>
      <c r="B40" s="25" t="s">
        <v>105</v>
      </c>
      <c r="C40" s="22" t="s">
        <v>39</v>
      </c>
      <c r="D40" s="33"/>
      <c r="E40" s="34">
        <v>45633.0</v>
      </c>
      <c r="F40" s="35"/>
      <c r="G40" s="35"/>
      <c r="H40" s="35" t="s">
        <v>106</v>
      </c>
      <c r="I40" s="16">
        <f>IF(@Table1[[#This Row],[Delivery Date]]="","NA",@Table1[[#This Row],[Delivery Date]]+30)</f>
        <v>45663.0</v>
      </c>
      <c r="J40" s="35" t="s">
        <f t="shared" si="4"/>
        <v>28</v>
      </c>
      <c r="K40" s="36">
        <v>23094.36</v>
      </c>
      <c r="L40" s="22"/>
      <c r="M40" s="22"/>
      <c r="N40" s="37" t="s">
        <v>105</v>
      </c>
    </row>
    <row hidden="1" r="41" ht="14.0">
      <c r="A41" s="46">
        <v>3.100476339E9</v>
      </c>
      <c r="B41" s="47" t="s">
        <v>107</v>
      </c>
      <c r="C41" s="47" t="s">
        <v>39</v>
      </c>
      <c r="D41" s="48"/>
      <c r="E41" s="49">
        <v>45633.0</v>
      </c>
      <c r="F41" s="50"/>
      <c r="G41" s="50"/>
      <c r="H41" s="50" t="s">
        <v>108</v>
      </c>
      <c r="I41" s="16">
        <f>IF(@Table1[[#This Row],[Delivery Date]]="","NA",@Table1[[#This Row],[Delivery Date]]+30)</f>
        <v>45663.0</v>
      </c>
      <c r="J41" s="35" t="s">
        <f t="shared" si="4"/>
        <v>28</v>
      </c>
      <c r="K41" s="51">
        <v>12726.8</v>
      </c>
      <c r="L41" s="47" t="s">
        <v>93</v>
      </c>
      <c r="M41" s="43" t="s">
        <v>109</v>
      </c>
      <c r="N41" s="45">
        <v>0.0</v>
      </c>
    </row>
    <row r="42" ht="43.0">
      <c r="A42" s="32">
        <v>3.100468756E9</v>
      </c>
      <c r="B42" s="22" t="s">
        <v>110</v>
      </c>
      <c r="C42" s="22" t="s">
        <v>58</v>
      </c>
      <c r="D42" s="33"/>
      <c r="E42" s="34">
        <v>45640.0</v>
      </c>
      <c r="F42" s="35"/>
      <c r="G42" s="35"/>
      <c r="H42" s="35" t="s">
        <v>111</v>
      </c>
      <c r="I42" s="16">
        <f>IF(@Table1[[#This Row],[Delivery Date]]="","NA",@Table1[[#This Row],[Delivery Date]]+30)</f>
        <v>45670.0</v>
      </c>
      <c r="J42" s="35" t="s">
        <f t="shared" si="4"/>
        <v>28</v>
      </c>
      <c r="K42" s="36">
        <v>13688.97</v>
      </c>
      <c r="L42" s="22"/>
      <c r="M42" s="52" t="s">
        <v>112</v>
      </c>
      <c r="N42" s="37" t="s">
        <v>110</v>
      </c>
    </row>
    <row r="43" ht="14.0">
      <c r="A43" s="32">
        <v>3.100476033E9</v>
      </c>
      <c r="B43" s="22" t="s">
        <v>113</v>
      </c>
      <c r="C43" s="22" t="s">
        <v>58</v>
      </c>
      <c r="D43" s="33"/>
      <c r="E43" s="34">
        <v>45640.0</v>
      </c>
      <c r="F43" s="35"/>
      <c r="G43" s="35"/>
      <c r="H43" s="35" t="s">
        <v>114</v>
      </c>
      <c r="I43" s="16">
        <f>IF(@Table1[[#This Row],[Delivery Date]]="","NA",@Table1[[#This Row],[Delivery Date]]+30)</f>
        <v>45670.0</v>
      </c>
      <c r="J43" s="35" t="s">
        <f t="shared" si="4"/>
        <v>28</v>
      </c>
      <c r="K43" s="36">
        <v>24134.27</v>
      </c>
      <c r="L43" s="22" t="s">
        <v>93</v>
      </c>
      <c r="M43" s="43" t="s">
        <v>115</v>
      </c>
      <c r="N43" s="45">
        <v>0.0</v>
      </c>
    </row>
    <row r="44" ht="14.0">
      <c r="A44" s="32">
        <v>3.100468938E9</v>
      </c>
      <c r="B44" s="25" t="s">
        <v>116</v>
      </c>
      <c r="C44" s="22" t="s">
        <v>26</v>
      </c>
      <c r="D44" s="33"/>
      <c r="E44" s="34">
        <v>45638.0</v>
      </c>
      <c r="F44" s="35"/>
      <c r="G44" s="35"/>
      <c r="H44" s="35" t="s">
        <v>117</v>
      </c>
      <c r="I44" s="16">
        <f>IF(@Table1[[#This Row],[Delivery Date]]="","NA",@Table1[[#This Row],[Delivery Date]]+30)</f>
        <v>45668.0</v>
      </c>
      <c r="J44" s="35" t="s">
        <f t="shared" si="4"/>
        <v>28</v>
      </c>
      <c r="K44" s="36">
        <v>19012.46</v>
      </c>
      <c r="L44" s="22"/>
      <c r="M44" s="22"/>
      <c r="N44" s="37" t="s">
        <v>116</v>
      </c>
    </row>
    <row r="45" ht="14.0">
      <c r="A45" s="32">
        <v>3.100476231E9</v>
      </c>
      <c r="B45" s="25" t="s">
        <v>118</v>
      </c>
      <c r="C45" s="22" t="s">
        <v>26</v>
      </c>
      <c r="D45" s="33"/>
      <c r="E45" s="34">
        <v>45638.0</v>
      </c>
      <c r="F45" s="35"/>
      <c r="G45" s="35"/>
      <c r="H45" s="35" t="s">
        <v>119</v>
      </c>
      <c r="I45" s="16">
        <f>IF(@Table1[[#This Row],[Delivery Date]]="","NA",@Table1[[#This Row],[Delivery Date]]+30)</f>
        <v>45668.0</v>
      </c>
      <c r="J45" s="35" t="s">
        <f t="shared" si="4"/>
        <v>28</v>
      </c>
      <c r="K45" s="36">
        <v>14449.47</v>
      </c>
      <c r="L45" s="22"/>
      <c r="M45" s="22"/>
      <c r="N45" s="37" t="s">
        <v>118</v>
      </c>
    </row>
    <row r="46" ht="14.0">
      <c r="A46" s="32">
        <v>3.100514513E9</v>
      </c>
      <c r="B46" s="25" t="s">
        <v>120</v>
      </c>
      <c r="C46" s="22" t="s">
        <v>15</v>
      </c>
      <c r="D46" s="33"/>
      <c r="E46" s="34">
        <v>45633.0</v>
      </c>
      <c r="F46" s="35"/>
      <c r="G46" s="35"/>
      <c r="H46" s="35" t="s">
        <v>121</v>
      </c>
      <c r="I46" s="16">
        <f>IF(@Table1[[#This Row],[Delivery Date]]="","NA",@Table1[[#This Row],[Delivery Date]]+30)</f>
        <v>45663.0</v>
      </c>
      <c r="J46" s="35" t="s">
        <f t="shared" si="4"/>
        <v>28</v>
      </c>
      <c r="K46" s="36">
        <v>12167.97</v>
      </c>
      <c r="L46" s="22"/>
      <c r="M46" s="22"/>
      <c r="N46" s="37" t="s">
        <v>120</v>
      </c>
    </row>
    <row r="47" ht="14.0" customFormat="1" s="1">
      <c r="A47" s="32">
        <v>3.100486409E9</v>
      </c>
      <c r="B47" s="25" t="s">
        <v>122</v>
      </c>
      <c r="C47" s="22" t="s">
        <v>15</v>
      </c>
      <c r="D47" s="33"/>
      <c r="E47" s="34">
        <v>45642.0</v>
      </c>
      <c r="F47" s="35"/>
      <c r="G47" s="35"/>
      <c r="H47" s="35" t="s">
        <v>123</v>
      </c>
      <c r="I47" s="16">
        <f>IF(@Table1[[#This Row],[Delivery Date]]="","NA",@Table1[[#This Row],[Delivery Date]]+30)</f>
        <v>45672.0</v>
      </c>
      <c r="J47" s="35" t="s">
        <f t="shared" si="4"/>
        <v>28</v>
      </c>
      <c r="K47" s="36">
        <v>84678.78</v>
      </c>
      <c r="L47" s="22"/>
      <c r="M47" s="22"/>
      <c r="N47" s="37" t="s">
        <v>122</v>
      </c>
    </row>
    <row r="48" ht="14.0" customFormat="1" s="1">
      <c r="A48" s="32">
        <v>3.10048671E9</v>
      </c>
      <c r="B48" s="25" t="s">
        <v>124</v>
      </c>
      <c r="C48" s="22" t="s">
        <v>39</v>
      </c>
      <c r="D48" s="33"/>
      <c r="E48" s="34">
        <v>45639.0</v>
      </c>
      <c r="F48" s="35"/>
      <c r="G48" s="35"/>
      <c r="H48" s="35" t="s">
        <v>125</v>
      </c>
      <c r="I48" s="16">
        <f>IF(@Table1[[#This Row],[Delivery Date]]="","NA",@Table1[[#This Row],[Delivery Date]]+30)</f>
        <v>45669.0</v>
      </c>
      <c r="J48" s="35" t="s">
        <f t="shared" si="4"/>
        <v>28</v>
      </c>
      <c r="K48" s="36">
        <v>36562.22</v>
      </c>
      <c r="L48" s="22"/>
      <c r="M48" s="22"/>
      <c r="N48" s="37" t="s">
        <v>124</v>
      </c>
    </row>
    <row r="49" ht="14.0" customFormat="1" s="1">
      <c r="A49" s="32">
        <v>3.100486937E9</v>
      </c>
      <c r="B49" s="25" t="s">
        <v>126</v>
      </c>
      <c r="C49" s="22" t="s">
        <v>26</v>
      </c>
      <c r="D49" s="33"/>
      <c r="E49" s="34">
        <v>45642.0</v>
      </c>
      <c r="F49" s="35"/>
      <c r="G49" s="35"/>
      <c r="H49" s="35" t="s">
        <v>127</v>
      </c>
      <c r="I49" s="16">
        <f>IF(@Table1[[#This Row],[Delivery Date]]="","NA",@Table1[[#This Row],[Delivery Date]]+30)</f>
        <v>45672.0</v>
      </c>
      <c r="J49" s="35" t="s">
        <f t="shared" si="4"/>
        <v>28</v>
      </c>
      <c r="K49" s="36">
        <v>23854.86</v>
      </c>
      <c r="L49" s="22"/>
      <c r="M49" s="22"/>
      <c r="N49" s="37" t="s">
        <v>126</v>
      </c>
    </row>
    <row r="50" ht="14.0" customFormat="1" s="1">
      <c r="A50" s="32">
        <v>3.100487002E9</v>
      </c>
      <c r="B50" s="25" t="s">
        <v>128</v>
      </c>
      <c r="C50" s="22" t="s">
        <v>58</v>
      </c>
      <c r="D50" s="33"/>
      <c r="E50" s="34">
        <v>45642.0</v>
      </c>
      <c r="F50" s="35"/>
      <c r="G50" s="35"/>
      <c r="H50" s="35" t="s">
        <v>129</v>
      </c>
      <c r="I50" s="16">
        <f>IF(@Table1[[#This Row],[Delivery Date]]="","NA",@Table1[[#This Row],[Delivery Date]]+30)</f>
        <v>45672.0</v>
      </c>
      <c r="J50" s="35" t="s">
        <f t="shared" si="4"/>
        <v>28</v>
      </c>
      <c r="K50" s="36">
        <v>50530.6</v>
      </c>
      <c r="L50" s="22"/>
      <c r="M50" s="22"/>
      <c r="N50" s="37" t="s">
        <v>128</v>
      </c>
    </row>
    <row r="51" ht="14.0" customFormat="1" s="1">
      <c r="A51" s="32">
        <v>3.100487054E9</v>
      </c>
      <c r="B51" s="25" t="s">
        <v>130</v>
      </c>
      <c r="C51" s="22" t="s">
        <v>20</v>
      </c>
      <c r="D51" s="33"/>
      <c r="E51" s="34">
        <v>45642.0</v>
      </c>
      <c r="F51" s="35"/>
      <c r="G51" s="35"/>
      <c r="H51" s="35" t="s">
        <v>131</v>
      </c>
      <c r="I51" s="16">
        <f>IF(@Table1[[#This Row],[Delivery Date]]="","NA",@Table1[[#This Row],[Delivery Date]]+30)</f>
        <v>45672.0</v>
      </c>
      <c r="J51" s="35" t="s">
        <f t="shared" si="4"/>
        <v>28</v>
      </c>
      <c r="K51" s="36">
        <v>17770.87</v>
      </c>
      <c r="L51" s="22"/>
      <c r="M51" s="22"/>
      <c r="N51" s="37" t="s">
        <v>130</v>
      </c>
    </row>
    <row r="52" ht="14.0" customFormat="1" s="1">
      <c r="A52" s="32">
        <v>3.10048716E9</v>
      </c>
      <c r="B52" s="25" t="s">
        <v>132</v>
      </c>
      <c r="C52" s="22" t="s">
        <v>33</v>
      </c>
      <c r="D52" s="33"/>
      <c r="E52" s="34">
        <v>45654.0</v>
      </c>
      <c r="F52" s="35"/>
      <c r="G52" s="35"/>
      <c r="H52" s="35" t="s">
        <v>133</v>
      </c>
      <c r="I52" s="16">
        <f>IF(@Table1[[#This Row],[Delivery Date]]="","NA",@Table1[[#This Row],[Delivery Date]]+30)</f>
        <v>45684.0</v>
      </c>
      <c r="J52" s="35" t="s">
        <f t="shared" si="4"/>
        <v>28</v>
      </c>
      <c r="K52" s="36">
        <v>46786.41</v>
      </c>
      <c r="L52" s="22"/>
      <c r="M52" s="22"/>
      <c r="N52" s="37" t="s">
        <v>132</v>
      </c>
    </row>
    <row r="53" ht="14.0" customFormat="1" s="1">
      <c r="A53" s="32">
        <v>3.100581579E9</v>
      </c>
      <c r="B53" s="25" t="s">
        <v>134</v>
      </c>
      <c r="C53" s="22" t="s">
        <v>33</v>
      </c>
      <c r="D53" s="33"/>
      <c r="E53" s="34">
        <v>45654.0</v>
      </c>
      <c r="F53" s="35"/>
      <c r="G53" s="35"/>
      <c r="H53" s="35" t="s">
        <v>135</v>
      </c>
      <c r="I53" s="16">
        <f>IF(@Table1[[#This Row],[Delivery Date]]="","NA",@Table1[[#This Row],[Delivery Date]]+30)</f>
        <v>45684.0</v>
      </c>
      <c r="J53" s="35" t="s">
        <f t="shared" si="4"/>
        <v>28</v>
      </c>
      <c r="K53" s="36">
        <v>35961.98</v>
      </c>
      <c r="L53" s="22"/>
      <c r="M53" s="22"/>
      <c r="N53" s="37" t="s">
        <v>134</v>
      </c>
    </row>
    <row r="54" ht="14.0" customFormat="1" s="1">
      <c r="A54" s="32">
        <v>3.100512215E9</v>
      </c>
      <c r="B54" s="25" t="s">
        <v>136</v>
      </c>
      <c r="C54" s="22" t="s">
        <v>20</v>
      </c>
      <c r="D54" s="33"/>
      <c r="E54" s="34">
        <v>45640.0</v>
      </c>
      <c r="F54" s="35"/>
      <c r="G54" s="35"/>
      <c r="H54" s="35" t="s">
        <v>137</v>
      </c>
      <c r="I54" s="16">
        <f>IF(@Table1[[#This Row],[Delivery Date]]="","NA",@Table1[[#This Row],[Delivery Date]]+30)</f>
        <v>45670.0</v>
      </c>
      <c r="J54" s="35" t="s">
        <f t="shared" si="4"/>
        <v>28</v>
      </c>
      <c r="K54" s="36">
        <v>22800.93</v>
      </c>
      <c r="L54" s="22"/>
      <c r="M54" s="22"/>
      <c r="N54" s="37" t="s">
        <v>136</v>
      </c>
    </row>
    <row r="55" ht="14.0" customFormat="1" s="1">
      <c r="A55" s="32">
        <v>3.100511668E9</v>
      </c>
      <c r="B55" s="25" t="s">
        <v>138</v>
      </c>
      <c r="C55" s="22" t="s">
        <v>39</v>
      </c>
      <c r="D55" s="33"/>
      <c r="E55" s="34">
        <v>45640.0</v>
      </c>
      <c r="F55" s="35"/>
      <c r="G55" s="35"/>
      <c r="H55" s="35" t="s">
        <v>139</v>
      </c>
      <c r="I55" s="16">
        <f>IF(@Table1[[#This Row],[Delivery Date]]="","NA",@Table1[[#This Row],[Delivery Date]]+30)</f>
        <v>45670.0</v>
      </c>
      <c r="J55" s="35" t="s">
        <f t="shared" si="4"/>
        <v>28</v>
      </c>
      <c r="K55" s="36">
        <v>51287.91</v>
      </c>
      <c r="L55" s="22"/>
      <c r="M55" s="22"/>
      <c r="N55" s="37" t="s">
        <v>138</v>
      </c>
    </row>
    <row hidden="1" r="56" ht="14.0" customFormat="1" s="1">
      <c r="A56" s="46">
        <v>3.100468854E9</v>
      </c>
      <c r="B56" s="47" t="s">
        <v>140</v>
      </c>
      <c r="C56" s="47" t="s">
        <v>141</v>
      </c>
      <c r="D56" s="48"/>
      <c r="E56" s="49">
        <v>45642.0</v>
      </c>
      <c r="F56" s="47"/>
      <c r="G56" s="47"/>
      <c r="H56" s="50" t="s">
        <v>108</v>
      </c>
      <c r="I56" s="16">
        <f>IF(@Table1[[#This Row],[Delivery Date]]="","NA",@Table1[[#This Row],[Delivery Date]]+30)</f>
        <v>45672.0</v>
      </c>
      <c r="J56" s="35" t="s">
        <f t="shared" si="4"/>
        <v>28</v>
      </c>
      <c r="K56" s="51">
        <v>12167.97</v>
      </c>
      <c r="L56" s="47" t="s">
        <v>93</v>
      </c>
      <c r="M56" s="43" t="s">
        <v>142</v>
      </c>
      <c r="N56" s="45">
        <v>0.0</v>
      </c>
    </row>
    <row r="57" ht="14.0">
      <c r="A57" s="32">
        <v>3.100517969E9</v>
      </c>
      <c r="B57" s="25" t="s">
        <v>143</v>
      </c>
      <c r="C57" s="22" t="s">
        <v>144</v>
      </c>
      <c r="D57" s="33"/>
      <c r="E57" s="34">
        <v>45650.0</v>
      </c>
      <c r="F57" s="53"/>
      <c r="G57" s="53">
        <v>2.64895986E8</v>
      </c>
      <c r="H57" s="35" t="s">
        <v>145</v>
      </c>
      <c r="I57" s="16">
        <f>IF(@Table1[[#This Row],[Delivery Date]]="","NA",@Table1[[#This Row],[Delivery Date]]+30)</f>
        <v>45680.0</v>
      </c>
      <c r="J57" s="35" t="s">
        <f t="shared" si="4"/>
        <v>28</v>
      </c>
      <c r="K57" s="36">
        <v>18134.07</v>
      </c>
      <c r="L57" s="22"/>
      <c r="M57" s="22"/>
      <c r="N57" s="37" t="s">
        <v>143</v>
      </c>
    </row>
    <row r="58" ht="14.0">
      <c r="A58" s="32">
        <v>3.10059701E9</v>
      </c>
      <c r="B58" s="25" t="s">
        <v>146</v>
      </c>
      <c r="C58" s="22" t="s">
        <v>147</v>
      </c>
      <c r="D58" s="33"/>
      <c r="E58" s="34">
        <v>45664.0</v>
      </c>
      <c r="F58" s="53"/>
      <c r="G58" s="53">
        <v>2.64895985E8</v>
      </c>
      <c r="H58" s="22" t="s">
        <v>148</v>
      </c>
      <c r="I58" s="16">
        <f>IF(@Table1[[#This Row],[Delivery Date]]="","NA",@Table1[[#This Row],[Delivery Date]]+30)</f>
        <v>45694.0</v>
      </c>
      <c r="J58" s="35" t="s">
        <f t="shared" si="4"/>
        <v>28</v>
      </c>
      <c r="K58" s="36">
        <v>40011.7</v>
      </c>
      <c r="L58" s="22"/>
      <c r="M58" s="22" t="s">
        <v>149</v>
      </c>
      <c r="N58" s="37" t="s">
        <v>146</v>
      </c>
    </row>
    <row r="59" ht="14.0">
      <c r="A59" s="32">
        <v>3.100519064E9</v>
      </c>
      <c r="B59" s="25" t="s">
        <v>150</v>
      </c>
      <c r="C59" s="22" t="s">
        <v>151</v>
      </c>
      <c r="D59" s="33"/>
      <c r="E59" s="34">
        <v>45654.0</v>
      </c>
      <c r="F59" s="53"/>
      <c r="G59" s="53">
        <v>2.64895987E8</v>
      </c>
      <c r="H59" s="35" t="s">
        <v>152</v>
      </c>
      <c r="I59" s="16">
        <f>IF(@Table1[[#This Row],[Delivery Date]]="","NA",@Table1[[#This Row],[Delivery Date]]+30)</f>
        <v>45684.0</v>
      </c>
      <c r="J59" s="35" t="s">
        <f t="shared" si="4"/>
        <v>28</v>
      </c>
      <c r="K59" s="36">
        <v>47557.74</v>
      </c>
      <c r="L59" s="22"/>
      <c r="M59" s="22"/>
      <c r="N59" s="37" t="s">
        <v>150</v>
      </c>
    </row>
    <row r="60" ht="14.0">
      <c r="A60" s="32">
        <v>3.100518469E9</v>
      </c>
      <c r="B60" s="25" t="s">
        <v>153</v>
      </c>
      <c r="C60" s="22" t="s">
        <v>58</v>
      </c>
      <c r="D60" s="33"/>
      <c r="E60" s="34">
        <v>45654.0</v>
      </c>
      <c r="F60" s="53"/>
      <c r="G60" s="53">
        <v>2.64895998E8</v>
      </c>
      <c r="H60" s="35" t="s">
        <v>154</v>
      </c>
      <c r="I60" s="16">
        <f>IF(@Table1[[#This Row],[Delivery Date]]="","NA",@Table1[[#This Row],[Delivery Date]]+30)</f>
        <v>45684.0</v>
      </c>
      <c r="J60" s="35" t="s">
        <f t="shared" si="4"/>
        <v>28</v>
      </c>
      <c r="K60" s="36">
        <v>20213.26</v>
      </c>
      <c r="L60" s="22"/>
      <c r="M60" s="22"/>
      <c r="N60" s="37" t="s">
        <v>153</v>
      </c>
    </row>
    <row r="61" ht="14.0">
      <c r="A61" s="32">
        <v>3.100519059E9</v>
      </c>
      <c r="B61" s="25" t="s">
        <v>155</v>
      </c>
      <c r="C61" s="22" t="s">
        <v>33</v>
      </c>
      <c r="D61" s="33"/>
      <c r="E61" s="34">
        <v>45644.0</v>
      </c>
      <c r="F61" s="53"/>
      <c r="G61" s="53">
        <v>2.64895996E8</v>
      </c>
      <c r="H61" s="35" t="s">
        <v>156</v>
      </c>
      <c r="I61" s="16">
        <f>IF(@Table1[[#This Row],[Delivery Date]]="","NA",@Table1[[#This Row],[Delivery Date]]+30)</f>
        <v>45674.0</v>
      </c>
      <c r="J61" s="35" t="s">
        <f t="shared" si="4"/>
        <v>28</v>
      </c>
      <c r="K61" s="36">
        <v>80724.96</v>
      </c>
      <c r="L61" s="22"/>
      <c r="M61" s="22"/>
      <c r="N61" s="37" t="s">
        <v>155</v>
      </c>
    </row>
    <row r="62" ht="14.0">
      <c r="A62" s="32">
        <v>3.100531964E9</v>
      </c>
      <c r="B62" s="25" t="s">
        <v>157</v>
      </c>
      <c r="C62" s="22" t="s">
        <v>144</v>
      </c>
      <c r="D62" s="33"/>
      <c r="E62" s="34">
        <v>45650.0</v>
      </c>
      <c r="F62" s="53"/>
      <c r="G62" s="53">
        <v>2.64895999E8</v>
      </c>
      <c r="H62" s="35" t="s">
        <v>158</v>
      </c>
      <c r="I62" s="16">
        <f>IF(@Table1[[#This Row],[Delivery Date]]="","NA",@Table1[[#This Row],[Delivery Date]]+30)</f>
        <v>45680.0</v>
      </c>
      <c r="J62" s="35" t="s">
        <f t="shared" si="4"/>
        <v>28</v>
      </c>
      <c r="K62" s="36">
        <v>6785.54</v>
      </c>
      <c r="L62" s="22"/>
      <c r="M62" s="22"/>
      <c r="N62" s="37" t="s">
        <v>157</v>
      </c>
    </row>
    <row r="63" ht="14.0">
      <c r="A63" s="32">
        <v>3.100532016E9</v>
      </c>
      <c r="B63" s="22" t="s">
        <v>159</v>
      </c>
      <c r="C63" s="22" t="s">
        <v>58</v>
      </c>
      <c r="D63" s="33"/>
      <c r="E63" s="34">
        <v>45654.0</v>
      </c>
      <c r="F63" s="53"/>
      <c r="G63" s="53">
        <v>2.64895998E8</v>
      </c>
      <c r="H63" s="35" t="s">
        <v>160</v>
      </c>
      <c r="I63" s="16">
        <f>IF(@Table1[[#This Row],[Delivery Date]]="","NA",@Table1[[#This Row],[Delivery Date]]+30)</f>
        <v>45684.0</v>
      </c>
      <c r="J63" s="35" t="s">
        <f t="shared" si="4"/>
        <v>28</v>
      </c>
      <c r="K63" s="36">
        <v>27642.69</v>
      </c>
      <c r="L63" s="22"/>
      <c r="M63" s="43" t="s">
        <v>161</v>
      </c>
      <c r="N63" s="45">
        <v>0.0</v>
      </c>
    </row>
    <row r="64" ht="14.0">
      <c r="A64" s="32">
        <v>3.100533721E9</v>
      </c>
      <c r="B64" s="25" t="s">
        <v>162</v>
      </c>
      <c r="C64" s="22" t="s">
        <v>33</v>
      </c>
      <c r="D64" s="33"/>
      <c r="E64" s="34">
        <v>45644.0</v>
      </c>
      <c r="F64" s="53"/>
      <c r="G64" s="53">
        <v>2.64895996E8</v>
      </c>
      <c r="H64" s="35" t="s">
        <v>163</v>
      </c>
      <c r="I64" s="16">
        <f>IF(@Table1[[#This Row],[Delivery Date]]="","NA",@Table1[[#This Row],[Delivery Date]]+30)</f>
        <v>45674.0</v>
      </c>
      <c r="J64" s="35" t="s">
        <f t="shared" si="4"/>
        <v>28</v>
      </c>
      <c r="K64" s="36">
        <v>23982.93</v>
      </c>
      <c r="L64" s="22"/>
      <c r="M64" s="22"/>
      <c r="N64" s="37" t="s">
        <v>162</v>
      </c>
    </row>
    <row r="65" ht="14.0">
      <c r="A65" s="32">
        <v>3.100519107E9</v>
      </c>
      <c r="B65" s="25" t="s">
        <v>164</v>
      </c>
      <c r="C65" s="22" t="s">
        <v>23</v>
      </c>
      <c r="D65" s="33"/>
      <c r="E65" s="34">
        <v>45649.0</v>
      </c>
      <c r="F65" s="53"/>
      <c r="G65" s="53">
        <v>2.64895612E8</v>
      </c>
      <c r="H65" s="35" t="s">
        <v>165</v>
      </c>
      <c r="I65" s="16">
        <f>IF(@Table1[[#This Row],[Delivery Date]]="","NA",@Table1[[#This Row],[Delivery Date]]+30)</f>
        <v>45679.0</v>
      </c>
      <c r="J65" s="35" t="s">
        <f t="shared" si="4"/>
        <v>28</v>
      </c>
      <c r="K65" s="36">
        <v>62171.29</v>
      </c>
      <c r="L65" s="22"/>
      <c r="M65" s="22"/>
      <c r="N65" s="37" t="s">
        <v>164</v>
      </c>
    </row>
    <row r="66" ht="14.0">
      <c r="A66" s="32">
        <v>3.100534144E9</v>
      </c>
      <c r="B66" s="25" t="s">
        <v>166</v>
      </c>
      <c r="C66" s="22" t="s">
        <v>151</v>
      </c>
      <c r="D66" s="33"/>
      <c r="E66" s="34">
        <v>45654.0</v>
      </c>
      <c r="F66" s="53"/>
      <c r="G66" s="53">
        <v>2.64895614E8</v>
      </c>
      <c r="H66" s="35" t="s">
        <v>167</v>
      </c>
      <c r="I66" s="16">
        <f>IF(@Table1[[#This Row],[Delivery Date]]="","NA",@Table1[[#This Row],[Delivery Date]]+30)</f>
        <v>45684.0</v>
      </c>
      <c r="J66" s="35" t="s">
        <f t="shared" si="4"/>
        <v>28</v>
      </c>
      <c r="K66" s="36">
        <v>33226.16</v>
      </c>
      <c r="L66" s="22"/>
      <c r="M66" s="22"/>
      <c r="N66" s="37" t="s">
        <v>166</v>
      </c>
    </row>
    <row r="67" ht="14.0">
      <c r="A67" s="32">
        <v>3.100541605E9</v>
      </c>
      <c r="B67" s="25" t="s">
        <v>168</v>
      </c>
      <c r="C67" s="22" t="s">
        <v>151</v>
      </c>
      <c r="D67" s="33"/>
      <c r="E67" s="34">
        <v>45661.0</v>
      </c>
      <c r="F67" s="53"/>
      <c r="G67" s="53">
        <v>2.64895683E8</v>
      </c>
      <c r="H67" s="35" t="s">
        <v>169</v>
      </c>
      <c r="I67" s="16">
        <f>IF(@Table1[[#This Row],[Delivery Date]]="","NA",@Table1[[#This Row],[Delivery Date]]+30)</f>
        <v>45691.0</v>
      </c>
      <c r="J67" s="35" t="s">
        <f t="shared" si="4"/>
        <v>28</v>
      </c>
      <c r="K67" s="36">
        <v>9067.04</v>
      </c>
      <c r="L67" s="22"/>
      <c r="M67" s="22"/>
      <c r="N67" s="37" t="s">
        <v>168</v>
      </c>
    </row>
    <row r="68" ht="14.0">
      <c r="A68" s="32">
        <v>3.100541524E9</v>
      </c>
      <c r="B68" s="25" t="s">
        <v>170</v>
      </c>
      <c r="C68" s="22" t="s">
        <v>144</v>
      </c>
      <c r="D68" s="33"/>
      <c r="E68" s="34">
        <v>45659.0</v>
      </c>
      <c r="F68" s="53"/>
      <c r="G68" s="53">
        <v>2.64895682E8</v>
      </c>
      <c r="H68" s="35" t="s">
        <v>171</v>
      </c>
      <c r="I68" s="16">
        <f>IF(@Table1[[#This Row],[Delivery Date]]="","NA",@Table1[[#This Row],[Delivery Date]]+30)</f>
        <v>45689.0</v>
      </c>
      <c r="J68" s="35" t="s">
        <f t="shared" si="4"/>
        <v>28</v>
      </c>
      <c r="K68" s="36">
        <v>6785.54</v>
      </c>
      <c r="L68" s="22"/>
      <c r="M68" s="22"/>
      <c r="N68" s="37" t="s">
        <v>170</v>
      </c>
    </row>
    <row hidden="1" r="69" ht="14.0">
      <c r="A69" s="46">
        <v>3.100540235E9</v>
      </c>
      <c r="B69" s="47" t="s">
        <v>172</v>
      </c>
      <c r="C69" s="47" t="s">
        <v>39</v>
      </c>
      <c r="D69" s="48"/>
      <c r="E69" s="49">
        <v>45652.0</v>
      </c>
      <c r="F69" s="54"/>
      <c r="G69" s="54">
        <v>2.64895684E8</v>
      </c>
      <c r="H69" s="50" t="s">
        <v>108</v>
      </c>
      <c r="I69" s="16">
        <f>IF(@Table1[[#This Row],[Delivery Date]]="","NA",@Table1[[#This Row],[Delivery Date]]+30)</f>
        <v>45682.0</v>
      </c>
      <c r="J69" s="35" t="s">
        <f t="shared" si="4"/>
        <v>28</v>
      </c>
      <c r="K69" s="51">
        <v>29294.95</v>
      </c>
      <c r="L69" s="47"/>
      <c r="M69" s="43" t="s">
        <v>173</v>
      </c>
      <c r="N69" s="45">
        <v>0.0</v>
      </c>
    </row>
    <row r="70" ht="14.0">
      <c r="A70" s="32">
        <v>3.100552868E9</v>
      </c>
      <c r="B70" s="25" t="s">
        <v>174</v>
      </c>
      <c r="C70" s="22" t="s">
        <v>39</v>
      </c>
      <c r="D70" s="33"/>
      <c r="E70" s="34">
        <v>45652.0</v>
      </c>
      <c r="F70" s="53"/>
      <c r="G70" s="53">
        <v>2.64895684E8</v>
      </c>
      <c r="H70" s="35" t="s">
        <v>175</v>
      </c>
      <c r="I70" s="16">
        <f>IF(@Table1[[#This Row],[Delivery Date]]="","NA",@Table1[[#This Row],[Delivery Date]]+30)</f>
        <v>45682.0</v>
      </c>
      <c r="J70" s="35" t="s">
        <f t="shared" si="4"/>
        <v>28</v>
      </c>
      <c r="K70" s="36">
        <v>26194.65</v>
      </c>
      <c r="L70" s="22"/>
      <c r="M70" s="22"/>
      <c r="N70" s="37" t="s">
        <v>174</v>
      </c>
    </row>
    <row r="71" ht="14.0">
      <c r="A71" s="32">
        <v>3.100552857E9</v>
      </c>
      <c r="B71" s="25" t="s">
        <v>176</v>
      </c>
      <c r="C71" s="22" t="s">
        <v>20</v>
      </c>
      <c r="D71" s="33"/>
      <c r="E71" s="34">
        <v>45661.0</v>
      </c>
      <c r="F71" s="53"/>
      <c r="G71" s="53">
        <v>2.64895678E8</v>
      </c>
      <c r="H71" s="35" t="s">
        <v>177</v>
      </c>
      <c r="I71" s="16">
        <f>IF(@Table1[[#This Row],[Delivery Date]]="","NA",@Table1[[#This Row],[Delivery Date]]+30)</f>
        <v>45691.0</v>
      </c>
      <c r="J71" s="35" t="s">
        <f t="shared" si="4"/>
        <v>28</v>
      </c>
      <c r="K71" s="36">
        <v>22450.47</v>
      </c>
      <c r="L71" s="22"/>
      <c r="M71" s="22"/>
      <c r="N71" s="37" t="s">
        <v>176</v>
      </c>
    </row>
    <row r="72" ht="14.0">
      <c r="A72" s="32">
        <v>3.100562178E9</v>
      </c>
      <c r="B72" s="25" t="s">
        <v>178</v>
      </c>
      <c r="C72" s="22" t="s">
        <v>20</v>
      </c>
      <c r="D72" s="33"/>
      <c r="E72" s="34">
        <v>45661.0</v>
      </c>
      <c r="F72" s="53"/>
      <c r="G72" s="53">
        <v>2.64895729E8</v>
      </c>
      <c r="H72" s="35" t="s">
        <v>179</v>
      </c>
      <c r="I72" s="16">
        <f>IF(@Table1[[#This Row],[Delivery Date]]="","NA",@Table1[[#This Row],[Delivery Date]]+30)</f>
        <v>45691.0</v>
      </c>
      <c r="J72" s="35" t="s">
        <f t="shared" si="4"/>
        <v>28</v>
      </c>
      <c r="K72" s="36">
        <v>31400.26</v>
      </c>
      <c r="L72" s="22"/>
      <c r="M72" s="22"/>
      <c r="N72" s="37" t="s">
        <v>178</v>
      </c>
    </row>
    <row r="73" ht="14.0">
      <c r="A73" s="32">
        <v>3.100563184E9</v>
      </c>
      <c r="B73" s="22" t="s">
        <v>180</v>
      </c>
      <c r="C73" s="22" t="s">
        <v>151</v>
      </c>
      <c r="D73" s="33"/>
      <c r="E73" s="34">
        <v>45321.0</v>
      </c>
      <c r="F73" s="53"/>
      <c r="G73" s="53">
        <v>2.64895728E8</v>
      </c>
      <c r="H73" s="22" t="s">
        <v>181</v>
      </c>
      <c r="I73" s="16">
        <f>IF(@Table1[[#This Row],[Delivery Date]]="","NA",@Table1[[#This Row],[Delivery Date]]+30)</f>
        <v>45351.0</v>
      </c>
      <c r="J73" s="35" t="s">
        <f t="shared" si="4"/>
        <v>28</v>
      </c>
      <c r="K73" s="36">
        <v>6785.54</v>
      </c>
      <c r="L73" s="22"/>
      <c r="M73" s="22"/>
      <c r="N73" s="37" t="s">
        <v>180</v>
      </c>
    </row>
    <row r="74" ht="14.0">
      <c r="A74" s="32">
        <v>3.100563607E9</v>
      </c>
      <c r="B74" s="25" t="s">
        <v>182</v>
      </c>
      <c r="C74" s="22" t="s">
        <v>39</v>
      </c>
      <c r="D74" s="33"/>
      <c r="E74" s="34">
        <v>45667.0</v>
      </c>
      <c r="F74" s="53"/>
      <c r="G74" s="53">
        <v>2.64895725E8</v>
      </c>
      <c r="H74" s="35" t="s">
        <v>183</v>
      </c>
      <c r="I74" s="16">
        <f>IF(@Table1[[#This Row],[Delivery Date]]="","NA",@Table1[[#This Row],[Delivery Date]]+30)</f>
        <v>45697.0</v>
      </c>
      <c r="J74" s="35" t="s">
        <f t="shared" si="4"/>
        <v>28</v>
      </c>
      <c r="K74" s="36">
        <v>55807.89</v>
      </c>
      <c r="L74" s="22"/>
      <c r="M74" s="22"/>
      <c r="N74" s="37" t="s">
        <v>182</v>
      </c>
    </row>
    <row r="75" ht="14.0">
      <c r="A75" s="32">
        <v>3.10056482E9</v>
      </c>
      <c r="B75" s="22" t="s">
        <v>184</v>
      </c>
      <c r="C75" s="22" t="s">
        <v>26</v>
      </c>
      <c r="D75" s="33"/>
      <c r="E75" s="34">
        <v>45695.0</v>
      </c>
      <c r="F75" s="53"/>
      <c r="G75" s="53">
        <v>2.64895731E8</v>
      </c>
      <c r="H75" s="35" t="s">
        <v>185</v>
      </c>
      <c r="I75" s="16">
        <f>IF(@Table1[[#This Row],[Delivery Date]]="","NA",@Table1[[#This Row],[Delivery Date]]+30)</f>
        <v>45725.0</v>
      </c>
      <c r="J75" s="35" t="s">
        <f t="shared" si="4"/>
        <v>28</v>
      </c>
      <c r="K75" s="36">
        <v>11205.8</v>
      </c>
      <c r="L75" s="22"/>
      <c r="M75" s="22"/>
      <c r="N75" s="37" t="s">
        <v>184</v>
      </c>
    </row>
    <row r="76" ht="14.0">
      <c r="A76" s="32">
        <v>3.100575252E9</v>
      </c>
      <c r="B76" s="25" t="s">
        <v>186</v>
      </c>
      <c r="C76" s="22" t="s">
        <v>33</v>
      </c>
      <c r="D76" s="33"/>
      <c r="E76" s="34">
        <v>45667.0</v>
      </c>
      <c r="F76" s="53"/>
      <c r="G76" s="53">
        <v>2.64895776E8</v>
      </c>
      <c r="H76" s="35" t="s">
        <v>187</v>
      </c>
      <c r="I76" s="16">
        <f>IF(@Table1[[#This Row],[Delivery Date]]="","NA",@Table1[[#This Row],[Delivery Date]]+30)</f>
        <v>45697.0</v>
      </c>
      <c r="J76" s="35" t="s">
        <f t="shared" si="4"/>
        <v>28</v>
      </c>
      <c r="K76" s="36">
        <v>71998.82</v>
      </c>
      <c r="L76" s="22"/>
      <c r="M76" s="22"/>
      <c r="N76" s="37" t="s">
        <v>186</v>
      </c>
    </row>
    <row r="77" ht="14.0">
      <c r="A77" s="32">
        <v>3.100573827E9</v>
      </c>
      <c r="B77" s="25" t="s">
        <v>188</v>
      </c>
      <c r="C77" s="22" t="s">
        <v>151</v>
      </c>
      <c r="D77" s="33"/>
      <c r="E77" s="34">
        <v>45661.0</v>
      </c>
      <c r="F77" s="53"/>
      <c r="G77" s="53">
        <v>2.64895777E8</v>
      </c>
      <c r="H77" s="35" t="s">
        <v>189</v>
      </c>
      <c r="I77" s="16">
        <f>IF(@Table1[[#This Row],[Delivery Date]]="","NA",@Table1[[#This Row],[Delivery Date]]+30)</f>
        <v>45691.0</v>
      </c>
      <c r="J77" s="35" t="s">
        <f t="shared" si="4"/>
        <v>28</v>
      </c>
      <c r="K77" s="36">
        <v>9067.04</v>
      </c>
      <c r="L77" s="22"/>
      <c r="M77" s="22"/>
      <c r="N77" s="37" t="s">
        <v>188</v>
      </c>
    </row>
    <row r="78" ht="14.0">
      <c r="A78" s="32">
        <v>3.10057762E9</v>
      </c>
      <c r="B78" s="25" t="s">
        <v>190</v>
      </c>
      <c r="C78" s="22" t="s">
        <v>15</v>
      </c>
      <c r="D78" s="33"/>
      <c r="E78" s="34">
        <v>45661.0</v>
      </c>
      <c r="F78" s="53"/>
      <c r="G78" s="53">
        <v>2.64895778E8</v>
      </c>
      <c r="H78" s="35" t="s">
        <v>191</v>
      </c>
      <c r="I78" s="16">
        <f>IF(@Table1[[#This Row],[Delivery Date]]="","NA",@Table1[[#This Row],[Delivery Date]]+30)</f>
        <v>45691.0</v>
      </c>
      <c r="J78" s="35" t="s">
        <f t="shared" si="4"/>
        <v>28</v>
      </c>
      <c r="K78" s="36">
        <v>13414.97</v>
      </c>
      <c r="L78" s="22"/>
      <c r="M78" s="22"/>
      <c r="N78" s="37" t="s">
        <v>190</v>
      </c>
    </row>
    <row r="79" ht="14.0">
      <c r="A79" s="32">
        <v>3.100578465E9</v>
      </c>
      <c r="B79" s="25" t="s">
        <v>192</v>
      </c>
      <c r="C79" s="22" t="s">
        <v>39</v>
      </c>
      <c r="D79" s="33"/>
      <c r="E79" s="34">
        <v>45667.0</v>
      </c>
      <c r="F79" s="53"/>
      <c r="G79" s="53">
        <v>2.64895779E8</v>
      </c>
      <c r="H79" s="35" t="s">
        <v>193</v>
      </c>
      <c r="I79" s="16">
        <f>IF(@Table1[[#This Row],[Delivery Date]]="","NA",@Table1[[#This Row],[Delivery Date]]+30)</f>
        <v>45697.0</v>
      </c>
      <c r="J79" s="35" t="s">
        <f t="shared" si="4"/>
        <v>28</v>
      </c>
      <c r="K79" s="36">
        <v>83930.39</v>
      </c>
      <c r="L79" s="22"/>
      <c r="M79" s="22"/>
      <c r="N79" s="37" t="s">
        <v>192</v>
      </c>
    </row>
    <row r="80" ht="14.0">
      <c r="A80" s="32">
        <v>3.100576892E9</v>
      </c>
      <c r="B80" s="25" t="s">
        <v>194</v>
      </c>
      <c r="C80" s="22" t="s">
        <v>26</v>
      </c>
      <c r="D80" s="33"/>
      <c r="E80" s="34">
        <v>45661.0</v>
      </c>
      <c r="F80" s="53"/>
      <c r="G80" s="53">
        <v>2.64895786E8</v>
      </c>
      <c r="H80" s="35" t="s">
        <v>195</v>
      </c>
      <c r="I80" s="16">
        <f>IF(@Table1[[#This Row],[Delivery Date]]="","NA",@Table1[[#This Row],[Delivery Date]]+30)</f>
        <v>45691.0</v>
      </c>
      <c r="J80" s="35" t="s">
        <f t="shared" si="4"/>
        <v>28</v>
      </c>
      <c r="K80" s="36">
        <v>62710.04</v>
      </c>
      <c r="L80" s="22"/>
      <c r="M80" s="22"/>
      <c r="N80" s="37" t="s">
        <v>194</v>
      </c>
    </row>
    <row r="81" ht="14.0">
      <c r="A81" s="32">
        <v>3.100577559E9</v>
      </c>
      <c r="B81" s="25" t="s">
        <v>196</v>
      </c>
      <c r="C81" s="22" t="s">
        <v>58</v>
      </c>
      <c r="D81" s="33"/>
      <c r="E81" s="34">
        <v>45671.0</v>
      </c>
      <c r="F81" s="53"/>
      <c r="G81" s="53">
        <v>2.64895795E8</v>
      </c>
      <c r="H81" s="35" t="s">
        <v>197</v>
      </c>
      <c r="I81" s="16">
        <f>IF(@Table1[[#This Row],[Delivery Date]]="","NA",@Table1[[#This Row],[Delivery Date]]+30)</f>
        <v>45701.0</v>
      </c>
      <c r="J81" s="35" t="s">
        <f t="shared" si="4"/>
        <v>28</v>
      </c>
      <c r="K81" s="36">
        <v>26955.15</v>
      </c>
      <c r="L81" s="22"/>
      <c r="M81" s="22"/>
      <c r="N81" s="37" t="s">
        <v>196</v>
      </c>
    </row>
    <row r="82" ht="14.0">
      <c r="A82" s="32">
        <v>3.100579619E9</v>
      </c>
      <c r="B82" s="25" t="s">
        <v>198</v>
      </c>
      <c r="C82" s="22" t="s">
        <v>20</v>
      </c>
      <c r="D82" s="33"/>
      <c r="E82" s="34">
        <v>45661.0</v>
      </c>
      <c r="F82" s="53"/>
      <c r="G82" s="53">
        <v>2.64895788E8</v>
      </c>
      <c r="H82" s="35" t="s">
        <v>199</v>
      </c>
      <c r="I82" s="16">
        <f>IF(@Table1[[#This Row],[Delivery Date]]="","NA",@Table1[[#This Row],[Delivery Date]]+30)</f>
        <v>45691.0</v>
      </c>
      <c r="J82" s="35" t="s">
        <f t="shared" si="4"/>
        <v>28</v>
      </c>
      <c r="K82" s="36">
        <v>35041.22</v>
      </c>
      <c r="L82" s="22"/>
      <c r="M82" s="22"/>
      <c r="N82" s="37" t="s">
        <v>198</v>
      </c>
    </row>
    <row r="83" ht="14.0">
      <c r="A83" s="32">
        <v>3.100500762E9</v>
      </c>
      <c r="B83" s="25" t="s">
        <v>200</v>
      </c>
      <c r="C83" s="22" t="s">
        <v>58</v>
      </c>
      <c r="D83" s="33"/>
      <c r="E83" s="34">
        <v>45671.0</v>
      </c>
      <c r="F83" s="53"/>
      <c r="G83" s="53">
        <v>2.64895795E8</v>
      </c>
      <c r="H83" s="35" t="s">
        <v>201</v>
      </c>
      <c r="I83" s="16">
        <f>IF(@Table1[[#This Row],[Delivery Date]]="","NA",@Table1[[#This Row],[Delivery Date]]+30)</f>
        <v>45701.0</v>
      </c>
      <c r="J83" s="35" t="s">
        <f t="shared" si="4"/>
        <v>28</v>
      </c>
      <c r="K83" s="36">
        <v>24134.27</v>
      </c>
      <c r="L83" s="22"/>
      <c r="M83" s="22" t="s">
        <v>202</v>
      </c>
      <c r="N83" s="37" t="s">
        <v>200</v>
      </c>
    </row>
    <row r="84" ht="14.0">
      <c r="A84" s="32">
        <v>3.100587358E9</v>
      </c>
      <c r="B84" s="25" t="s">
        <v>203</v>
      </c>
      <c r="C84" s="22" t="s">
        <v>20</v>
      </c>
      <c r="D84" s="33">
        <v>86.0</v>
      </c>
      <c r="E84" s="34">
        <v>45667.0</v>
      </c>
      <c r="F84" s="53"/>
      <c r="G84" s="53">
        <v>2.65056722E8</v>
      </c>
      <c r="H84" s="35" t="s">
        <v>204</v>
      </c>
      <c r="I84" s="16">
        <f>IF(@Table1[[#This Row],[Delivery Date]]="","NA",@Table1[[#This Row],[Delivery Date]]+30)</f>
        <v>45697.0</v>
      </c>
      <c r="J84" s="35" t="s">
        <f t="shared" si="4"/>
        <v>28</v>
      </c>
      <c r="K84" s="36">
        <v>5602.9</v>
      </c>
      <c r="L84" s="22"/>
      <c r="M84" s="22"/>
      <c r="N84" s="37" t="s">
        <v>203</v>
      </c>
    </row>
    <row r="85" ht="14.0">
      <c r="A85" s="32">
        <v>3.100590828E9</v>
      </c>
      <c r="B85" s="25" t="s">
        <v>205</v>
      </c>
      <c r="C85" s="22" t="s">
        <v>39</v>
      </c>
      <c r="D85" s="33">
        <v>793.0</v>
      </c>
      <c r="E85" s="34">
        <v>45670.0</v>
      </c>
      <c r="F85" s="53"/>
      <c r="G85" s="53">
        <v>2.65056723E8</v>
      </c>
      <c r="H85" s="35" t="s">
        <v>206</v>
      </c>
      <c r="I85" s="16">
        <f>IF(@Table1[[#This Row],[Delivery Date]]="","NA",@Table1[[#This Row],[Delivery Date]]+30)</f>
        <v>45700.0</v>
      </c>
      <c r="J85" s="35" t="s">
        <f t="shared" si="4"/>
        <v>28</v>
      </c>
      <c r="K85" s="36">
        <v>47649.5</v>
      </c>
      <c r="L85" s="22"/>
      <c r="M85" s="22" t="s">
        <v>202</v>
      </c>
      <c r="N85" s="37" t="s">
        <v>205</v>
      </c>
    </row>
    <row r="86" ht="14.0">
      <c r="A86" s="32">
        <v>3.100591886E9</v>
      </c>
      <c r="B86" s="25" t="s">
        <v>207</v>
      </c>
      <c r="C86" s="22" t="s">
        <v>26</v>
      </c>
      <c r="D86" s="33">
        <v>284.0</v>
      </c>
      <c r="E86" s="34">
        <v>45668.0</v>
      </c>
      <c r="F86" s="53"/>
      <c r="G86" s="53">
        <v>2.65056724E8</v>
      </c>
      <c r="H86" s="35" t="s">
        <v>208</v>
      </c>
      <c r="I86" s="16">
        <f>IF(@Table1[[#This Row],[Delivery Date]]="","NA",@Table1[[#This Row],[Delivery Date]]+30)</f>
        <v>45698.0</v>
      </c>
      <c r="J86" s="35" t="s">
        <f t="shared" si="4"/>
        <v>28</v>
      </c>
      <c r="K86" s="36">
        <v>19759.57</v>
      </c>
      <c r="L86" s="22"/>
      <c r="M86" s="22"/>
      <c r="N86" s="37" t="s">
        <v>207</v>
      </c>
    </row>
    <row r="87" ht="14.0">
      <c r="A87" s="32">
        <v>3.100588994E9</v>
      </c>
      <c r="B87" s="22" t="s">
        <v>209</v>
      </c>
      <c r="C87" s="22" t="s">
        <v>33</v>
      </c>
      <c r="D87" s="33">
        <v>968.0</v>
      </c>
      <c r="E87" s="34">
        <v>45695.0</v>
      </c>
      <c r="F87" s="53"/>
      <c r="G87" s="53">
        <v>2.65056725E8</v>
      </c>
      <c r="H87" s="35" t="s">
        <v>210</v>
      </c>
      <c r="I87" s="16">
        <f>IF(@Table1[[#This Row],[Delivery Date]]="","NA",@Table1[[#This Row],[Delivery Date]]+30)</f>
        <v>45725.0</v>
      </c>
      <c r="J87" s="35" t="s">
        <f t="shared" si="4"/>
        <v>28</v>
      </c>
      <c r="K87" s="36">
        <v>65492.69</v>
      </c>
      <c r="L87" s="22"/>
      <c r="M87" s="22"/>
      <c r="N87" s="37" t="s">
        <v>209</v>
      </c>
    </row>
    <row r="88" ht="14.0">
      <c r="A88" s="32">
        <v>3.100593853E9</v>
      </c>
      <c r="B88" s="25" t="s">
        <v>211</v>
      </c>
      <c r="C88" s="22" t="s">
        <v>58</v>
      </c>
      <c r="D88" s="33">
        <v>162.0</v>
      </c>
      <c r="E88" s="34">
        <v>45674.0</v>
      </c>
      <c r="F88" s="53"/>
      <c r="G88" s="53">
        <v>2.65056742E8</v>
      </c>
      <c r="H88" s="35" t="s">
        <v>212</v>
      </c>
      <c r="I88" s="16">
        <f>IF(@Table1[[#This Row],[Delivery Date]]="","NA",@Table1[[#This Row],[Delivery Date]]+30)</f>
        <v>45704.0</v>
      </c>
      <c r="J88" s="35" t="s">
        <f t="shared" si="4"/>
        <v>28</v>
      </c>
      <c r="K88" s="38">
        <v>13688.97</v>
      </c>
      <c r="L88" s="22"/>
      <c r="M88" s="22"/>
      <c r="N88" s="37" t="s">
        <v>211</v>
      </c>
    </row>
    <row r="89" ht="14.0">
      <c r="A89" s="32">
        <v>3.100601949E9</v>
      </c>
      <c r="B89" s="22" t="s">
        <v>213</v>
      </c>
      <c r="C89" s="22" t="s">
        <v>39</v>
      </c>
      <c r="D89" s="33">
        <v>306.0</v>
      </c>
      <c r="E89" s="34">
        <v>45679.0</v>
      </c>
      <c r="F89" s="53"/>
      <c r="G89" s="53">
        <v>2.65057413E8</v>
      </c>
      <c r="H89" s="35" t="s">
        <v>214</v>
      </c>
      <c r="I89" s="16">
        <f>IF(@Table1[[#This Row],[Delivery Date]]="","NA",@Table1[[#This Row],[Delivery Date]]+30)</f>
        <v>45709.0</v>
      </c>
      <c r="J89" s="35" t="s">
        <f t="shared" si="4"/>
        <v>28</v>
      </c>
      <c r="K89" s="36">
        <v>18719.02</v>
      </c>
      <c r="L89" s="22"/>
      <c r="M89" s="22"/>
      <c r="N89" s="37" t="s">
        <v>213</v>
      </c>
    </row>
    <row r="90" ht="14.0" customFormat="1" s="1">
      <c r="A90" s="32">
        <v>3.100599243E9</v>
      </c>
      <c r="B90" s="22" t="s">
        <v>215</v>
      </c>
      <c r="C90" s="22" t="s">
        <v>147</v>
      </c>
      <c r="D90" s="33">
        <v>576.0</v>
      </c>
      <c r="E90" s="34">
        <v>45687.0</v>
      </c>
      <c r="F90" s="53"/>
      <c r="G90" s="53">
        <v>2.67988021E8</v>
      </c>
      <c r="H90" s="35" t="s">
        <v>216</v>
      </c>
      <c r="I90" s="16">
        <f>IF(@Table1[[#This Row],[Delivery Date]]="","NA",@Table1[[#This Row],[Delivery Date]]+30)</f>
        <v>45717.0</v>
      </c>
      <c r="J90" s="35" t="s">
        <f t="shared" si="4"/>
        <v>28</v>
      </c>
      <c r="K90" s="36">
        <v>33226.16</v>
      </c>
      <c r="L90" s="22"/>
      <c r="M90" s="22"/>
      <c r="N90" s="37" t="s">
        <v>215</v>
      </c>
    </row>
    <row r="91" ht="14.0">
      <c r="A91" s="32">
        <v>3.100598006E9</v>
      </c>
      <c r="B91" s="22" t="s">
        <v>217</v>
      </c>
      <c r="C91" s="22" t="s">
        <v>26</v>
      </c>
      <c r="D91" s="33">
        <v>662.0</v>
      </c>
      <c r="E91" s="34">
        <v>45695.0</v>
      </c>
      <c r="F91" s="53"/>
      <c r="G91" s="53">
        <v>2.67988039E8</v>
      </c>
      <c r="H91" s="35" t="s">
        <v>218</v>
      </c>
      <c r="I91" s="16">
        <f>IF(@Table1[[#This Row],[Delivery Date]]="","NA",@Table1[[#This Row],[Delivery Date]]+30)</f>
        <v>45725.0</v>
      </c>
      <c r="J91" s="35" t="s">
        <f t="shared" si="4"/>
        <v>28</v>
      </c>
      <c r="K91" s="36">
        <v>38829.06</v>
      </c>
      <c r="L91" s="22"/>
      <c r="M91" s="22"/>
      <c r="N91" s="37" t="s">
        <v>217</v>
      </c>
    </row>
    <row r="92" ht="14.0">
      <c r="A92" s="32">
        <v>3.100601326E9</v>
      </c>
      <c r="B92" s="25" t="s">
        <v>219</v>
      </c>
      <c r="C92" s="22" t="s">
        <v>15</v>
      </c>
      <c r="D92" s="33">
        <v>149.0</v>
      </c>
      <c r="E92" s="34">
        <v>45673.0</v>
      </c>
      <c r="F92" s="53"/>
      <c r="G92" s="53">
        <v>2.6798802E8</v>
      </c>
      <c r="H92" s="35" t="s">
        <v>220</v>
      </c>
      <c r="I92" s="16">
        <f>IF(@Table1[[#This Row],[Delivery Date]]="","NA",@Table1[[#This Row],[Delivery Date]]+30)</f>
        <v>45703.0</v>
      </c>
      <c r="J92" s="35" t="s">
        <f t="shared" si="4"/>
        <v>28</v>
      </c>
      <c r="K92" s="36">
        <v>10926.39</v>
      </c>
      <c r="L92" s="22"/>
      <c r="M92" s="22"/>
      <c r="N92" s="37" t="s">
        <v>219</v>
      </c>
    </row>
    <row r="93" ht="14.0">
      <c r="A93" s="32">
        <v>3.100606693E9</v>
      </c>
      <c r="B93" s="22" t="s">
        <v>221</v>
      </c>
      <c r="C93" s="22" t="s">
        <v>26</v>
      </c>
      <c r="D93" s="33">
        <v>671.0</v>
      </c>
      <c r="E93" s="34">
        <v>45695.0</v>
      </c>
      <c r="F93" s="53"/>
      <c r="G93" s="53">
        <v>2.67988039E8</v>
      </c>
      <c r="H93" s="35" t="s">
        <v>222</v>
      </c>
      <c r="I93" s="16">
        <f>IF(@Table1[[#This Row],[Delivery Date]]="","NA",@Table1[[#This Row],[Delivery Date]]+30)</f>
        <v>45725.0</v>
      </c>
      <c r="J93" s="35" t="s">
        <f t="shared" si="4"/>
        <v>28</v>
      </c>
      <c r="K93" s="36">
        <v>43568.23</v>
      </c>
      <c r="L93" s="22"/>
      <c r="M93" s="22"/>
      <c r="N93" s="37" t="s">
        <v>221</v>
      </c>
    </row>
    <row r="94" ht="14.0">
      <c r="A94" s="32">
        <v>3.100607596E9</v>
      </c>
      <c r="B94" s="22" t="s">
        <v>223</v>
      </c>
      <c r="C94" s="22" t="s">
        <v>33</v>
      </c>
      <c r="D94" s="33">
        <v>523.0</v>
      </c>
      <c r="E94" s="34">
        <v>45690.0</v>
      </c>
      <c r="F94" s="53"/>
      <c r="G94" s="53">
        <v>2.6798804E8</v>
      </c>
      <c r="H94" s="35" t="s">
        <v>224</v>
      </c>
      <c r="I94" s="16">
        <f>IF(@Table1[[#This Row],[Delivery Date]]="","NA",@Table1[[#This Row],[Delivery Date]]+30)</f>
        <v>45720.0</v>
      </c>
      <c r="J94" s="35" t="s">
        <f t="shared" si="4"/>
        <v>28</v>
      </c>
      <c r="K94" s="36">
        <v>35833.9</v>
      </c>
      <c r="L94" s="22"/>
      <c r="M94" s="22"/>
      <c r="N94" s="37" t="s">
        <v>223</v>
      </c>
    </row>
    <row r="95" ht="14.0">
      <c r="A95" s="32">
        <v>3.100608961E9</v>
      </c>
      <c r="B95" s="22" t="s">
        <v>225</v>
      </c>
      <c r="C95" s="22" t="s">
        <v>147</v>
      </c>
      <c r="D95" s="33">
        <v>153.0</v>
      </c>
      <c r="E95" s="34">
        <v>45706.0</v>
      </c>
      <c r="F95" s="53"/>
      <c r="G95" s="53">
        <v>2.67988041E8</v>
      </c>
      <c r="H95" s="35" t="s">
        <v>226</v>
      </c>
      <c r="I95" s="16">
        <f>IF(@Table1[[#This Row],[Delivery Date]]="","NA",@Table1[[#This Row],[Delivery Date]]+30)</f>
        <v>45736.0</v>
      </c>
      <c r="J95" s="35" t="s">
        <f t="shared" si="4"/>
        <v>28</v>
      </c>
      <c r="K95" s="36">
        <v>9067.04</v>
      </c>
      <c r="L95" s="22"/>
      <c r="M95" s="22"/>
      <c r="N95" s="37" t="s">
        <v>225</v>
      </c>
    </row>
    <row r="96" ht="14.0" customFormat="1" s="1">
      <c r="A96" s="32">
        <v>3.100610758E9</v>
      </c>
      <c r="B96" s="25" t="s">
        <v>227</v>
      </c>
      <c r="C96" s="22" t="s">
        <v>58</v>
      </c>
      <c r="D96" s="33">
        <v>257.0</v>
      </c>
      <c r="E96" s="34">
        <v>45676.0</v>
      </c>
      <c r="F96" s="53"/>
      <c r="G96" s="53">
        <v>2.67988042E8</v>
      </c>
      <c r="H96" s="35" t="s">
        <v>228</v>
      </c>
      <c r="I96" s="16">
        <f>IF(@Table1[[#This Row],[Delivery Date]]="","NA",@Table1[[#This Row],[Delivery Date]]+30)</f>
        <v>45706.0</v>
      </c>
      <c r="J96" s="35" t="s">
        <f t="shared" si="4"/>
        <v>28</v>
      </c>
      <c r="K96" s="36">
        <v>20052.37</v>
      </c>
      <c r="L96" s="22"/>
      <c r="M96" s="22"/>
      <c r="N96" s="37" t="s">
        <v>227</v>
      </c>
    </row>
    <row r="97" ht="14.0" customFormat="1" s="1">
      <c r="A97" s="32">
        <v>3.100610884E9</v>
      </c>
      <c r="B97" s="22" t="s">
        <v>229</v>
      </c>
      <c r="C97" s="22" t="s">
        <v>39</v>
      </c>
      <c r="D97" s="33">
        <v>855.0</v>
      </c>
      <c r="E97" s="34">
        <v>45678.0</v>
      </c>
      <c r="F97" s="53"/>
      <c r="G97" s="53">
        <v>2.67988043E8</v>
      </c>
      <c r="H97" s="35" t="s">
        <v>230</v>
      </c>
      <c r="I97" s="16">
        <f>IF(@Table1[[#This Row],[Delivery Date]]="","NA",@Table1[[#This Row],[Delivery Date]]+30)</f>
        <v>45708.0</v>
      </c>
      <c r="J97" s="35" t="s">
        <f t="shared" si="4"/>
        <v>28</v>
      </c>
      <c r="K97" s="36">
        <v>52472.46</v>
      </c>
      <c r="L97" s="22"/>
      <c r="M97" s="22"/>
      <c r="N97" s="37" t="s">
        <v>229</v>
      </c>
    </row>
    <row r="98" ht="14.0">
      <c r="A98" s="32">
        <v>3.100613546E9</v>
      </c>
      <c r="B98" s="22" t="s">
        <v>231</v>
      </c>
      <c r="C98" s="22" t="s">
        <v>15</v>
      </c>
      <c r="D98" s="33">
        <v>149.0</v>
      </c>
      <c r="E98" s="34">
        <v>45682.0</v>
      </c>
      <c r="F98" s="53"/>
      <c r="G98" s="53">
        <v>2.67988044E8</v>
      </c>
      <c r="H98" s="35" t="s">
        <v>232</v>
      </c>
      <c r="I98" s="16">
        <f>IF(@Table1[[#This Row],[Delivery Date]]="","NA",@Table1[[#This Row],[Delivery Date]]+30)</f>
        <v>45712.0</v>
      </c>
      <c r="J98" s="35" t="s">
        <f t="shared" si="4"/>
        <v>28</v>
      </c>
      <c r="K98" s="38">
        <v>10926.39</v>
      </c>
      <c r="L98" s="22"/>
      <c r="M98" s="22"/>
      <c r="N98" s="37" t="s">
        <v>231</v>
      </c>
    </row>
    <row r="99" ht="14.0">
      <c r="A99" s="32">
        <v>3.100631929E9</v>
      </c>
      <c r="B99" s="22" t="s">
        <v>233</v>
      </c>
      <c r="C99" s="22" t="s">
        <v>26</v>
      </c>
      <c r="D99" s="33">
        <v>36.0</v>
      </c>
      <c r="E99" s="34">
        <v>45695.0</v>
      </c>
      <c r="F99" s="53"/>
      <c r="G99" s="53">
        <v>2.67988039E8</v>
      </c>
      <c r="H99" s="35" t="s">
        <v>234</v>
      </c>
      <c r="I99" s="16">
        <f>IF(@Table1[[#This Row],[Delivery Date]]="","NA",@Table1[[#This Row],[Delivery Date]]+30)</f>
        <v>45725.0</v>
      </c>
      <c r="J99" s="35" t="s">
        <f t="shared" si="4"/>
        <v>28</v>
      </c>
      <c r="K99" s="36">
        <v>3041.99</v>
      </c>
      <c r="L99" s="22"/>
      <c r="M99" s="22"/>
      <c r="N99" s="37" t="s">
        <v>233</v>
      </c>
    </row>
    <row r="100" ht="14.0" customFormat="1" s="1">
      <c r="A100" s="55">
        <v>3.100632547E9</v>
      </c>
      <c r="B100" s="56" t="s">
        <v>235</v>
      </c>
      <c r="C100" s="56" t="s">
        <v>15</v>
      </c>
      <c r="D100" s="57">
        <v>162.0</v>
      </c>
      <c r="E100" s="58">
        <v>45682.0</v>
      </c>
      <c r="F100" s="59"/>
      <c r="G100" s="59">
        <v>2.67988044E8</v>
      </c>
      <c r="H100" s="50" t="s">
        <v>108</v>
      </c>
      <c r="I100" s="16">
        <f>IF(@Table1[[#This Row],[Delivery Date]]="","NA",@Table1[[#This Row],[Delivery Date]]+30)</f>
        <v>45712.0</v>
      </c>
      <c r="J100" s="35" t="s">
        <f t="shared" si="4"/>
        <v>28</v>
      </c>
      <c r="K100" s="60">
        <v>11699.63</v>
      </c>
      <c r="L100" s="56"/>
      <c r="M100" s="43" t="s">
        <v>236</v>
      </c>
      <c r="N100" s="45">
        <v>0.0</v>
      </c>
    </row>
    <row r="101" ht="14.0" customFormat="1" s="1">
      <c r="A101" s="32">
        <v>3.1006293E9</v>
      </c>
      <c r="B101" s="22" t="s">
        <v>237</v>
      </c>
      <c r="C101" s="22" t="s">
        <v>33</v>
      </c>
      <c r="D101" s="33">
        <v>441.0</v>
      </c>
      <c r="E101" s="34">
        <v>45695.0</v>
      </c>
      <c r="F101" s="53"/>
      <c r="G101" s="53">
        <v>2.67988048E8</v>
      </c>
      <c r="H101" s="35" t="s">
        <v>238</v>
      </c>
      <c r="I101" s="16">
        <f>IF(@Table1[[#This Row],[Delivery Date]]="","NA",@Table1[[#This Row],[Delivery Date]]+30)</f>
        <v>45725.0</v>
      </c>
      <c r="J101" s="35" t="s">
        <f t="shared" si="4"/>
        <v>28</v>
      </c>
      <c r="K101" s="36">
        <v>33520.22</v>
      </c>
      <c r="L101" s="22"/>
      <c r="M101" s="22"/>
      <c r="N101" s="37" t="s">
        <v>237</v>
      </c>
    </row>
    <row r="102" ht="14.0" customFormat="1" s="1">
      <c r="A102" s="32">
        <v>3.100627655E9</v>
      </c>
      <c r="B102" s="22" t="s">
        <v>239</v>
      </c>
      <c r="C102" s="22" t="s">
        <v>58</v>
      </c>
      <c r="D102" s="33">
        <v>396.0</v>
      </c>
      <c r="E102" s="34">
        <v>45680.0</v>
      </c>
      <c r="F102" s="53"/>
      <c r="G102" s="53">
        <v>2.67988049E8</v>
      </c>
      <c r="H102" s="35" t="s">
        <v>240</v>
      </c>
      <c r="I102" s="16">
        <f>IF(@Table1[[#This Row],[Delivery Date]]="","NA",@Table1[[#This Row],[Delivery Date]]+30)</f>
        <v>45710.0</v>
      </c>
      <c r="J102" s="35" t="s">
        <v>241</v>
      </c>
      <c r="K102" s="38">
        <v>29717.73</v>
      </c>
      <c r="L102" s="22"/>
      <c r="M102" s="22"/>
      <c r="N102" s="37" t="s">
        <v>239</v>
      </c>
    </row>
    <row r="103" ht="14.0" customFormat="1" s="1">
      <c r="A103" s="32">
        <v>3.100625662E9</v>
      </c>
      <c r="B103" s="22" t="s">
        <v>242</v>
      </c>
      <c r="C103" s="22" t="s">
        <v>39</v>
      </c>
      <c r="D103" s="33">
        <v>729.0</v>
      </c>
      <c r="E103" s="34">
        <v>45680.0</v>
      </c>
      <c r="F103" s="53"/>
      <c r="G103" s="53">
        <v>2.67988051E8</v>
      </c>
      <c r="H103" s="35" t="s">
        <v>243</v>
      </c>
      <c r="I103" s="16">
        <f>IF(@Table1[[#This Row],[Delivery Date]]="","NA",@Table1[[#This Row],[Delivery Date]]+30)</f>
        <v>45710.0</v>
      </c>
      <c r="J103" s="35" t="s">
        <f t="shared" ref="J103:J588" si="5">IF(I103&lt;$Q$1,"Overdue","Pending")</f>
        <v>28</v>
      </c>
      <c r="K103" s="36">
        <v>45219.22</v>
      </c>
      <c r="L103" s="22"/>
      <c r="M103" s="22"/>
      <c r="N103" s="37" t="s">
        <v>242</v>
      </c>
    </row>
    <row r="104" ht="14.0" customFormat="1" s="1">
      <c r="A104" s="32">
        <v>3.100637475E9</v>
      </c>
      <c r="B104" s="22" t="s">
        <v>244</v>
      </c>
      <c r="C104" s="22" t="s">
        <v>26</v>
      </c>
      <c r="D104" s="33">
        <v>810.0</v>
      </c>
      <c r="E104" s="34">
        <v>45703.0</v>
      </c>
      <c r="F104" s="22"/>
      <c r="G104" s="22">
        <v>2.679881E8</v>
      </c>
      <c r="H104" s="35" t="s">
        <v>245</v>
      </c>
      <c r="I104" s="16">
        <f>IF(@Table1[[#This Row],[Delivery Date]]="","NA",@Table1[[#This Row],[Delivery Date]]+30)</f>
        <v>45733.0</v>
      </c>
      <c r="J104" s="35" t="s">
        <f t="shared" si="5"/>
        <v>28</v>
      </c>
      <c r="K104" s="36">
        <v>43754.61</v>
      </c>
      <c r="L104" s="22"/>
      <c r="M104" s="22"/>
      <c r="N104" s="37" t="s">
        <v>244</v>
      </c>
    </row>
    <row r="105" ht="14.0">
      <c r="A105" s="55">
        <v>3.100637658E9</v>
      </c>
      <c r="B105" s="56" t="s">
        <v>246</v>
      </c>
      <c r="C105" s="56" t="s">
        <v>247</v>
      </c>
      <c r="D105" s="57">
        <v>160.0</v>
      </c>
      <c r="E105" s="58">
        <v>45706.0</v>
      </c>
      <c r="F105" s="56"/>
      <c r="G105" s="56">
        <v>2.67988101E8</v>
      </c>
      <c r="H105" s="50" t="s">
        <v>108</v>
      </c>
      <c r="I105" s="16">
        <f>IF(@Table1[[#This Row],[Delivery Date]]="","NA",@Table1[[#This Row],[Delivery Date]]+30)</f>
        <v>45736.0</v>
      </c>
      <c r="J105" s="35" t="s">
        <f t="shared" si="5"/>
        <v>28</v>
      </c>
      <c r="K105" s="60">
        <v>12044.35</v>
      </c>
      <c r="L105" s="56"/>
      <c r="M105" s="43" t="s">
        <v>248</v>
      </c>
      <c r="N105" s="45">
        <v>0.0</v>
      </c>
    </row>
    <row r="106" ht="14.0">
      <c r="A106" s="32">
        <v>3.100642323E9</v>
      </c>
      <c r="B106" s="22" t="s">
        <v>249</v>
      </c>
      <c r="C106" s="22" t="s">
        <v>39</v>
      </c>
      <c r="D106" s="33">
        <v>487.0</v>
      </c>
      <c r="E106" s="34">
        <v>45686.0</v>
      </c>
      <c r="F106" s="22"/>
      <c r="G106" s="22">
        <v>2.67988102E8</v>
      </c>
      <c r="H106" s="35" t="s">
        <v>250</v>
      </c>
      <c r="I106" s="16">
        <f>IF(@Table1[[#This Row],[Delivery Date]]="","NA",@Table1[[#This Row],[Delivery Date]]+30)</f>
        <v>45716.0</v>
      </c>
      <c r="J106" s="35" t="s">
        <f t="shared" si="5"/>
        <v>28</v>
      </c>
      <c r="K106" s="38">
        <v>28423.26</v>
      </c>
      <c r="L106" s="22"/>
      <c r="M106" s="22"/>
      <c r="N106" s="37" t="s">
        <v>249</v>
      </c>
    </row>
    <row r="107" ht="14.0">
      <c r="A107" s="32">
        <v>3.10064357E9</v>
      </c>
      <c r="B107" s="22" t="s">
        <v>251</v>
      </c>
      <c r="C107" s="22" t="s">
        <v>58</v>
      </c>
      <c r="D107" s="33">
        <v>512.0</v>
      </c>
      <c r="E107" s="34">
        <v>45687.0</v>
      </c>
      <c r="F107" s="22"/>
      <c r="G107" s="22">
        <v>2.67988103E8</v>
      </c>
      <c r="H107" s="35" t="s">
        <v>252</v>
      </c>
      <c r="I107" s="16">
        <f>IF(@Table1[[#This Row],[Delivery Date]]="","NA",@Table1[[#This Row],[Delivery Date]]+30)</f>
        <v>45717.0</v>
      </c>
      <c r="J107" s="35" t="s">
        <f t="shared" si="5"/>
        <v>28</v>
      </c>
      <c r="K107" s="38">
        <v>27753.25</v>
      </c>
      <c r="L107" s="22"/>
      <c r="M107" s="22"/>
      <c r="N107" s="37" t="s">
        <v>251</v>
      </c>
    </row>
    <row r="108" ht="14.0">
      <c r="A108" s="32">
        <v>3.100640247E9</v>
      </c>
      <c r="B108" s="22" t="s">
        <v>253</v>
      </c>
      <c r="C108" s="22" t="s">
        <v>20</v>
      </c>
      <c r="D108" s="33">
        <v>800.0</v>
      </c>
      <c r="E108" s="34">
        <v>45682.0</v>
      </c>
      <c r="F108" s="22"/>
      <c r="G108" s="22">
        <v>2.67988109E8</v>
      </c>
      <c r="H108" s="35" t="s">
        <v>254</v>
      </c>
      <c r="I108" s="16">
        <f>IF(@Table1[[#This Row],[Delivery Date]]="","NA",@Table1[[#This Row],[Delivery Date]]+30)</f>
        <v>45712.0</v>
      </c>
      <c r="J108" s="35" t="s">
        <f t="shared" si="5"/>
        <v>28</v>
      </c>
      <c r="K108" s="38">
        <v>46082.3</v>
      </c>
      <c r="L108" s="22"/>
      <c r="M108" s="22"/>
      <c r="N108" s="37" t="s">
        <v>253</v>
      </c>
    </row>
    <row r="109" ht="14.0">
      <c r="A109" s="32">
        <v>3.100598485E9</v>
      </c>
      <c r="B109" s="22" t="s">
        <v>255</v>
      </c>
      <c r="C109" s="22" t="s">
        <v>20</v>
      </c>
      <c r="D109" s="33">
        <v>72.0</v>
      </c>
      <c r="E109" s="34">
        <v>45682.0</v>
      </c>
      <c r="F109" s="22"/>
      <c r="G109" s="22">
        <v>2.67988109E8</v>
      </c>
      <c r="H109" s="35" t="s">
        <v>256</v>
      </c>
      <c r="I109" s="16">
        <f>IF(@Table1[[#This Row],[Delivery Date]]="","NA",@Table1[[#This Row],[Delivery Date]]+30)</f>
        <v>45712.0</v>
      </c>
      <c r="J109" s="35" t="s">
        <f t="shared" si="5"/>
        <v>28</v>
      </c>
      <c r="K109" s="38">
        <v>3509.7</v>
      </c>
      <c r="L109" s="22"/>
      <c r="M109" s="22"/>
      <c r="N109" s="37" t="s">
        <v>255</v>
      </c>
    </row>
    <row r="110" ht="14.0">
      <c r="A110" s="32">
        <v>3.100630804E9</v>
      </c>
      <c r="B110" s="22" t="s">
        <v>257</v>
      </c>
      <c r="C110" s="22" t="s">
        <v>20</v>
      </c>
      <c r="D110" s="33">
        <v>18.0</v>
      </c>
      <c r="E110" s="34">
        <v>45682.0</v>
      </c>
      <c r="F110" s="22"/>
      <c r="G110" s="22">
        <v>2.67988109E8</v>
      </c>
      <c r="H110" s="35" t="s">
        <v>258</v>
      </c>
      <c r="I110" s="16">
        <f>IF(@Table1[[#This Row],[Delivery Date]]="","NA",@Table1[[#This Row],[Delivery Date]]+30)</f>
        <v>45712.0</v>
      </c>
      <c r="J110" s="35" t="s">
        <f t="shared" si="5"/>
        <v>28</v>
      </c>
      <c r="K110" s="38">
        <v>1521.0</v>
      </c>
      <c r="L110" s="22"/>
      <c r="M110" s="22"/>
      <c r="N110" s="37" t="s">
        <v>257</v>
      </c>
    </row>
    <row r="111" ht="14.0">
      <c r="A111" s="32">
        <v>3.10064979E9</v>
      </c>
      <c r="B111" s="22" t="s">
        <v>259</v>
      </c>
      <c r="C111" s="22" t="s">
        <v>58</v>
      </c>
      <c r="D111" s="33">
        <v>162.0</v>
      </c>
      <c r="E111" s="34">
        <v>45687.0</v>
      </c>
      <c r="F111" s="22"/>
      <c r="G111" s="22">
        <v>2.67988103E8</v>
      </c>
      <c r="H111" s="35" t="s">
        <v>260</v>
      </c>
      <c r="I111" s="16">
        <f>IF(@Table1[[#This Row],[Delivery Date]]="","NA",@Table1[[#This Row],[Delivery Date]]+30)</f>
        <v>45717.0</v>
      </c>
      <c r="J111" s="35" t="s">
        <f t="shared" si="5"/>
        <v>28</v>
      </c>
      <c r="K111" s="38">
        <v>13688.97</v>
      </c>
      <c r="L111" s="22"/>
      <c r="M111" s="43" t="s">
        <v>261</v>
      </c>
      <c r="N111" s="45">
        <v>0.0</v>
      </c>
    </row>
    <row r="112" ht="14.0">
      <c r="A112" s="32">
        <v>3.100649738E9</v>
      </c>
      <c r="B112" s="22" t="s">
        <v>262</v>
      </c>
      <c r="C112" s="22" t="s">
        <v>39</v>
      </c>
      <c r="D112" s="33">
        <v>793.0</v>
      </c>
      <c r="E112" s="34">
        <v>45686.0</v>
      </c>
      <c r="F112" s="53"/>
      <c r="G112" s="53">
        <v>2.67988173E8</v>
      </c>
      <c r="H112" s="35" t="s">
        <v>263</v>
      </c>
      <c r="I112" s="16">
        <f>IF(@Table1[[#This Row],[Delivery Date]]="","NA",@Table1[[#This Row],[Delivery Date]]+30)</f>
        <v>45716.0</v>
      </c>
      <c r="J112" s="35" t="s">
        <f t="shared" si="5"/>
        <v>28</v>
      </c>
      <c r="K112" s="36">
        <v>47649.5</v>
      </c>
      <c r="L112" s="22"/>
      <c r="M112" s="22"/>
      <c r="N112" s="37" t="s">
        <v>262</v>
      </c>
    </row>
    <row r="113" ht="14.0">
      <c r="A113" s="32">
        <v>3.10065671E9</v>
      </c>
      <c r="B113" s="22" t="s">
        <v>264</v>
      </c>
      <c r="C113" s="22" t="s">
        <v>20</v>
      </c>
      <c r="D113" s="33">
        <v>273.0</v>
      </c>
      <c r="E113" s="34">
        <v>45705.0</v>
      </c>
      <c r="F113" s="53"/>
      <c r="G113" s="53">
        <v>2.67988176E8</v>
      </c>
      <c r="H113" s="22" t="s">
        <v>265</v>
      </c>
      <c r="I113" s="16">
        <f>IF(@Table1[[#This Row],[Delivery Date]]="","NA",@Table1[[#This Row],[Delivery Date]]+30)</f>
        <v>45735.0</v>
      </c>
      <c r="J113" s="35" t="s">
        <f t="shared" si="5"/>
        <v>28</v>
      </c>
      <c r="K113" s="36">
        <v>16398.66</v>
      </c>
      <c r="L113" s="22"/>
      <c r="M113" s="22"/>
      <c r="N113" s="37" t="s">
        <v>264</v>
      </c>
    </row>
    <row r="114" ht="14.0">
      <c r="A114" s="32">
        <v>3.100654149E9</v>
      </c>
      <c r="B114" s="22" t="s">
        <v>266</v>
      </c>
      <c r="C114" s="22" t="s">
        <v>58</v>
      </c>
      <c r="D114" s="33">
        <v>669.0</v>
      </c>
      <c r="E114" s="34">
        <v>45688.0</v>
      </c>
      <c r="F114" s="53"/>
      <c r="G114" s="53">
        <v>2.67988177E8</v>
      </c>
      <c r="H114" s="35" t="s">
        <v>267</v>
      </c>
      <c r="I114" s="16">
        <f>IF(@Table1[[#This Row],[Delivery Date]]="","NA",@Table1[[#This Row],[Delivery Date]]+30)</f>
        <v>45718.0</v>
      </c>
      <c r="J114" s="35" t="s">
        <f t="shared" si="5"/>
        <v>28</v>
      </c>
      <c r="K114" s="36">
        <v>38666.25</v>
      </c>
      <c r="L114" s="22"/>
      <c r="M114" s="22"/>
      <c r="N114" s="37" t="s">
        <v>266</v>
      </c>
    </row>
    <row r="115" ht="14.0">
      <c r="A115" s="32">
        <v>3.100652733E9</v>
      </c>
      <c r="B115" s="22" t="s">
        <v>268</v>
      </c>
      <c r="C115" s="22" t="s">
        <v>39</v>
      </c>
      <c r="D115" s="33">
        <v>323.0</v>
      </c>
      <c r="E115" s="34">
        <v>45688.0</v>
      </c>
      <c r="F115" s="53"/>
      <c r="G115" s="53">
        <v>2.67988178E8</v>
      </c>
      <c r="H115" s="35" t="s">
        <v>269</v>
      </c>
      <c r="I115" s="16">
        <f>IF(@Table1[[#This Row],[Delivery Date]]="","NA",@Table1[[#This Row],[Delivery Date]]+30)</f>
        <v>45718.0</v>
      </c>
      <c r="J115" s="35" t="s">
        <f t="shared" si="5"/>
        <v>28</v>
      </c>
      <c r="K115" s="36">
        <v>18374.62</v>
      </c>
      <c r="L115" s="22"/>
      <c r="M115" s="22"/>
      <c r="N115" s="37" t="s">
        <v>268</v>
      </c>
    </row>
    <row r="116" ht="14.0">
      <c r="A116" s="32">
        <v>3.100650705E9</v>
      </c>
      <c r="B116" s="22" t="s">
        <v>270</v>
      </c>
      <c r="C116" s="22" t="s">
        <v>26</v>
      </c>
      <c r="D116" s="33">
        <v>198.0</v>
      </c>
      <c r="E116" s="34">
        <v>45721.0</v>
      </c>
      <c r="F116" s="53"/>
      <c r="G116" s="53">
        <v>2.679883E8</v>
      </c>
      <c r="H116" s="35" t="s">
        <v>271</v>
      </c>
      <c r="I116" s="16">
        <f>IF(@Table1[[#This Row],[Delivery Date]]="","NA",@Table1[[#This Row],[Delivery Date]]+30)</f>
        <v>45751.0</v>
      </c>
      <c r="J116" s="35" t="s">
        <f t="shared" si="5"/>
        <v>28</v>
      </c>
      <c r="K116" s="51">
        <v>16184.88</v>
      </c>
      <c r="L116" s="61"/>
      <c r="M116" s="43" t="s">
        <v>272</v>
      </c>
      <c r="N116" s="45">
        <v>0.0</v>
      </c>
    </row>
    <row r="117" ht="14.0">
      <c r="A117" s="32">
        <v>3.100627062E9</v>
      </c>
      <c r="B117" s="22" t="s">
        <v>273</v>
      </c>
      <c r="C117" s="22" t="s">
        <v>151</v>
      </c>
      <c r="D117" s="33">
        <v>72.0</v>
      </c>
      <c r="E117" s="34">
        <v>45686.0</v>
      </c>
      <c r="F117" s="53"/>
      <c r="G117" s="53">
        <v>2.67988191E8</v>
      </c>
      <c r="H117" s="62" t="s">
        <v>274</v>
      </c>
      <c r="I117" s="16">
        <f>IF(@Table1[[#This Row],[Delivery Date]]="","NA",@Table1[[#This Row],[Delivery Date]]+30)</f>
        <v>45716.0</v>
      </c>
      <c r="J117" s="35" t="s">
        <f t="shared" si="5"/>
        <v>28</v>
      </c>
      <c r="K117" s="36">
        <v>6083.99</v>
      </c>
      <c r="L117" s="22"/>
      <c r="M117" s="22"/>
      <c r="N117" s="37">
        <v>0.0</v>
      </c>
    </row>
    <row r="118" ht="14.0">
      <c r="A118" s="32">
        <v>3.100657708E9</v>
      </c>
      <c r="B118" s="22" t="s">
        <v>275</v>
      </c>
      <c r="C118" s="22" t="s">
        <v>151</v>
      </c>
      <c r="D118" s="33">
        <v>165.0</v>
      </c>
      <c r="E118" s="34">
        <v>45686.0</v>
      </c>
      <c r="F118" s="53"/>
      <c r="G118" s="53">
        <v>2.67988191E8</v>
      </c>
      <c r="H118" s="22" t="s">
        <v>276</v>
      </c>
      <c r="I118" s="16">
        <f>IF(@Table1[[#This Row],[Delivery Date]]="","NA",@Table1[[#This Row],[Delivery Date]]+30)</f>
        <v>45716.0</v>
      </c>
      <c r="J118" s="35" t="s">
        <f t="shared" si="5"/>
        <v>28</v>
      </c>
      <c r="K118" s="36">
        <v>12869.85</v>
      </c>
      <c r="L118" s="22"/>
      <c r="M118" s="22"/>
      <c r="N118" s="37" t="s">
        <v>275</v>
      </c>
    </row>
    <row r="119" ht="14.0">
      <c r="A119" s="32">
        <v>3.100654975E9</v>
      </c>
      <c r="B119" s="22" t="s">
        <v>277</v>
      </c>
      <c r="C119" s="22" t="s">
        <v>33</v>
      </c>
      <c r="D119" s="33">
        <v>534.0</v>
      </c>
      <c r="E119" s="34">
        <v>45706.0</v>
      </c>
      <c r="F119" s="53"/>
      <c r="G119" s="53">
        <v>2.67988192E8</v>
      </c>
      <c r="H119" s="22" t="s">
        <v>278</v>
      </c>
      <c r="I119" s="16">
        <f>IF(@Table1[[#This Row],[Delivery Date]]="","NA",@Table1[[#This Row],[Delivery Date]]+30)</f>
        <v>45736.0</v>
      </c>
      <c r="J119" s="35" t="s">
        <f t="shared" si="5"/>
        <v>28</v>
      </c>
      <c r="K119" s="36">
        <v>35683.84</v>
      </c>
      <c r="L119" s="22"/>
      <c r="M119" s="22"/>
      <c r="N119" s="37" t="s">
        <v>277</v>
      </c>
    </row>
    <row r="120" ht="14.0">
      <c r="A120" s="32">
        <v>3.100652093E9</v>
      </c>
      <c r="B120" s="22" t="s">
        <v>279</v>
      </c>
      <c r="C120" s="22" t="s">
        <v>247</v>
      </c>
      <c r="D120" s="33">
        <v>158.0</v>
      </c>
      <c r="E120" s="34">
        <v>45697.0</v>
      </c>
      <c r="F120" s="53"/>
      <c r="G120" s="53">
        <v>2.67988193E8</v>
      </c>
      <c r="H120" s="22" t="s">
        <v>280</v>
      </c>
      <c r="I120" s="16">
        <f>IF(@Table1[[#This Row],[Delivery Date]]="","NA",@Table1[[#This Row],[Delivery Date]]+30)</f>
        <v>45727.0</v>
      </c>
      <c r="J120" s="35" t="s">
        <f t="shared" si="5"/>
        <v>28</v>
      </c>
      <c r="K120" s="36">
        <v>11433.28</v>
      </c>
      <c r="L120" s="22"/>
      <c r="M120" s="22"/>
      <c r="N120" s="37" t="s">
        <v>279</v>
      </c>
    </row>
    <row r="121" ht="14.0">
      <c r="A121" s="32">
        <v>3.100675734E9</v>
      </c>
      <c r="B121" s="22" t="s">
        <v>281</v>
      </c>
      <c r="C121" s="22" t="s">
        <v>151</v>
      </c>
      <c r="D121" s="33">
        <v>189.0</v>
      </c>
      <c r="E121" s="34">
        <v>45695.0</v>
      </c>
      <c r="F121" s="53"/>
      <c r="G121" s="53">
        <v>2.67988258E8</v>
      </c>
      <c r="H121" s="22" t="s">
        <v>282</v>
      </c>
      <c r="I121" s="16">
        <f>IF(@Table1[[#This Row],[Delivery Date]]="","NA",@Table1[[#This Row],[Delivery Date]]+30)</f>
        <v>45725.0</v>
      </c>
      <c r="J121" s="35" t="s">
        <f t="shared" si="5"/>
        <v>28</v>
      </c>
      <c r="K121" s="38">
        <v>13396.17</v>
      </c>
      <c r="L121" s="22"/>
      <c r="M121" s="22"/>
      <c r="N121" s="37" t="s">
        <v>281</v>
      </c>
    </row>
    <row r="122" ht="14.0">
      <c r="A122" s="32">
        <v>3.100675986E9</v>
      </c>
      <c r="B122" s="22" t="s">
        <v>283</v>
      </c>
      <c r="C122" s="22" t="s">
        <v>20</v>
      </c>
      <c r="D122" s="33">
        <v>159.0</v>
      </c>
      <c r="E122" s="34">
        <v>45694.0</v>
      </c>
      <c r="F122" s="53"/>
      <c r="G122" s="53">
        <v>2.67988259E8</v>
      </c>
      <c r="H122" s="35" t="s">
        <v>284</v>
      </c>
      <c r="I122" s="16">
        <f>IF(@Table1[[#This Row],[Delivery Date]]="","NA",@Table1[[#This Row],[Delivery Date]]+30)</f>
        <v>45724.0</v>
      </c>
      <c r="J122" s="35" t="s">
        <f t="shared" si="5"/>
        <v>28</v>
      </c>
      <c r="K122" s="36">
        <v>11433.28</v>
      </c>
      <c r="L122" s="22"/>
      <c r="M122" s="22"/>
      <c r="N122" s="37" t="s">
        <v>283</v>
      </c>
    </row>
    <row r="123" ht="14.0">
      <c r="A123" s="32">
        <v>3.100676736E9</v>
      </c>
      <c r="B123" s="22" t="s">
        <v>285</v>
      </c>
      <c r="C123" s="22" t="s">
        <v>33</v>
      </c>
      <c r="D123" s="33">
        <v>288.0</v>
      </c>
      <c r="E123" s="34">
        <v>45706.0</v>
      </c>
      <c r="F123" s="53"/>
      <c r="G123" s="53">
        <v>2.67988299E8</v>
      </c>
      <c r="H123" s="35" t="s">
        <v>286</v>
      </c>
      <c r="I123" s="16">
        <f>IF(@Table1[[#This Row],[Delivery Date]]="","NA",@Table1[[#This Row],[Delivery Date]]+30)</f>
        <v>45736.0</v>
      </c>
      <c r="J123" s="35" t="s">
        <f t="shared" si="5"/>
        <v>28</v>
      </c>
      <c r="K123" s="38">
        <v>14038.79</v>
      </c>
      <c r="L123" s="22"/>
      <c r="M123" s="22"/>
      <c r="N123" s="37" t="s">
        <v>285</v>
      </c>
    </row>
    <row r="124" ht="14.0">
      <c r="A124" s="32" t="s">
        <v>287</v>
      </c>
      <c r="B124" s="22" t="s">
        <v>288</v>
      </c>
      <c r="C124" s="22" t="s">
        <v>39</v>
      </c>
      <c r="D124" s="33">
        <v>1102.0</v>
      </c>
      <c r="E124" s="34">
        <v>45699.0</v>
      </c>
      <c r="F124" s="53"/>
      <c r="G124" s="53">
        <v>2.67988303E8</v>
      </c>
      <c r="H124" s="35" t="s">
        <v>289</v>
      </c>
      <c r="I124" s="16">
        <f>IF(@Table1[[#This Row],[Delivery Date]]="","NA",@Table1[[#This Row],[Delivery Date]]+30)</f>
        <v>45729.0</v>
      </c>
      <c r="J124" s="35" t="s">
        <f t="shared" si="5"/>
        <v>28</v>
      </c>
      <c r="K124" s="36">
        <v>73272.27</v>
      </c>
      <c r="L124" s="22"/>
      <c r="M124" s="22"/>
      <c r="N124" s="37" t="s">
        <v>288</v>
      </c>
    </row>
    <row r="125" ht="14.0">
      <c r="A125" s="32" t="s">
        <v>290</v>
      </c>
      <c r="B125" s="22" t="s">
        <v>291</v>
      </c>
      <c r="C125" s="22" t="s">
        <v>20</v>
      </c>
      <c r="D125" s="33">
        <v>352.0</v>
      </c>
      <c r="E125" s="34">
        <v>45703.0</v>
      </c>
      <c r="F125" s="53"/>
      <c r="G125" s="53">
        <v>2.67988305E8</v>
      </c>
      <c r="H125" s="35" t="s">
        <v>292</v>
      </c>
      <c r="I125" s="16">
        <f>IF(@Table1[[#This Row],[Delivery Date]]="","NA",@Table1[[#This Row],[Delivery Date]]+30)</f>
        <v>45733.0</v>
      </c>
      <c r="J125" s="35" t="s">
        <f t="shared" si="5"/>
        <v>28</v>
      </c>
      <c r="K125" s="38">
        <v>25324.0</v>
      </c>
      <c r="L125" s="22"/>
      <c r="M125" s="22"/>
      <c r="N125" s="37" t="s">
        <v>291</v>
      </c>
    </row>
    <row r="126" ht="14.0">
      <c r="A126" s="32" t="s">
        <v>293</v>
      </c>
      <c r="B126" s="22" t="s">
        <v>294</v>
      </c>
      <c r="C126" s="22" t="s">
        <v>58</v>
      </c>
      <c r="D126" s="33">
        <v>562.0</v>
      </c>
      <c r="E126" s="34">
        <v>45702.0</v>
      </c>
      <c r="F126" s="53"/>
      <c r="G126" s="53">
        <v>2.67988304E8</v>
      </c>
      <c r="H126" s="35" t="s">
        <v>295</v>
      </c>
      <c r="I126" s="16">
        <f>IF(@Table1[[#This Row],[Delivery Date]]="","NA",@Table1[[#This Row],[Delivery Date]]+30)</f>
        <v>45732.0</v>
      </c>
      <c r="J126" s="35" t="s">
        <f t="shared" si="5"/>
        <v>28</v>
      </c>
      <c r="K126" s="38">
        <v>35990.5</v>
      </c>
      <c r="L126" s="22"/>
      <c r="M126" s="22"/>
      <c r="N126" s="37" t="s">
        <v>294</v>
      </c>
    </row>
    <row r="127" ht="14.0">
      <c r="A127" s="55" t="s">
        <v>296</v>
      </c>
      <c r="B127" s="56" t="s">
        <v>297</v>
      </c>
      <c r="C127" s="56" t="s">
        <v>144</v>
      </c>
      <c r="D127" s="57">
        <v>276.0</v>
      </c>
      <c r="E127" s="58">
        <v>45719.0</v>
      </c>
      <c r="F127" s="59"/>
      <c r="G127" s="59">
        <v>2.67988306E8</v>
      </c>
      <c r="H127" s="50" t="s">
        <v>108</v>
      </c>
      <c r="I127" s="16">
        <f>IF(@Table1[[#This Row],[Delivery Date]]="","NA",@Table1[[#This Row],[Delivery Date]]+30)</f>
        <v>45749.0</v>
      </c>
      <c r="J127" s="35" t="s">
        <f t="shared" si="5"/>
        <v>28</v>
      </c>
      <c r="K127" s="60">
        <v>16672.5</v>
      </c>
      <c r="L127" s="56"/>
      <c r="M127" s="43" t="s">
        <v>298</v>
      </c>
      <c r="N127" s="45">
        <v>0.0</v>
      </c>
    </row>
    <row r="128" ht="14.0">
      <c r="A128" s="32" t="s">
        <v>299</v>
      </c>
      <c r="B128" s="22" t="s">
        <v>300</v>
      </c>
      <c r="C128" s="22" t="s">
        <v>247</v>
      </c>
      <c r="D128" s="33">
        <v>540.0</v>
      </c>
      <c r="E128" s="34">
        <v>45719.0</v>
      </c>
      <c r="F128" s="53"/>
      <c r="G128" s="53">
        <v>2.67988316E8</v>
      </c>
      <c r="H128" s="35" t="s">
        <v>301</v>
      </c>
      <c r="I128" s="16">
        <f>IF(@Table1[[#This Row],[Delivery Date]]="","NA",@Table1[[#This Row],[Delivery Date]]+30)</f>
        <v>45749.0</v>
      </c>
      <c r="J128" s="35" t="s">
        <f t="shared" si="5"/>
        <v>28</v>
      </c>
      <c r="K128" s="36">
        <v>30108.0</v>
      </c>
      <c r="L128" s="22"/>
      <c r="M128" s="22">
        <v>3.100734728E9</v>
      </c>
      <c r="N128" s="37" t="s">
        <v>300</v>
      </c>
    </row>
    <row r="129" ht="14.0">
      <c r="A129" s="32" t="s">
        <v>302</v>
      </c>
      <c r="B129" s="22" t="s">
        <v>303</v>
      </c>
      <c r="C129" s="22" t="s">
        <v>33</v>
      </c>
      <c r="D129" s="33">
        <v>969.0</v>
      </c>
      <c r="E129" s="34">
        <v>45696.0</v>
      </c>
      <c r="F129" s="53"/>
      <c r="G129" s="53">
        <v>2.67988308E8</v>
      </c>
      <c r="H129" s="35" t="s">
        <v>304</v>
      </c>
      <c r="I129" s="16">
        <f>IF(@Table1[[#This Row],[Delivery Date]]="","NA",@Table1[[#This Row],[Delivery Date]]+30)</f>
        <v>45726.0</v>
      </c>
      <c r="J129" s="35" t="s">
        <f t="shared" si="5"/>
        <v>28</v>
      </c>
      <c r="K129" s="38">
        <v>56296.5</v>
      </c>
      <c r="L129" s="22"/>
      <c r="M129" s="22"/>
      <c r="N129" s="37" t="s">
        <v>303</v>
      </c>
    </row>
    <row r="130" ht="14.0">
      <c r="A130" s="32" t="s">
        <v>305</v>
      </c>
      <c r="B130" s="22" t="s">
        <v>306</v>
      </c>
      <c r="C130" s="22" t="s">
        <v>26</v>
      </c>
      <c r="D130" s="33">
        <v>436.0</v>
      </c>
      <c r="E130" s="34">
        <v>45719.0</v>
      </c>
      <c r="F130" s="53"/>
      <c r="G130" s="53">
        <v>2.67988307E8</v>
      </c>
      <c r="H130" s="22" t="s">
        <v>307</v>
      </c>
      <c r="I130" s="16">
        <f>IF(@Table1[[#This Row],[Delivery Date]]="","NA",@Table1[[#This Row],[Delivery Date]]+30)</f>
        <v>45749.0</v>
      </c>
      <c r="J130" s="35" t="s">
        <f t="shared" si="5"/>
        <v>28</v>
      </c>
      <c r="K130" s="38">
        <v>32617.0</v>
      </c>
      <c r="L130" s="22"/>
      <c r="M130" s="22">
        <v>3.100734729E9</v>
      </c>
      <c r="N130" s="37" t="s">
        <v>306</v>
      </c>
    </row>
    <row r="131" ht="14.0">
      <c r="A131" s="32">
        <v>3.100698669E9</v>
      </c>
      <c r="B131" s="22" t="s">
        <v>308</v>
      </c>
      <c r="C131" s="22" t="s">
        <v>33</v>
      </c>
      <c r="D131" s="33">
        <v>180.0</v>
      </c>
      <c r="E131" s="34">
        <v>45736.0</v>
      </c>
      <c r="F131" s="22"/>
      <c r="G131" s="22" t="s">
        <v>309</v>
      </c>
      <c r="H131" s="22" t="s">
        <v>310</v>
      </c>
      <c r="I131" s="16">
        <f>IF(@Table1[[#This Row],[Delivery Date]]="","NA",@Table1[[#This Row],[Delivery Date]]+30)</f>
        <v>45766.0</v>
      </c>
      <c r="J131" s="35" t="s">
        <f t="shared" si="5"/>
        <v>28</v>
      </c>
      <c r="K131" s="38">
        <v>9359.2</v>
      </c>
      <c r="L131" s="22"/>
      <c r="M131" s="22"/>
      <c r="N131" s="37">
        <v>0.0</v>
      </c>
    </row>
    <row r="132" ht="14.0">
      <c r="A132" s="32" t="s">
        <v>311</v>
      </c>
      <c r="B132" s="22" t="s">
        <v>312</v>
      </c>
      <c r="C132" s="22" t="s">
        <v>33</v>
      </c>
      <c r="D132" s="33">
        <v>702.0</v>
      </c>
      <c r="E132" s="34">
        <v>45752.0</v>
      </c>
      <c r="F132" s="53"/>
      <c r="G132" s="53">
        <v>3.426831901E9</v>
      </c>
      <c r="H132" s="22" t="s">
        <v>313</v>
      </c>
      <c r="I132" s="16">
        <f>IF(@Table1[[#This Row],[Delivery Date]]="","NA",@Table1[[#This Row],[Delivery Date]]+30)</f>
        <v>45782.0</v>
      </c>
      <c r="J132" s="35" t="s">
        <f t="shared" si="5"/>
        <v>28</v>
      </c>
      <c r="K132" s="38">
        <v>44031.0</v>
      </c>
      <c r="L132" s="22"/>
      <c r="M132" s="22" t="s">
        <v>314</v>
      </c>
      <c r="N132" s="37">
        <v>0.0</v>
      </c>
    </row>
    <row r="133" ht="14.0">
      <c r="A133" s="32" t="s">
        <v>315</v>
      </c>
      <c r="B133" s="22" t="s">
        <v>316</v>
      </c>
      <c r="C133" s="22" t="s">
        <v>33</v>
      </c>
      <c r="D133" s="33">
        <v>374.0</v>
      </c>
      <c r="E133" s="34">
        <v>45752.0</v>
      </c>
      <c r="F133" s="53"/>
      <c r="G133" s="53">
        <v>4.017131991E9</v>
      </c>
      <c r="H133" s="22" t="s">
        <v>317</v>
      </c>
      <c r="I133" s="16">
        <f>IF(@Table1[[#This Row],[Delivery Date]]="","NA",@Table1[[#This Row],[Delivery Date]]+30)</f>
        <v>45782.0</v>
      </c>
      <c r="J133" s="35" t="s">
        <f t="shared" si="5"/>
        <v>28</v>
      </c>
      <c r="K133" s="36">
        <v>22899.5</v>
      </c>
      <c r="L133" s="22"/>
      <c r="M133" s="22" t="s">
        <v>318</v>
      </c>
      <c r="N133" s="37">
        <v>0.0</v>
      </c>
    </row>
    <row r="134" ht="14.0">
      <c r="A134" s="63" t="s">
        <v>319</v>
      </c>
      <c r="B134" s="64" t="s">
        <v>320</v>
      </c>
      <c r="C134" s="64" t="s">
        <v>247</v>
      </c>
      <c r="D134" s="65">
        <v>391.0</v>
      </c>
      <c r="E134" s="66">
        <v>45742.0</v>
      </c>
      <c r="F134" s="67"/>
      <c r="G134" s="67" t="s">
        <v>321</v>
      </c>
      <c r="H134" s="64" t="s">
        <v>322</v>
      </c>
      <c r="I134" s="68">
        <f>IF(@Table1[[#This Row],[Delivery Date]]="","NA",@Table1[[#This Row],[Delivery Date]]+30)</f>
        <v>45772.0</v>
      </c>
      <c r="J134" s="69" t="s">
        <f t="shared" si="5"/>
        <v>28</v>
      </c>
      <c r="K134" s="70">
        <v>21014.5</v>
      </c>
      <c r="L134" s="64"/>
      <c r="M134" s="64" t="s">
        <v>323</v>
      </c>
      <c r="N134" s="71">
        <v>0.0</v>
      </c>
    </row>
    <row r="135" ht="14.0">
      <c r="A135" s="72" t="s">
        <v>324</v>
      </c>
      <c r="B135" s="73" t="s">
        <v>325</v>
      </c>
      <c r="C135" s="73" t="s">
        <v>39</v>
      </c>
      <c r="D135" s="74">
        <v>1331.0</v>
      </c>
      <c r="E135" s="75">
        <v>45706.0</v>
      </c>
      <c r="F135" s="76"/>
      <c r="G135" s="76">
        <v>2.6798845E8</v>
      </c>
      <c r="H135" s="73" t="s">
        <v>326</v>
      </c>
      <c r="I135" s="77">
        <f>IF(@Table1[[#This Row],[Delivery Date]]="","NA",@Table1[[#This Row],[Delivery Date]]+30)</f>
        <v>45736.0</v>
      </c>
      <c r="J135" s="78" t="s">
        <f t="shared" si="5"/>
        <v>28</v>
      </c>
      <c r="K135" s="79">
        <v>87698.0</v>
      </c>
      <c r="L135" s="73"/>
      <c r="M135" s="73"/>
      <c r="N135" s="80" t="s">
        <v>325</v>
      </c>
    </row>
    <row r="136" ht="14.0" customFormat="1" s="1">
      <c r="A136" s="32" t="s">
        <v>327</v>
      </c>
      <c r="B136" s="22" t="s">
        <v>328</v>
      </c>
      <c r="C136" s="22" t="s">
        <v>39</v>
      </c>
      <c r="D136" s="33">
        <v>487.0</v>
      </c>
      <c r="E136" s="34">
        <v>45706.0</v>
      </c>
      <c r="F136" s="53"/>
      <c r="G136" s="53">
        <v>2.6798845E8</v>
      </c>
      <c r="H136" s="22" t="s">
        <v>329</v>
      </c>
      <c r="I136" s="16">
        <f>IF(@Table1[[#This Row],[Delivery Date]]="","NA",@Table1[[#This Row],[Delivery Date]]+30)</f>
        <v>45736.0</v>
      </c>
      <c r="J136" s="35" t="s">
        <f t="shared" si="5"/>
        <v>28</v>
      </c>
      <c r="K136" s="36">
        <v>34606.0</v>
      </c>
      <c r="L136" s="22"/>
      <c r="M136" s="22"/>
      <c r="N136" s="37" t="s">
        <v>328</v>
      </c>
    </row>
    <row r="137" ht="14.0">
      <c r="A137" s="32" t="s">
        <v>330</v>
      </c>
      <c r="B137" s="22" t="s">
        <v>331</v>
      </c>
      <c r="C137" s="22" t="s">
        <v>144</v>
      </c>
      <c r="D137" s="33">
        <v>192.0</v>
      </c>
      <c r="E137" s="34">
        <v>45705.0</v>
      </c>
      <c r="F137" s="53"/>
      <c r="G137" s="53">
        <v>2.6798842E8</v>
      </c>
      <c r="H137" s="22" t="s">
        <v>332</v>
      </c>
      <c r="I137" s="16">
        <f>IF(@Table1[[#This Row],[Delivery Date]]="","NA",@Table1[[#This Row],[Delivery Date]]+30)</f>
        <v>45735.0</v>
      </c>
      <c r="J137" s="35" t="s">
        <f t="shared" si="5"/>
        <v>28</v>
      </c>
      <c r="K137" s="36">
        <v>11290.5</v>
      </c>
      <c r="L137" s="22"/>
      <c r="M137" s="22"/>
      <c r="N137" s="37" t="s">
        <v>331</v>
      </c>
    </row>
    <row r="138" ht="14.0">
      <c r="A138" s="32" t="s">
        <v>333</v>
      </c>
      <c r="B138" s="22" t="s">
        <v>334</v>
      </c>
      <c r="C138" s="22" t="s">
        <v>26</v>
      </c>
      <c r="D138" s="33">
        <v>189.0</v>
      </c>
      <c r="E138" s="34">
        <v>45752.0</v>
      </c>
      <c r="F138" s="22"/>
      <c r="G138" s="22">
        <v>2.64601854E8</v>
      </c>
      <c r="H138" s="22" t="s">
        <v>335</v>
      </c>
      <c r="I138" s="16">
        <f>IF(@Table1[[#This Row],[Delivery Date]]="","NA",@Table1[[#This Row],[Delivery Date]]+30)</f>
        <v>45782.0</v>
      </c>
      <c r="J138" s="35" t="s">
        <f t="shared" si="5"/>
        <v>28</v>
      </c>
      <c r="K138" s="36">
        <v>11329.5</v>
      </c>
      <c r="L138" s="22"/>
      <c r="M138" s="22" t="s">
        <v>336</v>
      </c>
      <c r="N138" s="37">
        <v>0.0</v>
      </c>
    </row>
    <row r="139" ht="14.0">
      <c r="A139" s="32" t="s">
        <v>337</v>
      </c>
      <c r="B139" s="22" t="s">
        <v>338</v>
      </c>
      <c r="C139" s="22" t="s">
        <v>20</v>
      </c>
      <c r="D139" s="33">
        <v>232.0</v>
      </c>
      <c r="E139" s="34">
        <v>45705.0</v>
      </c>
      <c r="F139" s="22"/>
      <c r="G139" s="22">
        <v>2.67988426E8</v>
      </c>
      <c r="H139" s="35" t="s">
        <v>274</v>
      </c>
      <c r="I139" s="16">
        <f>IF(@Table1[[#This Row],[Delivery Date]]="","NA",@Table1[[#This Row],[Delivery Date]]+30)</f>
        <v>45735.0</v>
      </c>
      <c r="J139" s="35" t="s">
        <f t="shared" si="5"/>
        <v>28</v>
      </c>
      <c r="K139" s="36">
        <v>14131.0</v>
      </c>
      <c r="L139" s="22"/>
      <c r="M139" s="22"/>
      <c r="N139" s="37">
        <v>0.0</v>
      </c>
    </row>
    <row r="140" ht="14.0">
      <c r="A140" s="32" t="s">
        <v>339</v>
      </c>
      <c r="B140" s="22" t="s">
        <v>340</v>
      </c>
      <c r="C140" s="22" t="s">
        <v>20</v>
      </c>
      <c r="D140" s="33">
        <v>222.0</v>
      </c>
      <c r="E140" s="34">
        <v>45705.0</v>
      </c>
      <c r="F140" s="22"/>
      <c r="G140" s="22">
        <v>2.67988426E8</v>
      </c>
      <c r="H140" s="22" t="s">
        <v>341</v>
      </c>
      <c r="I140" s="16">
        <f>IF(@Table1[[#This Row],[Delivery Date]]="","NA",@Table1[[#This Row],[Delivery Date]]+30)</f>
        <v>45735.0</v>
      </c>
      <c r="J140" s="35" t="s">
        <f t="shared" si="5"/>
        <v>28</v>
      </c>
      <c r="K140" s="36">
        <v>14157.0</v>
      </c>
      <c r="L140" s="22"/>
      <c r="M140" s="22"/>
      <c r="N140" s="37" t="s">
        <v>340</v>
      </c>
    </row>
    <row r="141" ht="14.0">
      <c r="A141" s="32" t="s">
        <v>342</v>
      </c>
      <c r="B141" s="22" t="s">
        <v>343</v>
      </c>
      <c r="C141" s="22" t="s">
        <v>58</v>
      </c>
      <c r="D141" s="33">
        <v>667.0</v>
      </c>
      <c r="E141" s="34">
        <v>45742.0</v>
      </c>
      <c r="F141" s="22"/>
      <c r="G141" s="22">
        <v>2.67988427E8</v>
      </c>
      <c r="H141" s="22" t="s">
        <v>344</v>
      </c>
      <c r="I141" s="16">
        <f>IF(@Table1[[#This Row],[Delivery Date]]="","NA",@Table1[[#This Row],[Delivery Date]]+30)</f>
        <v>45772.0</v>
      </c>
      <c r="J141" s="35" t="s">
        <f t="shared" si="5"/>
        <v>28</v>
      </c>
      <c r="K141" s="36">
        <v>46072.0</v>
      </c>
      <c r="L141" s="22"/>
      <c r="M141" s="22" t="s">
        <v>345</v>
      </c>
      <c r="N141" s="37">
        <v>0.0</v>
      </c>
    </row>
    <row r="142" ht="14.0">
      <c r="A142" s="32" t="s">
        <v>346</v>
      </c>
      <c r="B142" s="22" t="s">
        <v>347</v>
      </c>
      <c r="C142" s="22" t="s">
        <v>58</v>
      </c>
      <c r="D142" s="33">
        <v>520.0</v>
      </c>
      <c r="E142" s="34">
        <v>45742.0</v>
      </c>
      <c r="F142" s="22"/>
      <c r="G142" s="22">
        <v>2.67988427E8</v>
      </c>
      <c r="H142" s="22" t="s">
        <v>348</v>
      </c>
      <c r="I142" s="16">
        <f>IF(@Table1[[#This Row],[Delivery Date]]="","NA",@Table1[[#This Row],[Delivery Date]]+30)</f>
        <v>45772.0</v>
      </c>
      <c r="J142" s="81" t="s">
        <f t="shared" si="5"/>
        <v>28</v>
      </c>
      <c r="K142" s="36">
        <v>35503.0</v>
      </c>
      <c r="L142" s="22"/>
      <c r="M142" s="22" t="s">
        <v>349</v>
      </c>
      <c r="N142" s="37">
        <v>0.0</v>
      </c>
    </row>
    <row r="143" ht="14.0">
      <c r="A143" s="32" t="s">
        <v>350</v>
      </c>
      <c r="B143" s="22" t="s">
        <v>351</v>
      </c>
      <c r="C143" s="22" t="s">
        <v>151</v>
      </c>
      <c r="D143" s="33">
        <v>159.0</v>
      </c>
      <c r="E143" s="34">
        <v>45705.0</v>
      </c>
      <c r="F143" s="53"/>
      <c r="G143" s="53">
        <v>2.67988419E8</v>
      </c>
      <c r="H143" s="22" t="s">
        <v>352</v>
      </c>
      <c r="I143" s="16">
        <f>IF(@Table1[[#This Row],[Delivery Date]]="","NA",@Table1[[#This Row],[Delivery Date]]+30)</f>
        <v>45735.0</v>
      </c>
      <c r="J143" s="35" t="s">
        <f t="shared" si="5"/>
        <v>28</v>
      </c>
      <c r="K143" s="36">
        <v>11290.5</v>
      </c>
      <c r="L143" s="22"/>
      <c r="M143" s="22"/>
      <c r="N143" s="37" t="s">
        <v>351</v>
      </c>
    </row>
    <row r="144" ht="14.0">
      <c r="A144" s="32" t="s">
        <v>353</v>
      </c>
      <c r="B144" s="22" t="s">
        <v>354</v>
      </c>
      <c r="C144" s="22" t="s">
        <v>151</v>
      </c>
      <c r="D144" s="33">
        <v>189.0</v>
      </c>
      <c r="E144" s="34">
        <v>45705.0</v>
      </c>
      <c r="F144" s="53"/>
      <c r="G144" s="53">
        <v>2.67988419E8</v>
      </c>
      <c r="H144" s="35" t="s">
        <v>274</v>
      </c>
      <c r="I144" s="16">
        <f>IF(@Table1[[#This Row],[Delivery Date]]="","NA",@Table1[[#This Row],[Delivery Date]]+30)</f>
        <v>45735.0</v>
      </c>
      <c r="J144" s="35" t="s">
        <f t="shared" si="5"/>
        <v>28</v>
      </c>
      <c r="K144" s="36">
        <v>11466.0</v>
      </c>
      <c r="L144" s="22"/>
      <c r="M144" s="22"/>
      <c r="N144" s="37">
        <v>0.0</v>
      </c>
    </row>
    <row r="145" ht="14.0">
      <c r="A145" s="32" t="s">
        <v>355</v>
      </c>
      <c r="B145" s="22" t="s">
        <v>356</v>
      </c>
      <c r="C145" s="22" t="s">
        <v>39</v>
      </c>
      <c r="D145" s="33">
        <v>194.0</v>
      </c>
      <c r="E145" s="34">
        <v>45708.0</v>
      </c>
      <c r="F145" s="22"/>
      <c r="G145" s="22">
        <v>2.64601603E8</v>
      </c>
      <c r="H145" s="22" t="s">
        <v>357</v>
      </c>
      <c r="I145" s="16">
        <f>IF(@Table1[[#This Row],[Delivery Date]]="","NA",@Table1[[#This Row],[Delivery Date]]+30)</f>
        <v>45738.0</v>
      </c>
      <c r="J145" s="35" t="s">
        <f t="shared" si="5"/>
        <v>28</v>
      </c>
      <c r="K145" s="36">
        <v>14137.5</v>
      </c>
      <c r="L145" s="22"/>
      <c r="M145" s="22"/>
      <c r="N145" s="37" t="s">
        <v>356</v>
      </c>
    </row>
    <row r="146" ht="14.0">
      <c r="A146" s="32" t="s">
        <v>358</v>
      </c>
      <c r="B146" s="22" t="s">
        <v>359</v>
      </c>
      <c r="C146" s="22" t="s">
        <v>39</v>
      </c>
      <c r="D146" s="33">
        <v>262.0</v>
      </c>
      <c r="E146" s="34">
        <v>45714.0</v>
      </c>
      <c r="F146" s="22"/>
      <c r="G146" s="22">
        <v>2.64601636E8</v>
      </c>
      <c r="H146" s="22" t="s">
        <v>360</v>
      </c>
      <c r="I146" s="16">
        <f>IF(@Table1[[#This Row],[Delivery Date]]="","NA",@Table1[[#This Row],[Delivery Date]]+30)</f>
        <v>45744.0</v>
      </c>
      <c r="J146" s="35" t="s">
        <f t="shared" si="5"/>
        <v>28</v>
      </c>
      <c r="K146" s="36">
        <v>11849.5</v>
      </c>
      <c r="L146" s="22"/>
      <c r="M146" s="22"/>
      <c r="N146" s="37" t="s">
        <v>359</v>
      </c>
    </row>
    <row r="147" ht="14.0">
      <c r="A147" s="32" t="s">
        <v>361</v>
      </c>
      <c r="B147" s="22" t="s">
        <v>362</v>
      </c>
      <c r="C147" s="22" t="s">
        <v>39</v>
      </c>
      <c r="D147" s="33">
        <v>858.0</v>
      </c>
      <c r="E147" s="34">
        <v>45714.0</v>
      </c>
      <c r="F147" s="22"/>
      <c r="G147" s="22">
        <v>2.64601672E8</v>
      </c>
      <c r="H147" s="22" t="s">
        <v>363</v>
      </c>
      <c r="I147" s="16">
        <f>IF(@Table1[[#This Row],[Delivery Date]]="","NA",@Table1[[#This Row],[Delivery Date]]+30)</f>
        <v>45744.0</v>
      </c>
      <c r="J147" s="35" t="s">
        <f t="shared" si="5"/>
        <v>28</v>
      </c>
      <c r="K147" s="36">
        <v>47034.0</v>
      </c>
      <c r="L147" s="22"/>
      <c r="M147" s="22"/>
      <c r="N147" s="37" t="s">
        <v>362</v>
      </c>
    </row>
    <row r="148" ht="14.0">
      <c r="A148" s="63" t="s">
        <v>364</v>
      </c>
      <c r="B148" s="64" t="s">
        <v>365</v>
      </c>
      <c r="C148" s="64" t="s">
        <v>39</v>
      </c>
      <c r="D148" s="65">
        <v>818.0</v>
      </c>
      <c r="E148" s="66">
        <v>45719.0</v>
      </c>
      <c r="F148" s="64"/>
      <c r="G148" s="64">
        <v>2.64601689E8</v>
      </c>
      <c r="H148" s="64" t="s">
        <v>366</v>
      </c>
      <c r="I148" s="68">
        <f>IF(@Table1[[#This Row],[Delivery Date]]="","NA",@Table1[[#This Row],[Delivery Date]]+30)</f>
        <v>45749.0</v>
      </c>
      <c r="J148" s="69" t="s">
        <f t="shared" si="5"/>
        <v>28</v>
      </c>
      <c r="K148" s="70">
        <v>47138.0</v>
      </c>
      <c r="L148" s="64"/>
      <c r="M148" s="22"/>
      <c r="N148" s="37" t="s">
        <v>365</v>
      </c>
    </row>
    <row r="149" ht="14.0">
      <c r="A149" s="72" t="s">
        <v>367</v>
      </c>
      <c r="B149" s="73" t="s">
        <v>368</v>
      </c>
      <c r="C149" s="73" t="s">
        <v>247</v>
      </c>
      <c r="D149" s="74">
        <v>507.0</v>
      </c>
      <c r="E149" s="75">
        <v>45729.0</v>
      </c>
      <c r="F149" s="73"/>
      <c r="G149" s="73" t="s">
        <v>369</v>
      </c>
      <c r="H149" s="73" t="s">
        <v>370</v>
      </c>
      <c r="I149" s="77">
        <f>IF(@Table1[[#This Row],[Delivery Date]]="","NA",@Table1[[#This Row],[Delivery Date]]+30)</f>
        <v>45759.0</v>
      </c>
      <c r="J149" s="78" t="s">
        <f t="shared" si="5"/>
        <v>28</v>
      </c>
      <c r="K149" s="79">
        <v>16718.0</v>
      </c>
      <c r="L149" s="73"/>
      <c r="M149" s="22"/>
      <c r="N149" s="37">
        <v>0.0</v>
      </c>
    </row>
    <row r="150" ht="14.0">
      <c r="A150" s="32" t="s">
        <v>371</v>
      </c>
      <c r="B150" s="22" t="s">
        <v>372</v>
      </c>
      <c r="C150" s="22" t="s">
        <v>33</v>
      </c>
      <c r="D150" s="33">
        <v>1596.0</v>
      </c>
      <c r="E150" s="34">
        <v>45728.0</v>
      </c>
      <c r="F150" s="22"/>
      <c r="G150" s="22" t="s">
        <v>373</v>
      </c>
      <c r="H150" s="22" t="s">
        <v>374</v>
      </c>
      <c r="I150" s="16">
        <f>IF(@Table1[[#This Row],[Delivery Date]]="","NA",@Table1[[#This Row],[Delivery Date]]+30)</f>
        <v>45758.0</v>
      </c>
      <c r="J150" s="35" t="s">
        <f t="shared" si="5"/>
        <v>28</v>
      </c>
      <c r="K150" s="36">
        <v>50486.0</v>
      </c>
      <c r="L150" s="22" t="s">
        <v>375</v>
      </c>
      <c r="M150" s="22"/>
      <c r="N150" s="37">
        <v>0.0</v>
      </c>
    </row>
    <row r="151" ht="14.0">
      <c r="A151" s="32" t="s">
        <v>376</v>
      </c>
      <c r="B151" s="22" t="s">
        <v>377</v>
      </c>
      <c r="C151" s="22" t="s">
        <v>20</v>
      </c>
      <c r="D151" s="33">
        <v>437.0</v>
      </c>
      <c r="E151" s="34">
        <v>45723.0</v>
      </c>
      <c r="F151" s="22"/>
      <c r="G151" s="22">
        <v>2.64601757E8</v>
      </c>
      <c r="H151" s="22" t="s">
        <v>378</v>
      </c>
      <c r="I151" s="16">
        <f>IF(@Table1[[#This Row],[Delivery Date]]="","NA",@Table1[[#This Row],[Delivery Date]]+30)</f>
        <v>45753.0</v>
      </c>
      <c r="J151" s="35" t="s">
        <f t="shared" si="5"/>
        <v>28</v>
      </c>
      <c r="K151" s="36">
        <v>25727.0</v>
      </c>
      <c r="L151" s="22"/>
      <c r="M151" s="22"/>
      <c r="N151" s="37" t="s">
        <v>377</v>
      </c>
    </row>
    <row r="152" ht="14.0">
      <c r="A152" s="32" t="s">
        <v>379</v>
      </c>
      <c r="B152" s="22" t="s">
        <v>380</v>
      </c>
      <c r="C152" s="22" t="s">
        <v>26</v>
      </c>
      <c r="D152" s="33">
        <v>673.0</v>
      </c>
      <c r="E152" s="34">
        <v>45723.0</v>
      </c>
      <c r="F152" s="22"/>
      <c r="G152" s="64">
        <v>2.64601776E8</v>
      </c>
      <c r="H152" s="64" t="s">
        <v>381</v>
      </c>
      <c r="I152" s="68">
        <f>IF(@Table1[[#This Row],[Delivery Date]]="","NA",@Table1[[#This Row],[Delivery Date]]+30)</f>
        <v>45753.0</v>
      </c>
      <c r="J152" s="35" t="s">
        <f t="shared" si="5"/>
        <v>28</v>
      </c>
      <c r="K152" s="36">
        <v>44941.0</v>
      </c>
      <c r="L152" s="22"/>
      <c r="M152" s="22"/>
      <c r="N152" s="37" t="s">
        <v>380</v>
      </c>
    </row>
    <row r="153" ht="14.0">
      <c r="A153" s="63" t="s">
        <v>382</v>
      </c>
      <c r="B153" s="64" t="s">
        <v>383</v>
      </c>
      <c r="C153" s="64" t="s">
        <v>39</v>
      </c>
      <c r="D153" s="65">
        <v>473.0</v>
      </c>
      <c r="E153" s="66">
        <v>45723.0</v>
      </c>
      <c r="F153" s="71"/>
      <c r="G153" s="22">
        <v>2.64601775E8</v>
      </c>
      <c r="H153" s="32" t="s">
        <v>384</v>
      </c>
      <c r="I153" s="82">
        <f>IF(@Table1[[#This Row],[Delivery Date]]="","NA",@Table1[[#This Row],[Delivery Date]]+30)</f>
        <v>45753.0</v>
      </c>
      <c r="J153" s="83" t="s">
        <f t="shared" si="5"/>
        <v>28</v>
      </c>
      <c r="K153" s="70">
        <v>30056.0</v>
      </c>
      <c r="L153" s="64"/>
      <c r="M153" s="64"/>
      <c r="N153" s="71" t="s">
        <v>383</v>
      </c>
    </row>
    <row r="154" ht="14.0">
      <c r="A154" s="72" t="s">
        <v>385</v>
      </c>
      <c r="B154" s="73" t="s">
        <v>386</v>
      </c>
      <c r="C154" s="73" t="s">
        <v>151</v>
      </c>
      <c r="D154" s="74">
        <v>447.0</v>
      </c>
      <c r="E154" s="75">
        <v>45730.0</v>
      </c>
      <c r="F154" s="80"/>
      <c r="G154" s="22">
        <v>2.64601836E8</v>
      </c>
      <c r="H154" s="32" t="s">
        <v>387</v>
      </c>
      <c r="I154" s="82">
        <f>IF(@Table1[[#This Row],[Delivery Date]]="","NA",@Table1[[#This Row],[Delivery Date]]+30)</f>
        <v>45760.0</v>
      </c>
      <c r="J154" s="84" t="s">
        <f t="shared" si="5"/>
        <v>28</v>
      </c>
      <c r="K154" s="79">
        <v>24043.5</v>
      </c>
      <c r="L154" s="73"/>
      <c r="M154" s="73"/>
      <c r="N154" s="80">
        <v>0.0</v>
      </c>
    </row>
    <row r="155" ht="14.0">
      <c r="A155" s="32" t="s">
        <v>388</v>
      </c>
      <c r="B155" s="22" t="s">
        <v>389</v>
      </c>
      <c r="C155" s="22" t="s">
        <v>147</v>
      </c>
      <c r="D155" s="33">
        <v>360.0</v>
      </c>
      <c r="E155" s="34">
        <v>45728.0</v>
      </c>
      <c r="F155" s="22"/>
      <c r="G155" s="73" t="s">
        <v>390</v>
      </c>
      <c r="H155" s="73" t="s">
        <v>391</v>
      </c>
      <c r="I155" s="77">
        <f>IF(@Table1[[#This Row],[Delivery Date]]="","NA",@Table1[[#This Row],[Delivery Date]]+30)</f>
        <v>45758.0</v>
      </c>
      <c r="J155" s="35" t="s">
        <f t="shared" si="5"/>
        <v>28</v>
      </c>
      <c r="K155" s="36">
        <v>20124.0</v>
      </c>
      <c r="L155" s="22"/>
      <c r="M155" s="22"/>
      <c r="N155" s="37">
        <v>0.0</v>
      </c>
    </row>
    <row r="156" ht="14.0">
      <c r="A156" s="32" t="s">
        <v>392</v>
      </c>
      <c r="B156" s="22" t="s">
        <v>393</v>
      </c>
      <c r="C156" s="22" t="s">
        <v>39</v>
      </c>
      <c r="D156" s="33">
        <v>425.0</v>
      </c>
      <c r="E156" s="34">
        <v>45728.0</v>
      </c>
      <c r="F156" s="22"/>
      <c r="G156" s="22">
        <v>2.64601851E8</v>
      </c>
      <c r="H156" s="22" t="s">
        <v>394</v>
      </c>
      <c r="I156" s="16">
        <f>IF(@Table1[[#This Row],[Delivery Date]]="","NA",@Table1[[#This Row],[Delivery Date]]+30)</f>
        <v>45758.0</v>
      </c>
      <c r="J156" s="35" t="s">
        <f t="shared" si="5"/>
        <v>28</v>
      </c>
      <c r="K156" s="36">
        <v>26429.0</v>
      </c>
      <c r="L156" s="22"/>
      <c r="M156" s="22"/>
      <c r="N156" s="37">
        <v>0.0</v>
      </c>
    </row>
    <row r="157" ht="14.0">
      <c r="A157" s="32" t="s">
        <v>395</v>
      </c>
      <c r="B157" s="22" t="s">
        <v>396</v>
      </c>
      <c r="C157" s="22" t="s">
        <v>20</v>
      </c>
      <c r="D157" s="33">
        <v>184.0</v>
      </c>
      <c r="E157" s="34">
        <v>45736.0</v>
      </c>
      <c r="F157" s="22"/>
      <c r="G157" s="22">
        <v>2.64601899E8</v>
      </c>
      <c r="H157" s="22" t="s">
        <v>397</v>
      </c>
      <c r="I157" s="16">
        <f>IF(@Table1[[#This Row],[Delivery Date]]="","NA",@Table1[[#This Row],[Delivery Date]]+30)</f>
        <v>45766.0</v>
      </c>
      <c r="J157" s="35" t="s">
        <f t="shared" si="5"/>
        <v>28</v>
      </c>
      <c r="K157" s="36">
        <v>12824.5</v>
      </c>
      <c r="L157" s="22"/>
      <c r="M157" s="22"/>
      <c r="N157" s="37">
        <v>0.0</v>
      </c>
    </row>
    <row r="158" ht="14.0">
      <c r="A158" s="32" t="s">
        <v>398</v>
      </c>
      <c r="B158" s="22" t="s">
        <v>399</v>
      </c>
      <c r="C158" s="22" t="s">
        <v>20</v>
      </c>
      <c r="D158" s="33">
        <v>218.0</v>
      </c>
      <c r="E158" s="34">
        <v>45736.0</v>
      </c>
      <c r="F158" s="22"/>
      <c r="G158" s="22">
        <v>2.64601899E8</v>
      </c>
      <c r="H158" s="62" t="s">
        <v>274</v>
      </c>
      <c r="I158" s="16">
        <f>IF(@Table1[[#This Row],[Delivery Date]]="","NA",@Table1[[#This Row],[Delivery Date]]+30)</f>
        <v>45766.0</v>
      </c>
      <c r="J158" s="35" t="s">
        <f t="shared" si="5"/>
        <v>28</v>
      </c>
      <c r="K158" s="36">
        <v>13832.0</v>
      </c>
      <c r="L158" s="22"/>
      <c r="M158" s="22"/>
      <c r="N158" s="37">
        <v>0.0</v>
      </c>
    </row>
    <row r="159" ht="14.0">
      <c r="A159" s="32" t="s">
        <v>400</v>
      </c>
      <c r="B159" s="22" t="s">
        <v>401</v>
      </c>
      <c r="C159" s="22" t="s">
        <v>39</v>
      </c>
      <c r="D159" s="33">
        <v>406.0</v>
      </c>
      <c r="E159" s="34">
        <v>45744.0</v>
      </c>
      <c r="F159" s="22"/>
      <c r="G159" s="22">
        <v>2.64601928E8</v>
      </c>
      <c r="H159" s="22" t="s">
        <v>402</v>
      </c>
      <c r="I159" s="16">
        <f>IF(@Table1[[#This Row],[Delivery Date]]="","NA",@Table1[[#This Row],[Delivery Date]]+30)</f>
        <v>45774.0</v>
      </c>
      <c r="J159" s="35" t="s">
        <f t="shared" si="5"/>
        <v>28</v>
      </c>
      <c r="K159" s="85">
        <v>25694.5</v>
      </c>
      <c r="L159" s="22"/>
      <c r="M159" s="22"/>
      <c r="N159" s="37">
        <v>0.0</v>
      </c>
    </row>
    <row r="160" ht="14.0">
      <c r="A160" s="32" t="s">
        <v>403</v>
      </c>
      <c r="B160" s="22" t="s">
        <v>404</v>
      </c>
      <c r="C160" s="22" t="s">
        <v>39</v>
      </c>
      <c r="D160" s="33">
        <v>937.0</v>
      </c>
      <c r="E160" s="34">
        <v>45744.0</v>
      </c>
      <c r="F160" s="22"/>
      <c r="G160" s="22">
        <v>2.64601928E8</v>
      </c>
      <c r="H160" s="22" t="s">
        <v>405</v>
      </c>
      <c r="I160" s="16">
        <f>IF(@Table1[[#This Row],[Delivery Date]]="","NA",@Table1[[#This Row],[Delivery Date]]+30)</f>
        <v>45774.0</v>
      </c>
      <c r="J160" s="35" t="s">
        <f t="shared" si="5"/>
        <v>28</v>
      </c>
      <c r="K160" s="85">
        <v>59741.5</v>
      </c>
      <c r="L160" s="22"/>
      <c r="M160" s="22"/>
      <c r="N160" s="37">
        <v>0.0</v>
      </c>
    </row>
    <row r="161" ht="14.0">
      <c r="A161" s="32" t="s">
        <v>406</v>
      </c>
      <c r="B161" s="22" t="s">
        <v>407</v>
      </c>
      <c r="C161" s="22" t="s">
        <v>147</v>
      </c>
      <c r="D161" s="33">
        <v>180.0</v>
      </c>
      <c r="E161" s="34">
        <v>45736.0</v>
      </c>
      <c r="F161" s="22"/>
      <c r="G161" s="22" t="s">
        <v>408</v>
      </c>
      <c r="H161" s="22" t="s">
        <v>409</v>
      </c>
      <c r="I161" s="16">
        <f>IF(@Table1[[#This Row],[Delivery Date]]="","NA",@Table1[[#This Row],[Delivery Date]]+30)</f>
        <v>45766.0</v>
      </c>
      <c r="J161" s="35" t="s">
        <f t="shared" si="5"/>
        <v>28</v>
      </c>
      <c r="K161" s="85">
        <v>11349.0</v>
      </c>
      <c r="L161" s="22"/>
      <c r="M161" s="22"/>
      <c r="N161" s="37">
        <v>0.0</v>
      </c>
    </row>
    <row r="162" ht="14.0">
      <c r="A162" s="32" t="s">
        <v>410</v>
      </c>
      <c r="B162" s="22" t="s">
        <v>411</v>
      </c>
      <c r="C162" s="22" t="s">
        <v>144</v>
      </c>
      <c r="D162" s="33">
        <v>246.0</v>
      </c>
      <c r="E162" s="34">
        <v>45737.0</v>
      </c>
      <c r="F162" s="22"/>
      <c r="G162" s="22" t="s">
        <v>412</v>
      </c>
      <c r="H162" s="22" t="s">
        <v>413</v>
      </c>
      <c r="I162" s="16">
        <f>IF(@Table1[[#This Row],[Delivery Date]]="","NA",@Table1[[#This Row],[Delivery Date]]+30)</f>
        <v>45767.0</v>
      </c>
      <c r="J162" s="35" t="s">
        <f t="shared" si="5"/>
        <v>28</v>
      </c>
      <c r="K162" s="85">
        <v>11992.5</v>
      </c>
      <c r="L162" s="22"/>
      <c r="M162" s="22"/>
      <c r="N162" s="37">
        <v>0.0</v>
      </c>
    </row>
    <row r="163" ht="14.0">
      <c r="A163" s="32" t="s">
        <v>414</v>
      </c>
      <c r="B163" s="22" t="s">
        <v>415</v>
      </c>
      <c r="C163" s="22" t="s">
        <v>151</v>
      </c>
      <c r="D163" s="33">
        <v>537.0</v>
      </c>
      <c r="E163" s="34">
        <v>45738.0</v>
      </c>
      <c r="F163" s="22"/>
      <c r="G163" s="22" t="s">
        <v>416</v>
      </c>
      <c r="H163" s="22" t="s">
        <v>417</v>
      </c>
      <c r="I163" s="16">
        <f>IF(@Table1[[#This Row],[Delivery Date]]="","NA",@Table1[[#This Row],[Delivery Date]]+30)</f>
        <v>45768.0</v>
      </c>
      <c r="J163" s="35" t="s">
        <f t="shared" si="5"/>
        <v>28</v>
      </c>
      <c r="K163" s="85">
        <v>34866.0</v>
      </c>
      <c r="L163" s="22"/>
      <c r="M163" s="22"/>
      <c r="N163" s="37">
        <v>0.0</v>
      </c>
    </row>
    <row r="164" ht="14.0">
      <c r="A164" s="32" t="s">
        <v>418</v>
      </c>
      <c r="B164" s="22" t="s">
        <v>419</v>
      </c>
      <c r="C164" s="22" t="s">
        <v>420</v>
      </c>
      <c r="D164" s="33">
        <v>1392.0</v>
      </c>
      <c r="E164" s="34">
        <v>45742.0</v>
      </c>
      <c r="F164" s="86"/>
      <c r="G164" s="86" t="s">
        <v>421</v>
      </c>
      <c r="H164" s="22" t="s">
        <v>422</v>
      </c>
      <c r="I164" s="16">
        <f>IF(@Table1[[#This Row],[Delivery Date]]="","NA",@Table1[[#This Row],[Delivery Date]]+30)</f>
        <v>45772.0</v>
      </c>
      <c r="J164" s="35" t="s">
        <f t="shared" si="5"/>
        <v>28</v>
      </c>
      <c r="K164" s="85">
        <v>95530.0</v>
      </c>
      <c r="L164" s="22"/>
      <c r="M164" s="22"/>
      <c r="N164" s="37">
        <v>0.0</v>
      </c>
    </row>
    <row r="165" ht="14.0">
      <c r="A165" s="32" t="s">
        <v>423</v>
      </c>
      <c r="B165" s="22" t="s">
        <v>424</v>
      </c>
      <c r="C165" s="22" t="s">
        <v>33</v>
      </c>
      <c r="D165" s="33">
        <v>636.0</v>
      </c>
      <c r="E165" s="34">
        <v>45721.0</v>
      </c>
      <c r="F165" s="86"/>
      <c r="G165" s="86" t="s">
        <v>425</v>
      </c>
      <c r="H165" s="22" t="s">
        <v>426</v>
      </c>
      <c r="I165" s="16">
        <f>IF(@Table1[[#This Row],[Delivery Date]]="","NA",@Table1[[#This Row],[Delivery Date]]+30)</f>
        <v>45751.0</v>
      </c>
      <c r="J165" s="35" t="s">
        <f t="shared" si="5"/>
        <v>28</v>
      </c>
      <c r="K165" s="85">
        <v>42588.0</v>
      </c>
      <c r="L165" s="22"/>
      <c r="M165" s="22"/>
      <c r="N165" s="37">
        <v>0.0</v>
      </c>
    </row>
    <row r="166" ht="14.0">
      <c r="A166" s="32" t="s">
        <v>427</v>
      </c>
      <c r="B166" s="22" t="s">
        <v>428</v>
      </c>
      <c r="C166" s="22" t="s">
        <v>26</v>
      </c>
      <c r="D166" s="33">
        <v>303.0</v>
      </c>
      <c r="E166" s="34">
        <v>45738.0</v>
      </c>
      <c r="F166" s="22"/>
      <c r="G166" s="22" t="s">
        <v>429</v>
      </c>
      <c r="H166" s="22" t="s">
        <v>430</v>
      </c>
      <c r="I166" s="16">
        <f>IF(@Table1[[#This Row],[Delivery Date]]="","NA",@Table1[[#This Row],[Delivery Date]]+30)</f>
        <v>45768.0</v>
      </c>
      <c r="J166" s="35" t="s">
        <f t="shared" si="5"/>
        <v>28</v>
      </c>
      <c r="K166" s="85">
        <v>18954.0</v>
      </c>
      <c r="L166" s="22"/>
      <c r="M166" s="22"/>
      <c r="N166" s="37">
        <v>0.0</v>
      </c>
    </row>
    <row r="167" ht="14.0">
      <c r="A167" s="32" t="s">
        <v>431</v>
      </c>
      <c r="B167" s="22" t="s">
        <v>432</v>
      </c>
      <c r="C167" s="22" t="s">
        <v>58</v>
      </c>
      <c r="D167" s="33">
        <v>99.0</v>
      </c>
      <c r="E167" s="34">
        <v>45738.0</v>
      </c>
      <c r="F167" s="22"/>
      <c r="G167" s="22" t="s">
        <v>433</v>
      </c>
      <c r="H167" s="22" t="s">
        <v>434</v>
      </c>
      <c r="I167" s="16">
        <f>IF(@Table1[[#This Row],[Delivery Date]]="","NA",@Table1[[#This Row],[Delivery Date]]+30)</f>
        <v>45768.0</v>
      </c>
      <c r="J167" s="35" t="s">
        <f t="shared" si="5"/>
        <v>28</v>
      </c>
      <c r="K167" s="85">
        <v>6688.5</v>
      </c>
      <c r="L167" s="22"/>
      <c r="M167" s="22"/>
      <c r="N167" s="37">
        <v>0.0</v>
      </c>
    </row>
    <row r="168" ht="14.0">
      <c r="A168" s="32" t="s">
        <v>435</v>
      </c>
      <c r="B168" s="22" t="s">
        <v>436</v>
      </c>
      <c r="C168" s="22" t="s">
        <v>39</v>
      </c>
      <c r="D168" s="33">
        <v>174.0</v>
      </c>
      <c r="E168" s="34">
        <v>45742.0</v>
      </c>
      <c r="F168" s="22"/>
      <c r="G168" s="22">
        <v>2.6460195E8</v>
      </c>
      <c r="H168" s="22" t="s">
        <v>437</v>
      </c>
      <c r="I168" s="16">
        <f>IF(@Table1[[#This Row],[Delivery Date]]="","NA",@Table1[[#This Row],[Delivery Date]]+30)</f>
        <v>45772.0</v>
      </c>
      <c r="J168" s="35" t="s">
        <f t="shared" si="5"/>
        <v>28</v>
      </c>
      <c r="K168" s="85">
        <v>12987.0</v>
      </c>
      <c r="L168" s="22"/>
      <c r="M168" s="22"/>
      <c r="N168" s="37">
        <v>0.0</v>
      </c>
    </row>
    <row r="169" ht="14.0">
      <c r="A169" s="32" t="s">
        <v>438</v>
      </c>
      <c r="B169" s="22" t="s">
        <v>439</v>
      </c>
      <c r="C169" s="22" t="s">
        <v>39</v>
      </c>
      <c r="D169" s="33">
        <v>366.0</v>
      </c>
      <c r="E169" s="34">
        <v>45742.0</v>
      </c>
      <c r="F169" s="22"/>
      <c r="G169" s="22">
        <v>2.6460195E8</v>
      </c>
      <c r="H169" s="22" t="s">
        <v>440</v>
      </c>
      <c r="I169" s="16">
        <f>IF(@Table1[[#This Row],[Delivery Date]]="","NA",@Table1[[#This Row],[Delivery Date]]+30)</f>
        <v>45772.0</v>
      </c>
      <c r="J169" s="35" t="s">
        <f t="shared" si="5"/>
        <v>28</v>
      </c>
      <c r="K169" s="85">
        <v>20533.5</v>
      </c>
      <c r="L169" s="22"/>
      <c r="M169" s="22"/>
      <c r="N169" s="37">
        <v>0.0</v>
      </c>
    </row>
    <row r="170" ht="14.0">
      <c r="A170" s="32" t="s">
        <v>441</v>
      </c>
      <c r="B170" s="22" t="s">
        <v>442</v>
      </c>
      <c r="C170" s="22" t="s">
        <v>58</v>
      </c>
      <c r="D170" s="33">
        <v>215.0</v>
      </c>
      <c r="E170" s="34">
        <v>45751.0</v>
      </c>
      <c r="F170" s="22"/>
      <c r="G170" s="22">
        <v>2.64601984E8</v>
      </c>
      <c r="H170" s="22" t="s">
        <v>443</v>
      </c>
      <c r="I170" s="16">
        <f>IF(@Table1[[#This Row],[Delivery Date]]="","NA",@Table1[[#This Row],[Delivery Date]]+30)</f>
        <v>45781.0</v>
      </c>
      <c r="J170" s="35" t="s">
        <f t="shared" si="5"/>
        <v>28</v>
      </c>
      <c r="K170" s="85">
        <v>14462.21</v>
      </c>
      <c r="L170" s="22"/>
      <c r="M170" s="22"/>
      <c r="N170" s="37">
        <v>0.0</v>
      </c>
    </row>
    <row r="171" ht="14.0">
      <c r="A171" s="32" t="s">
        <v>444</v>
      </c>
      <c r="B171" s="22" t="s">
        <v>445</v>
      </c>
      <c r="C171" s="22" t="s">
        <v>20</v>
      </c>
      <c r="D171" s="33">
        <v>339.0</v>
      </c>
      <c r="E171" s="34">
        <v>45744.0</v>
      </c>
      <c r="F171" s="22"/>
      <c r="G171" s="22">
        <v>2.64601958E8</v>
      </c>
      <c r="H171" s="22" t="s">
        <v>446</v>
      </c>
      <c r="I171" s="16">
        <f>IF(@Table1[[#This Row],[Delivery Date]]="","NA",@Table1[[#This Row],[Delivery Date]]+30)</f>
        <v>45774.0</v>
      </c>
      <c r="J171" s="35" t="s">
        <f t="shared" si="5"/>
        <v>28</v>
      </c>
      <c r="K171" s="85">
        <v>22931.55</v>
      </c>
      <c r="L171" s="22"/>
      <c r="M171" s="22"/>
      <c r="N171" s="37">
        <v>0.0</v>
      </c>
    </row>
    <row r="172" ht="14.0">
      <c r="A172" s="32" t="s">
        <v>447</v>
      </c>
      <c r="B172" s="22" t="s">
        <v>448</v>
      </c>
      <c r="C172" s="22" t="s">
        <v>247</v>
      </c>
      <c r="D172" s="33">
        <v>540.0</v>
      </c>
      <c r="E172" s="34">
        <v>45751.0</v>
      </c>
      <c r="F172" s="22"/>
      <c r="G172" s="22" t="s">
        <v>449</v>
      </c>
      <c r="H172" s="22" t="s">
        <v>450</v>
      </c>
      <c r="I172" s="16">
        <f>IF(@Table1[[#This Row],[Delivery Date]]="","NA",@Table1[[#This Row],[Delivery Date]]+30)</f>
        <v>45781.0</v>
      </c>
      <c r="J172" s="35" t="s">
        <f t="shared" si="5"/>
        <v>28</v>
      </c>
      <c r="K172" s="85">
        <v>30108.0</v>
      </c>
      <c r="L172" s="22"/>
      <c r="M172" s="22"/>
      <c r="N172" s="37">
        <v>0.0</v>
      </c>
    </row>
    <row r="173" ht="14.0">
      <c r="A173" s="32" t="s">
        <v>451</v>
      </c>
      <c r="B173" s="22" t="s">
        <v>452</v>
      </c>
      <c r="C173" s="22" t="s">
        <v>58</v>
      </c>
      <c r="D173" s="33">
        <v>312.0</v>
      </c>
      <c r="E173" s="34">
        <v>45743.0</v>
      </c>
      <c r="F173" s="22"/>
      <c r="G173" s="22">
        <v>2.64601983E8</v>
      </c>
      <c r="H173" s="22" t="s">
        <v>453</v>
      </c>
      <c r="I173" s="16">
        <f>IF(@Table1[[#This Row],[Delivery Date]]="","NA",@Table1[[#This Row],[Delivery Date]]+30)</f>
        <v>45773.0</v>
      </c>
      <c r="J173" s="35" t="s">
        <f t="shared" si="5"/>
        <v>28</v>
      </c>
      <c r="K173" s="85">
        <v>18154.5</v>
      </c>
      <c r="L173" s="22"/>
      <c r="M173" s="22"/>
      <c r="N173" s="37">
        <v>0.0</v>
      </c>
    </row>
    <row r="174" ht="14.0">
      <c r="A174" s="32" t="s">
        <v>454</v>
      </c>
      <c r="B174" s="22" t="s">
        <v>455</v>
      </c>
      <c r="C174" s="22" t="s">
        <v>26</v>
      </c>
      <c r="D174" s="33">
        <v>396.0</v>
      </c>
      <c r="E174" s="34">
        <v>45743.0</v>
      </c>
      <c r="F174" s="86"/>
      <c r="G174" s="86" t="s">
        <v>456</v>
      </c>
      <c r="H174" s="22" t="s">
        <v>457</v>
      </c>
      <c r="I174" s="16">
        <f>IF(@Table1[[#This Row],[Delivery Date]]="","NA",@Table1[[#This Row],[Delivery Date]]+30)</f>
        <v>45773.0</v>
      </c>
      <c r="J174" s="35" t="s">
        <f t="shared" si="5"/>
        <v>28</v>
      </c>
      <c r="K174" s="85">
        <v>29601.0</v>
      </c>
      <c r="L174" s="22"/>
      <c r="M174" s="22"/>
      <c r="N174" s="37">
        <v>0.0</v>
      </c>
    </row>
    <row r="175" ht="14.0">
      <c r="A175" s="32" t="s">
        <v>458</v>
      </c>
      <c r="B175" s="22" t="s">
        <v>459</v>
      </c>
      <c r="C175" s="22" t="s">
        <v>151</v>
      </c>
      <c r="D175" s="33">
        <v>231.0</v>
      </c>
      <c r="E175" s="34">
        <v>45743.0</v>
      </c>
      <c r="F175" s="22"/>
      <c r="G175" s="22" t="s">
        <v>460</v>
      </c>
      <c r="H175" s="22" t="s">
        <v>461</v>
      </c>
      <c r="I175" s="16">
        <f>IF(@Table1[[#This Row],[Delivery Date]]="","NA",@Table1[[#This Row],[Delivery Date]]+30)</f>
        <v>45773.0</v>
      </c>
      <c r="J175" s="35" t="s">
        <f t="shared" si="5"/>
        <v>28</v>
      </c>
      <c r="K175" s="85">
        <v>11583.0</v>
      </c>
      <c r="L175" s="22"/>
      <c r="M175" s="22"/>
      <c r="N175" s="37">
        <v>0.0</v>
      </c>
    </row>
    <row r="176" ht="14.0">
      <c r="A176" s="32" t="s">
        <v>462</v>
      </c>
      <c r="B176" s="22" t="s">
        <v>463</v>
      </c>
      <c r="C176" s="22" t="s">
        <v>39</v>
      </c>
      <c r="D176" s="33">
        <v>1557.0</v>
      </c>
      <c r="E176" s="34">
        <v>45747.0</v>
      </c>
      <c r="F176" s="22"/>
      <c r="G176" s="22">
        <v>2.64601982E8</v>
      </c>
      <c r="H176" s="22" t="s">
        <v>464</v>
      </c>
      <c r="I176" s="16">
        <f>IF(@Table1[[#This Row],[Delivery Date]]="","NA",@Table1[[#This Row],[Delivery Date]]+30)</f>
        <v>45777.0</v>
      </c>
      <c r="J176" s="35" t="s">
        <f t="shared" si="5"/>
        <v>28</v>
      </c>
      <c r="K176" s="85">
        <v>91630.5</v>
      </c>
      <c r="L176" s="22"/>
      <c r="M176" s="22"/>
      <c r="N176" s="37">
        <v>0.0</v>
      </c>
    </row>
    <row r="177" ht="14.0">
      <c r="A177" s="32" t="s">
        <v>465</v>
      </c>
      <c r="B177" s="22" t="s">
        <v>466</v>
      </c>
      <c r="C177" s="22" t="s">
        <v>20</v>
      </c>
      <c r="D177" s="33">
        <v>187.0</v>
      </c>
      <c r="E177" s="34">
        <v>45743.0</v>
      </c>
      <c r="F177" s="22"/>
      <c r="G177" s="22">
        <v>2.64601981E8</v>
      </c>
      <c r="H177" s="22" t="s">
        <v>467</v>
      </c>
      <c r="I177" s="16">
        <f>IF(@Table1[[#This Row],[Delivery Date]]="","NA",@Table1[[#This Row],[Delivery Date]]+30)</f>
        <v>45773.0</v>
      </c>
      <c r="J177" s="35" t="s">
        <f t="shared" si="5"/>
        <v>28</v>
      </c>
      <c r="K177" s="85">
        <v>12649.0</v>
      </c>
      <c r="L177" s="22"/>
      <c r="M177" s="22"/>
      <c r="N177" s="37">
        <v>0.0</v>
      </c>
    </row>
    <row r="178" ht="14.0">
      <c r="A178" s="32" t="s">
        <v>468</v>
      </c>
      <c r="B178" s="22" t="s">
        <v>469</v>
      </c>
      <c r="C178" s="22" t="s">
        <v>147</v>
      </c>
      <c r="D178" s="65">
        <v>276.0</v>
      </c>
      <c r="E178" s="34">
        <v>45744.0</v>
      </c>
      <c r="F178" s="22"/>
      <c r="G178" s="22" t="s">
        <v>470</v>
      </c>
      <c r="H178" s="64" t="s">
        <v>471</v>
      </c>
      <c r="I178" s="16">
        <f>IF(@Table1[[#This Row],[Delivery Date]]="","NA",@Table1[[#This Row],[Delivery Date]]+30)</f>
        <v>45774.0</v>
      </c>
      <c r="J178" s="35" t="s">
        <f t="shared" si="5"/>
        <v>28</v>
      </c>
      <c r="K178" s="87">
        <v>14313.0</v>
      </c>
      <c r="L178" s="64"/>
      <c r="M178" s="64"/>
      <c r="N178" s="71">
        <v>0.0</v>
      </c>
    </row>
    <row r="179" ht="14.0">
      <c r="A179" s="32" t="s">
        <v>472</v>
      </c>
      <c r="B179" s="64" t="s">
        <v>473</v>
      </c>
      <c r="C179" s="22" t="s">
        <v>26</v>
      </c>
      <c r="D179" s="33">
        <v>391.0</v>
      </c>
      <c r="E179" s="34">
        <v>45775.0</v>
      </c>
      <c r="F179" s="88" t="s">
        <v>474</v>
      </c>
      <c r="G179" s="88">
        <v>2.000157303E9</v>
      </c>
      <c r="H179" s="64" t="s">
        <v>475</v>
      </c>
      <c r="I179" s="16">
        <f>IF(@Table1[[#This Row],[Delivery Date]]="","NA",@Table1[[#This Row],[Delivery Date]]+30)</f>
        <v>45805.0</v>
      </c>
      <c r="J179" s="35" t="s">
        <f t="shared" si="5"/>
        <v>28</v>
      </c>
      <c r="K179" s="87">
        <v>24231.12</v>
      </c>
      <c r="L179" s="89"/>
      <c r="M179" s="89"/>
      <c r="N179" s="89"/>
    </row>
    <row r="180" ht="15.0">
      <c r="A180" s="32" t="s">
        <v>476</v>
      </c>
      <c r="B180" s="64" t="s">
        <v>477</v>
      </c>
      <c r="C180" s="22" t="s">
        <v>478</v>
      </c>
      <c r="D180" s="33">
        <v>353.0</v>
      </c>
      <c r="E180" s="34">
        <v>45773.0</v>
      </c>
      <c r="F180" s="88" t="s">
        <v>474</v>
      </c>
      <c r="G180" s="88">
        <v>2.00015233E9</v>
      </c>
      <c r="H180" s="64" t="s">
        <v>479</v>
      </c>
      <c r="I180" s="16">
        <f>IF(@Table1[[#This Row],[Delivery Date]]="","NA",@Table1[[#This Row],[Delivery Date]]+30)</f>
        <v>45803.0</v>
      </c>
      <c r="J180" s="35" t="s">
        <f t="shared" si="5"/>
        <v>28</v>
      </c>
      <c r="K180" s="87">
        <v>23308.46</v>
      </c>
      <c r="L180" s="89" t="s">
        <v>480</v>
      </c>
      <c r="M180" s="89"/>
      <c r="N180" s="89"/>
    </row>
    <row r="181" ht="14.0">
      <c r="A181" s="32" t="s">
        <v>481</v>
      </c>
      <c r="B181" s="64" t="s">
        <v>482</v>
      </c>
      <c r="C181" s="22" t="s">
        <v>147</v>
      </c>
      <c r="D181" s="33">
        <v>324.0</v>
      </c>
      <c r="E181" s="34">
        <v>45775.0</v>
      </c>
      <c r="F181" s="88" t="s">
        <v>474</v>
      </c>
      <c r="G181" s="88">
        <v>2.000156339E9</v>
      </c>
      <c r="H181" s="64" t="s">
        <v>483</v>
      </c>
      <c r="I181" s="16">
        <f>IF(@Table1[[#This Row],[Delivery Date]]="","NA",@Table1[[#This Row],[Delivery Date]]+30)</f>
        <v>45805.0</v>
      </c>
      <c r="J181" s="35" t="s">
        <f t="shared" si="5"/>
        <v>28</v>
      </c>
      <c r="K181" s="87">
        <v>18367.93</v>
      </c>
      <c r="L181" s="89"/>
      <c r="M181" s="89"/>
      <c r="N181" s="89"/>
    </row>
    <row r="182" ht="14.0">
      <c r="A182" s="32" t="s">
        <v>484</v>
      </c>
      <c r="B182" s="64" t="s">
        <v>485</v>
      </c>
      <c r="C182" s="22" t="s">
        <v>23</v>
      </c>
      <c r="D182" s="33">
        <v>366.0</v>
      </c>
      <c r="E182" s="34">
        <v>45779.0</v>
      </c>
      <c r="F182" s="88" t="s">
        <v>474</v>
      </c>
      <c r="G182" s="88">
        <v>2.000153903E9</v>
      </c>
      <c r="H182" s="64" t="s">
        <v>486</v>
      </c>
      <c r="I182" s="16">
        <f>IF(@Table1[[#This Row],[Delivery Date]]="","NA",@Table1[[#This Row],[Delivery Date]]+30)</f>
        <v>45809.0</v>
      </c>
      <c r="J182" s="35" t="s">
        <f t="shared" si="5"/>
        <v>28</v>
      </c>
      <c r="K182" s="87">
        <v>24393.93</v>
      </c>
      <c r="L182" s="89"/>
      <c r="M182" s="89"/>
      <c r="N182" s="89"/>
    </row>
    <row r="183" ht="14.0">
      <c r="A183" s="32" t="s">
        <v>487</v>
      </c>
      <c r="B183" s="64" t="s">
        <v>488</v>
      </c>
      <c r="C183" s="22" t="s">
        <v>39</v>
      </c>
      <c r="D183" s="33">
        <v>1090.0</v>
      </c>
      <c r="E183" s="34">
        <v>45775.0</v>
      </c>
      <c r="F183" s="88" t="s">
        <v>474</v>
      </c>
      <c r="G183" s="88">
        <v>2.00022766E9</v>
      </c>
      <c r="H183" s="64" t="s">
        <v>489</v>
      </c>
      <c r="I183" s="16">
        <f>IF(@Table1[[#This Row],[Delivery Date]]="","NA",@Table1[[#This Row],[Delivery Date]]+30)</f>
        <v>45805.0</v>
      </c>
      <c r="J183" s="35" t="s">
        <f t="shared" si="5"/>
        <v>28</v>
      </c>
      <c r="K183" s="87">
        <v>67519.62</v>
      </c>
      <c r="L183" s="89"/>
      <c r="M183" s="89"/>
      <c r="N183" s="89"/>
    </row>
    <row r="184" ht="14.0">
      <c r="A184" s="32" t="s">
        <v>490</v>
      </c>
      <c r="B184" s="64" t="s">
        <v>491</v>
      </c>
      <c r="C184" s="22" t="s">
        <v>58</v>
      </c>
      <c r="D184" s="33">
        <v>868.0</v>
      </c>
      <c r="E184" s="34">
        <v>45777.0</v>
      </c>
      <c r="F184" s="88" t="s">
        <v>474</v>
      </c>
      <c r="G184" s="88">
        <v>2.000227656E9</v>
      </c>
      <c r="H184" s="64" t="s">
        <v>492</v>
      </c>
      <c r="I184" s="16">
        <f>IF(@Table1[[#This Row],[Delivery Date]]="","NA",@Table1[[#This Row],[Delivery Date]]+30)</f>
        <v>45807.0</v>
      </c>
      <c r="J184" s="35" t="s">
        <f t="shared" si="5"/>
        <v>28</v>
      </c>
      <c r="K184" s="87">
        <v>57595.23</v>
      </c>
      <c r="L184" s="89"/>
      <c r="M184" s="89"/>
      <c r="N184" s="89"/>
    </row>
    <row r="185" ht="15.0">
      <c r="A185" s="32" t="s">
        <v>493</v>
      </c>
      <c r="B185" s="64" t="s">
        <v>494</v>
      </c>
      <c r="C185" s="22" t="s">
        <v>420</v>
      </c>
      <c r="D185" s="33">
        <v>505.0</v>
      </c>
      <c r="E185" s="34">
        <v>45775.0</v>
      </c>
      <c r="F185" s="88" t="s">
        <v>474</v>
      </c>
      <c r="G185" s="88">
        <v>2.000159359E9</v>
      </c>
      <c r="H185" s="64" t="s">
        <v>495</v>
      </c>
      <c r="I185" s="16">
        <f>IF(@Table1[[#This Row],[Delivery Date]]="","NA",@Table1[[#This Row],[Delivery Date]]+30)</f>
        <v>45805.0</v>
      </c>
      <c r="J185" s="35" t="s">
        <f t="shared" si="5"/>
        <v>28</v>
      </c>
      <c r="K185" s="87">
        <v>34780.61</v>
      </c>
      <c r="L185" s="89" t="s">
        <v>480</v>
      </c>
      <c r="M185" s="89"/>
      <c r="N185" s="89"/>
    </row>
    <row r="186" ht="14.0">
      <c r="A186" s="32" t="s">
        <v>496</v>
      </c>
      <c r="B186" s="64" t="s">
        <v>497</v>
      </c>
      <c r="C186" s="22" t="s">
        <v>151</v>
      </c>
      <c r="D186" s="33">
        <v>534.0</v>
      </c>
      <c r="E186" s="34">
        <v>45780.0</v>
      </c>
      <c r="F186" s="88" t="s">
        <v>474</v>
      </c>
      <c r="G186" s="88">
        <v>2.000153381E9</v>
      </c>
      <c r="H186" s="64" t="s">
        <v>498</v>
      </c>
      <c r="I186" s="16">
        <f>IF(@Table1[[#This Row],[Delivery Date]]="","NA",@Table1[[#This Row],[Delivery Date]]+30)</f>
        <v>45810.0</v>
      </c>
      <c r="J186" s="35" t="s">
        <f t="shared" si="5"/>
        <v>28</v>
      </c>
      <c r="K186" s="87">
        <v>31178.83</v>
      </c>
      <c r="L186" s="89"/>
      <c r="M186" s="89"/>
      <c r="N186" s="89"/>
    </row>
    <row r="187" ht="14.0">
      <c r="A187" s="32" t="s">
        <v>499</v>
      </c>
      <c r="B187" s="64" t="s">
        <v>500</v>
      </c>
      <c r="C187" s="22" t="s">
        <v>39</v>
      </c>
      <c r="D187" s="33">
        <v>827.0</v>
      </c>
      <c r="E187" s="34">
        <v>45774.0</v>
      </c>
      <c r="F187" s="88" t="s">
        <v>474</v>
      </c>
      <c r="G187" s="88">
        <v>2.000167143E9</v>
      </c>
      <c r="H187" s="64" t="s">
        <v>501</v>
      </c>
      <c r="I187" s="16">
        <f>IF(@Table1[[#This Row],[Delivery Date]]="","NA",@Table1[[#This Row],[Delivery Date]]+30)</f>
        <v>45804.0</v>
      </c>
      <c r="J187" s="35" t="s">
        <f t="shared" si="5"/>
        <v>28</v>
      </c>
      <c r="K187" s="87">
        <v>50394.5</v>
      </c>
      <c r="L187" s="89"/>
      <c r="M187" s="89"/>
      <c r="N187" s="89"/>
    </row>
    <row r="188" ht="15.0">
      <c r="A188" s="32" t="s">
        <v>502</v>
      </c>
      <c r="B188" s="64" t="s">
        <v>503</v>
      </c>
      <c r="C188" s="22" t="s">
        <v>504</v>
      </c>
      <c r="D188" s="33">
        <v>216.0</v>
      </c>
      <c r="E188" s="34">
        <v>45766.0</v>
      </c>
      <c r="F188" s="88" t="s">
        <v>474</v>
      </c>
      <c r="G188" s="88">
        <v>2.000163167E9</v>
      </c>
      <c r="H188" s="64" t="s">
        <v>505</v>
      </c>
      <c r="I188" s="16">
        <f>IF(@Table1[[#This Row],[Delivery Date]]="","NA",@Table1[[#This Row],[Delivery Date]]+30)</f>
        <v>45796.0</v>
      </c>
      <c r="J188" s="35" t="s">
        <f t="shared" si="5"/>
        <v>28</v>
      </c>
      <c r="K188" s="87">
        <v>14898.0</v>
      </c>
      <c r="L188" s="89" t="s">
        <v>480</v>
      </c>
      <c r="M188" s="89"/>
      <c r="N188" s="89"/>
    </row>
    <row r="189" ht="15.0">
      <c r="A189" s="32" t="s">
        <v>506</v>
      </c>
      <c r="B189" s="64" t="s">
        <v>507</v>
      </c>
      <c r="C189" s="22" t="s">
        <v>26</v>
      </c>
      <c r="D189" s="33">
        <v>1013.0</v>
      </c>
      <c r="E189" s="34">
        <v>45773.0</v>
      </c>
      <c r="F189" s="88" t="s">
        <v>474</v>
      </c>
      <c r="G189" s="88">
        <v>2.000161447E9</v>
      </c>
      <c r="H189" s="64" t="s">
        <v>508</v>
      </c>
      <c r="I189" s="16">
        <f>IF(@Table1[[#This Row],[Delivery Date]]="","NA",@Table1[[#This Row],[Delivery Date]]+30)</f>
        <v>45803.0</v>
      </c>
      <c r="J189" s="35" t="s">
        <f t="shared" si="5"/>
        <v>28</v>
      </c>
      <c r="K189" s="87">
        <v>60144.5</v>
      </c>
      <c r="L189" s="89" t="s">
        <v>480</v>
      </c>
      <c r="M189" s="89"/>
      <c r="N189" s="89"/>
    </row>
    <row r="190" ht="14.0">
      <c r="A190" s="32" t="s">
        <v>509</v>
      </c>
      <c r="B190" s="64" t="s">
        <v>510</v>
      </c>
      <c r="C190" s="22" t="s">
        <v>147</v>
      </c>
      <c r="D190" s="33">
        <v>720.0</v>
      </c>
      <c r="E190" s="34">
        <v>45789.0</v>
      </c>
      <c r="F190" s="88" t="s">
        <v>474</v>
      </c>
      <c r="G190" s="88">
        <v>2.000162295E9</v>
      </c>
      <c r="H190" s="64" t="s">
        <v>511</v>
      </c>
      <c r="I190" s="16">
        <f>IF(@Table1[[#This Row],[Delivery Date]]="","NA",@Table1[[#This Row],[Delivery Date]]+30)</f>
        <v>45819.0</v>
      </c>
      <c r="J190" s="35" t="s">
        <f t="shared" si="5"/>
        <v>28</v>
      </c>
      <c r="K190" s="87">
        <v>42822.0</v>
      </c>
      <c r="L190" s="89"/>
      <c r="M190" s="89"/>
      <c r="N190" s="89"/>
    </row>
    <row r="191" ht="15.0">
      <c r="A191" s="32" t="s">
        <v>512</v>
      </c>
      <c r="B191" s="64" t="s">
        <v>513</v>
      </c>
      <c r="C191" s="22" t="s">
        <v>58</v>
      </c>
      <c r="D191" s="33">
        <v>1429.0</v>
      </c>
      <c r="E191" s="34">
        <v>45782.0</v>
      </c>
      <c r="F191" s="88" t="s">
        <v>474</v>
      </c>
      <c r="G191" s="88">
        <v>2.000166443E9</v>
      </c>
      <c r="H191" s="64" t="s">
        <v>514</v>
      </c>
      <c r="I191" s="16">
        <f>IF(@Table1[[#This Row],[Delivery Date]]="","NA",@Table1[[#This Row],[Delivery Date]]+30)</f>
        <v>45812.0</v>
      </c>
      <c r="J191" s="35" t="s">
        <f t="shared" si="5"/>
        <v>28</v>
      </c>
      <c r="K191" s="87">
        <v>94120.0</v>
      </c>
      <c r="L191" s="89" t="s">
        <v>480</v>
      </c>
      <c r="M191" s="89" t="s">
        <v>515</v>
      </c>
      <c r="N191" s="89"/>
    </row>
    <row r="192" ht="14.0">
      <c r="A192" s="32" t="s">
        <v>516</v>
      </c>
      <c r="B192" s="64" t="s">
        <v>517</v>
      </c>
      <c r="C192" s="22" t="s">
        <v>23</v>
      </c>
      <c r="D192" s="33">
        <v>966.0</v>
      </c>
      <c r="E192" s="34">
        <v>45766.0</v>
      </c>
      <c r="F192" s="88" t="s">
        <v>474</v>
      </c>
      <c r="G192" s="88">
        <v>2.000229448E9</v>
      </c>
      <c r="H192" s="64" t="s">
        <v>518</v>
      </c>
      <c r="I192" s="16">
        <f>IF(@Table1[[#This Row],[Delivery Date]]="","NA",@Table1[[#This Row],[Delivery Date]]+30)</f>
        <v>45796.0</v>
      </c>
      <c r="J192" s="35" t="s">
        <f t="shared" si="5"/>
        <v>28</v>
      </c>
      <c r="K192" s="87">
        <v>64038.0</v>
      </c>
      <c r="L192" s="89"/>
      <c r="M192" s="89"/>
      <c r="N192" s="89"/>
    </row>
    <row r="193" ht="15.0">
      <c r="A193" s="32" t="s">
        <v>519</v>
      </c>
      <c r="B193" s="64" t="s">
        <v>520</v>
      </c>
      <c r="C193" s="22" t="s">
        <v>478</v>
      </c>
      <c r="D193" s="33">
        <v>938.0</v>
      </c>
      <c r="E193" s="34">
        <v>45783.0</v>
      </c>
      <c r="F193" s="88" t="s">
        <v>474</v>
      </c>
      <c r="G193" s="88">
        <v>2.000168438E9</v>
      </c>
      <c r="H193" s="64" t="s">
        <v>521</v>
      </c>
      <c r="I193" s="16">
        <f>IF(@Table1[[#This Row],[Delivery Date]]="","NA",@Table1[[#This Row],[Delivery Date]]+30)</f>
        <v>45813.0</v>
      </c>
      <c r="J193" s="35" t="s">
        <f t="shared" si="5"/>
        <v>28</v>
      </c>
      <c r="K193" s="87">
        <v>62036.0</v>
      </c>
      <c r="L193" s="89" t="s">
        <v>480</v>
      </c>
      <c r="M193" s="89" t="s">
        <v>515</v>
      </c>
      <c r="N193" s="89"/>
    </row>
    <row r="194" ht="14.0">
      <c r="A194" s="32" t="s">
        <v>522</v>
      </c>
      <c r="B194" s="64" t="s">
        <v>523</v>
      </c>
      <c r="C194" s="22" t="s">
        <v>15</v>
      </c>
      <c r="D194" s="33">
        <v>141.0</v>
      </c>
      <c r="E194" s="34">
        <v>45766.0</v>
      </c>
      <c r="F194" s="88" t="s">
        <v>474</v>
      </c>
      <c r="G194" s="88">
        <v>2.000229453E9</v>
      </c>
      <c r="H194" s="64" t="s">
        <v>524</v>
      </c>
      <c r="I194" s="16">
        <f>IF(@Table1[[#This Row],[Delivery Date]]="","NA",@Table1[[#This Row],[Delivery Date]]+30)</f>
        <v>45796.0</v>
      </c>
      <c r="J194" s="35" t="s">
        <f t="shared" si="5"/>
        <v>28</v>
      </c>
      <c r="K194" s="87">
        <v>10413.0</v>
      </c>
      <c r="L194" s="89"/>
      <c r="M194" s="89"/>
      <c r="N194" s="89"/>
    </row>
    <row r="195" ht="14.0">
      <c r="A195" s="32" t="s">
        <v>525</v>
      </c>
      <c r="B195" s="64" t="s">
        <v>526</v>
      </c>
      <c r="C195" s="22" t="s">
        <v>151</v>
      </c>
      <c r="D195" s="33">
        <v>924.0</v>
      </c>
      <c r="E195" s="34">
        <v>45763</v>
      </c>
      <c r="F195" s="88" t="s">
        <v>474</v>
      </c>
      <c r="G195" s="88">
        <v>2.000228452E9</v>
      </c>
      <c r="H195" s="64" t="s">
        <v>527</v>
      </c>
      <c r="I195" s="16">
        <f>IF(@Table1[[#This Row],[Delivery Date]]="","NA",@Table1[[#This Row],[Delivery Date]]+30)</f>
        <v>45793.0</v>
      </c>
      <c r="J195" s="35" t="s">
        <f t="shared" si="5"/>
        <v>28</v>
      </c>
      <c r="K195" s="87">
        <v>52676.0</v>
      </c>
      <c r="L195" s="89"/>
      <c r="M195" s="89"/>
      <c r="N195" s="89"/>
    </row>
    <row r="196" ht="14.0">
      <c r="A196" s="32" t="s">
        <v>528</v>
      </c>
      <c r="B196" s="64" t="s">
        <v>529</v>
      </c>
      <c r="C196" s="22" t="s">
        <v>420</v>
      </c>
      <c r="D196" s="33">
        <f>1212-23</f>
        <v>1189.0</v>
      </c>
      <c r="E196" s="34">
        <v>45783.0</v>
      </c>
      <c r="F196" s="88" t="s">
        <v>474</v>
      </c>
      <c r="G196" s="88">
        <v>2.000169439E9</v>
      </c>
      <c r="H196" s="64" t="s">
        <v>530</v>
      </c>
      <c r="I196" s="16">
        <f>IF(@Table1[[#This Row],[Delivery Date]]="","NA",@Table1[[#This Row],[Delivery Date]]+30)</f>
        <v>45813.0</v>
      </c>
      <c r="J196" s="35" t="s">
        <f t="shared" si="5"/>
        <v>28</v>
      </c>
      <c r="K196" s="87">
        <v>72104.41</v>
      </c>
      <c r="L196" s="89"/>
      <c r="M196" s="89"/>
      <c r="N196" s="89"/>
    </row>
    <row r="197" ht="14.0">
      <c r="A197" s="32" t="s">
        <v>531</v>
      </c>
      <c r="B197" s="64" t="s">
        <v>532</v>
      </c>
      <c r="C197" s="22" t="s">
        <v>39</v>
      </c>
      <c r="D197" s="33">
        <v>212.0</v>
      </c>
      <c r="E197" s="34">
        <v>45779.0</v>
      </c>
      <c r="F197" s="88" t="s">
        <v>533</v>
      </c>
      <c r="G197" s="90" t="s">
        <v>534</v>
      </c>
      <c r="H197" s="64" t="s">
        <v>535</v>
      </c>
      <c r="I197" s="16">
        <f>IF(@Table1[[#This Row],[Delivery Date]]="","NA",@Table1[[#This Row],[Delivery Date]]+30)</f>
        <v>45809.0</v>
      </c>
      <c r="J197" s="35" t="s">
        <f t="shared" si="5"/>
        <v>28</v>
      </c>
      <c r="K197" s="87">
        <v>12389.0</v>
      </c>
      <c r="L197" s="89"/>
      <c r="M197" s="89"/>
      <c r="N197" s="89"/>
    </row>
    <row r="198" ht="14.0">
      <c r="A198" s="32" t="s">
        <v>536</v>
      </c>
      <c r="B198" s="64" t="s">
        <v>537</v>
      </c>
      <c r="C198" s="22" t="s">
        <v>420</v>
      </c>
      <c r="D198" s="33">
        <v>240.0</v>
      </c>
      <c r="E198" s="34">
        <v>45782.0</v>
      </c>
      <c r="F198" s="88" t="s">
        <v>533</v>
      </c>
      <c r="G198" s="90" t="s">
        <v>538</v>
      </c>
      <c r="H198" s="64" t="s">
        <v>539</v>
      </c>
      <c r="I198" s="16">
        <f>IF(@Table1[[#This Row],[Delivery Date]]="","NA",@Table1[[#This Row],[Delivery Date]]+30)</f>
        <v>45812.0</v>
      </c>
      <c r="J198" s="35" t="s">
        <f t="shared" si="5"/>
        <v>28</v>
      </c>
      <c r="K198" s="87">
        <v>12050.09</v>
      </c>
      <c r="L198" s="89"/>
      <c r="M198" s="89"/>
      <c r="N198" s="89"/>
    </row>
    <row r="199" ht="14.0">
      <c r="A199" s="32" t="s">
        <v>540</v>
      </c>
      <c r="B199" s="64" t="s">
        <v>541</v>
      </c>
      <c r="C199" s="22" t="s">
        <v>23</v>
      </c>
      <c r="D199" s="33">
        <v>533.0</v>
      </c>
      <c r="E199" s="34">
        <v>45774.0</v>
      </c>
      <c r="F199" s="88" t="s">
        <v>533</v>
      </c>
      <c r="G199" s="90">
        <v>2.15216209E8</v>
      </c>
      <c r="H199" s="64" t="s">
        <v>542</v>
      </c>
      <c r="I199" s="16">
        <f>IF(@Table1[[#This Row],[Delivery Date]]="","NA",@Table1[[#This Row],[Delivery Date]]+30)</f>
        <v>45804.0</v>
      </c>
      <c r="J199" s="35" t="s">
        <f t="shared" si="5"/>
        <v>28</v>
      </c>
      <c r="K199" s="87">
        <v>31830.5</v>
      </c>
      <c r="L199" s="89"/>
      <c r="M199" s="89"/>
      <c r="N199" s="89"/>
    </row>
    <row r="200" ht="14.0">
      <c r="A200" s="32" t="s">
        <v>543</v>
      </c>
      <c r="B200" s="64" t="s">
        <v>544</v>
      </c>
      <c r="C200" s="22" t="s">
        <v>420</v>
      </c>
      <c r="D200" s="33">
        <v>684.0</v>
      </c>
      <c r="E200" s="34">
        <v>45782.0</v>
      </c>
      <c r="F200" s="88" t="s">
        <v>533</v>
      </c>
      <c r="G200" s="90" t="s">
        <v>545</v>
      </c>
      <c r="H200" s="64" t="s">
        <v>546</v>
      </c>
      <c r="I200" s="16">
        <f>IF(@Table1[[#This Row],[Delivery Date]]="","NA",@Table1[[#This Row],[Delivery Date]]+30)</f>
        <v>45812.0</v>
      </c>
      <c r="J200" s="35" t="s">
        <f t="shared" si="5"/>
        <v>28</v>
      </c>
      <c r="K200" s="87">
        <v>43054.33</v>
      </c>
      <c r="L200" s="89"/>
      <c r="M200" s="89"/>
      <c r="N200" s="89"/>
    </row>
    <row r="201" ht="14.0">
      <c r="A201" s="32" t="s">
        <v>547</v>
      </c>
      <c r="B201" s="64" t="s">
        <v>548</v>
      </c>
      <c r="C201" s="22" t="s">
        <v>26</v>
      </c>
      <c r="D201" s="33">
        <v>242.0</v>
      </c>
      <c r="E201" s="34">
        <v>45776.0</v>
      </c>
      <c r="F201" s="88" t="s">
        <v>533</v>
      </c>
      <c r="G201" s="90" t="s">
        <v>549</v>
      </c>
      <c r="H201" s="64" t="s">
        <v>550</v>
      </c>
      <c r="I201" s="16">
        <f>IF(@Table1[[#This Row],[Delivery Date]]="","NA",@Table1[[#This Row],[Delivery Date]]+30)</f>
        <v>45806.0</v>
      </c>
      <c r="J201" s="35" t="s">
        <f t="shared" si="5"/>
        <v>28</v>
      </c>
      <c r="K201" s="87">
        <v>15821.0</v>
      </c>
      <c r="L201" s="89"/>
      <c r="M201" s="89"/>
      <c r="N201" s="89"/>
    </row>
    <row r="202" ht="14.0">
      <c r="A202" s="32" t="s">
        <v>551</v>
      </c>
      <c r="B202" s="64" t="s">
        <v>552</v>
      </c>
      <c r="C202" s="22" t="s">
        <v>33</v>
      </c>
      <c r="D202" s="33">
        <v>330.0</v>
      </c>
      <c r="E202" s="34">
        <v>45776.0</v>
      </c>
      <c r="F202" s="88" t="s">
        <v>533</v>
      </c>
      <c r="G202" s="90" t="s">
        <v>553</v>
      </c>
      <c r="H202" s="64" t="s">
        <v>554</v>
      </c>
      <c r="I202" s="16">
        <f>IF(@Table1[[#This Row],[Delivery Date]]="","NA",@Table1[[#This Row],[Delivery Date]]+30)</f>
        <v>45806.0</v>
      </c>
      <c r="J202" s="35" t="s">
        <f t="shared" si="5"/>
        <v>28</v>
      </c>
      <c r="K202" s="87">
        <v>22522.5</v>
      </c>
      <c r="L202" s="89"/>
      <c r="M202" s="89"/>
      <c r="N202" s="89"/>
    </row>
    <row r="203" ht="14.0">
      <c r="A203" s="32" t="s">
        <v>555</v>
      </c>
      <c r="B203" s="64" t="s">
        <v>556</v>
      </c>
      <c r="C203" s="22" t="s">
        <v>23</v>
      </c>
      <c r="D203" s="33">
        <v>1378.0</v>
      </c>
      <c r="E203" s="34">
        <v>45774.0</v>
      </c>
      <c r="F203" s="88" t="s">
        <v>533</v>
      </c>
      <c r="G203" s="90" t="s">
        <v>557</v>
      </c>
      <c r="H203" s="64" t="s">
        <v>558</v>
      </c>
      <c r="I203" s="16">
        <f>IF(@Table1[[#This Row],[Delivery Date]]="","NA",@Table1[[#This Row],[Delivery Date]]+30)</f>
        <v>45804.0</v>
      </c>
      <c r="J203" s="35" t="s">
        <f t="shared" si="5"/>
        <v>28</v>
      </c>
      <c r="K203" s="87">
        <v>83473.0</v>
      </c>
      <c r="L203" s="89"/>
      <c r="M203" s="89"/>
      <c r="N203" s="89"/>
    </row>
    <row r="204" ht="14.0">
      <c r="A204" s="32" t="s">
        <v>559</v>
      </c>
      <c r="B204" s="64" t="s">
        <v>560</v>
      </c>
      <c r="C204" s="22" t="s">
        <v>478</v>
      </c>
      <c r="D204" s="33">
        <v>241.0</v>
      </c>
      <c r="E204" s="34">
        <v>45777</v>
      </c>
      <c r="F204" s="88" t="s">
        <v>533</v>
      </c>
      <c r="G204" s="90" t="s">
        <v>561</v>
      </c>
      <c r="H204" s="64" t="s">
        <v>562</v>
      </c>
      <c r="I204" s="16">
        <f>IF(@Table1[[#This Row],[Delivery Date]]="","NA",@Table1[[#This Row],[Delivery Date]]+30)</f>
        <v>45807.0</v>
      </c>
      <c r="J204" s="35" t="s">
        <f t="shared" si="5"/>
        <v>28</v>
      </c>
      <c r="K204" s="87">
        <v>15788.5</v>
      </c>
      <c r="L204" s="89"/>
      <c r="M204" s="89"/>
      <c r="N204" s="89"/>
    </row>
    <row r="205" ht="14.0">
      <c r="A205" s="32" t="s">
        <v>563</v>
      </c>
      <c r="B205" s="64" t="s">
        <v>564</v>
      </c>
      <c r="C205" s="22" t="s">
        <v>144</v>
      </c>
      <c r="D205" s="33">
        <v>306.0</v>
      </c>
      <c r="E205" s="34">
        <v>45776.0</v>
      </c>
      <c r="F205" s="88" t="s">
        <v>565</v>
      </c>
      <c r="G205" s="90">
        <v>2.67984261E8</v>
      </c>
      <c r="H205" s="64" t="s">
        <v>566</v>
      </c>
      <c r="I205" s="16">
        <f>IF(@Table1[[#This Row],[Delivery Date]]="","NA",@Table1[[#This Row],[Delivery Date]]+30)</f>
        <v>45806.0</v>
      </c>
      <c r="J205" s="35" t="s">
        <f t="shared" si="5"/>
        <v>28</v>
      </c>
      <c r="K205" s="87">
        <v>14917.5</v>
      </c>
      <c r="L205" s="89"/>
      <c r="M205" s="89"/>
      <c r="N205" s="89"/>
    </row>
    <row r="206" ht="14.0">
      <c r="A206" s="32" t="s">
        <v>567</v>
      </c>
      <c r="B206" s="64" t="s">
        <v>568</v>
      </c>
      <c r="C206" s="22" t="s">
        <v>15</v>
      </c>
      <c r="D206" s="33">
        <v>256.0</v>
      </c>
      <c r="E206" s="34">
        <v>45776.0</v>
      </c>
      <c r="F206" s="88" t="s">
        <v>533</v>
      </c>
      <c r="G206" s="90" t="s">
        <v>561</v>
      </c>
      <c r="H206" s="64" t="s">
        <v>569</v>
      </c>
      <c r="I206" s="16">
        <f>IF(@Table1[[#This Row],[Delivery Date]]="","NA",@Table1[[#This Row],[Delivery Date]]+30)</f>
        <v>45806.0</v>
      </c>
      <c r="J206" s="35" t="s">
        <f t="shared" si="5"/>
        <v>28</v>
      </c>
      <c r="K206" s="87">
        <v>16334.5</v>
      </c>
      <c r="L206" s="89"/>
      <c r="M206" s="89"/>
      <c r="N206" s="89"/>
    </row>
    <row r="207" ht="14.0">
      <c r="A207" s="32" t="s">
        <v>570</v>
      </c>
      <c r="B207" s="64" t="s">
        <v>571</v>
      </c>
      <c r="C207" s="22" t="s">
        <v>247</v>
      </c>
      <c r="D207" s="33">
        <v>212.0</v>
      </c>
      <c r="E207" s="34">
        <v>45790</v>
      </c>
      <c r="F207" s="88" t="s">
        <v>565</v>
      </c>
      <c r="G207" s="90">
        <v>2.67984412E8</v>
      </c>
      <c r="H207" s="64" t="s">
        <v>572</v>
      </c>
      <c r="I207" s="16">
        <f>IF(@Table1[[#This Row],[Delivery Date]]="","NA",@Table1[[#This Row],[Delivery Date]]+30)</f>
        <v>45820.0</v>
      </c>
      <c r="J207" s="35" t="s">
        <f t="shared" si="5"/>
        <v>28</v>
      </c>
      <c r="K207" s="87">
        <v>14124.5</v>
      </c>
      <c r="L207" s="89"/>
      <c r="M207" s="89"/>
      <c r="N207" s="89"/>
    </row>
    <row r="208" ht="14.0">
      <c r="A208" s="32" t="s">
        <v>573</v>
      </c>
      <c r="B208" s="64" t="s">
        <v>574</v>
      </c>
      <c r="C208" s="22" t="s">
        <v>151</v>
      </c>
      <c r="D208" s="33">
        <v>315.0</v>
      </c>
      <c r="E208" s="34">
        <v>45783.0</v>
      </c>
      <c r="F208" s="88" t="s">
        <v>565</v>
      </c>
      <c r="G208" s="90">
        <v>2.67984344E8</v>
      </c>
      <c r="H208" s="64" t="s">
        <v>575</v>
      </c>
      <c r="I208" s="16">
        <f>IF(@Table1[[#This Row],[Delivery Date]]="","NA",@Table1[[#This Row],[Delivery Date]]+30)</f>
        <v>45813.0</v>
      </c>
      <c r="J208" s="35" t="s">
        <f t="shared" si="5"/>
        <v>28</v>
      </c>
      <c r="K208" s="87">
        <v>17959.0</v>
      </c>
      <c r="L208" s="89"/>
      <c r="M208" s="89"/>
      <c r="N208" s="89"/>
    </row>
    <row r="209" ht="14.0">
      <c r="A209" s="32" t="s">
        <v>576</v>
      </c>
      <c r="B209" s="64" t="s">
        <v>577</v>
      </c>
      <c r="C209" s="22" t="s">
        <v>420</v>
      </c>
      <c r="D209" s="33">
        <v>565.0</v>
      </c>
      <c r="E209" s="34">
        <v>45783.0</v>
      </c>
      <c r="F209" s="88" t="s">
        <v>565</v>
      </c>
      <c r="G209" s="90">
        <v>2.67984345E8</v>
      </c>
      <c r="H209" s="64" t="s">
        <v>578</v>
      </c>
      <c r="I209" s="16">
        <f>IF(@Table1[[#This Row],[Delivery Date]]="","NA",@Table1[[#This Row],[Delivery Date]]+30)</f>
        <v>45813.0</v>
      </c>
      <c r="J209" s="35" t="s">
        <f t="shared" si="5"/>
        <v>28</v>
      </c>
      <c r="K209" s="87">
        <v>38004.0</v>
      </c>
      <c r="L209" s="89"/>
      <c r="M209" s="89"/>
      <c r="N209" s="89"/>
    </row>
    <row r="210" ht="14.0">
      <c r="A210" s="32" t="s">
        <v>579</v>
      </c>
      <c r="B210" s="64" t="s">
        <v>580</v>
      </c>
      <c r="C210" s="22" t="s">
        <v>58</v>
      </c>
      <c r="D210" s="33">
        <v>416.0</v>
      </c>
      <c r="E210" s="34">
        <v>45783.0</v>
      </c>
      <c r="F210" s="88" t="s">
        <v>565</v>
      </c>
      <c r="G210" s="90">
        <v>2.67984346E8</v>
      </c>
      <c r="H210" s="64" t="s">
        <v>581</v>
      </c>
      <c r="I210" s="16">
        <f>IF(@Table1[[#This Row],[Delivery Date]]="","NA",@Table1[[#This Row],[Delivery Date]]+30)</f>
        <v>45813.0</v>
      </c>
      <c r="J210" s="35" t="s">
        <f t="shared" si="5"/>
        <v>28</v>
      </c>
      <c r="K210" s="87">
        <v>31596.0</v>
      </c>
      <c r="L210" s="89"/>
      <c r="M210" s="89"/>
      <c r="N210" s="89"/>
    </row>
    <row r="211" ht="14.0">
      <c r="A211" s="32" t="s">
        <v>582</v>
      </c>
      <c r="B211" s="64" t="s">
        <v>583</v>
      </c>
      <c r="C211" s="22" t="s">
        <v>33</v>
      </c>
      <c r="D211" s="33">
        <v>259.0</v>
      </c>
      <c r="E211" s="34">
        <v>45789.0</v>
      </c>
      <c r="F211" s="88" t="s">
        <v>565</v>
      </c>
      <c r="G211" s="90">
        <v>2.67984413E8</v>
      </c>
      <c r="H211" s="64" t="s">
        <v>584</v>
      </c>
      <c r="I211" s="16">
        <f>IF(@Table1[[#This Row],[Delivery Date]]="","NA",@Table1[[#This Row],[Delivery Date]]+30)</f>
        <v>45819.0</v>
      </c>
      <c r="J211" s="35" t="s">
        <f t="shared" si="5"/>
        <v>28</v>
      </c>
      <c r="K211" s="87">
        <v>17088.0</v>
      </c>
      <c r="L211" s="89"/>
      <c r="M211" s="89"/>
      <c r="N211" s="89"/>
    </row>
    <row r="212" ht="14.0">
      <c r="A212" s="32" t="s">
        <v>585</v>
      </c>
      <c r="B212" s="64" t="s">
        <v>586</v>
      </c>
      <c r="C212" s="22" t="s">
        <v>23</v>
      </c>
      <c r="D212" s="33">
        <v>216.0</v>
      </c>
      <c r="E212" s="34">
        <v>45782.0</v>
      </c>
      <c r="F212" s="88" t="s">
        <v>565</v>
      </c>
      <c r="G212" s="90">
        <v>2.67984347E8</v>
      </c>
      <c r="H212" s="64" t="s">
        <v>587</v>
      </c>
      <c r="I212" s="16">
        <f>IF(@Table1[[#This Row],[Delivery Date]]="","NA",@Table1[[#This Row],[Delivery Date]]+30)</f>
        <v>45812.0</v>
      </c>
      <c r="J212" s="35" t="s">
        <f t="shared" si="5"/>
        <v>28</v>
      </c>
      <c r="K212" s="87">
        <v>14391.0</v>
      </c>
      <c r="L212" s="89"/>
      <c r="M212" s="89"/>
      <c r="N212" s="89"/>
    </row>
    <row r="213" ht="14.0">
      <c r="A213" s="32" t="s">
        <v>588</v>
      </c>
      <c r="B213" s="64" t="s">
        <v>589</v>
      </c>
      <c r="C213" s="22" t="s">
        <v>147</v>
      </c>
      <c r="D213" s="33">
        <v>269.0</v>
      </c>
      <c r="E213" s="34">
        <v>45789.0</v>
      </c>
      <c r="F213" s="88" t="s">
        <v>565</v>
      </c>
      <c r="G213" s="90">
        <v>2.67984414E8</v>
      </c>
      <c r="H213" s="64" t="s">
        <v>590</v>
      </c>
      <c r="I213" s="16">
        <f>IF(@Table1[[#This Row],[Delivery Date]]="","NA",@Table1[[#This Row],[Delivery Date]]+30)</f>
        <v>45819.0</v>
      </c>
      <c r="J213" s="35" t="s">
        <f t="shared" si="5"/>
        <v>28</v>
      </c>
      <c r="K213" s="87">
        <v>15496.0</v>
      </c>
      <c r="L213" s="89"/>
      <c r="M213" s="89"/>
      <c r="N213" s="89"/>
    </row>
    <row r="214" ht="14.0">
      <c r="A214" s="32" t="s">
        <v>591</v>
      </c>
      <c r="B214" s="64" t="s">
        <v>592</v>
      </c>
      <c r="C214" s="22" t="s">
        <v>593</v>
      </c>
      <c r="D214" s="33">
        <v>626.0</v>
      </c>
      <c r="E214" s="34">
        <v>45782.0</v>
      </c>
      <c r="F214" s="88" t="s">
        <v>565</v>
      </c>
      <c r="G214" s="90">
        <v>2.67984348E8</v>
      </c>
      <c r="H214" s="64" t="s">
        <v>594</v>
      </c>
      <c r="I214" s="16">
        <f>IF(@Table1[[#This Row],[Delivery Date]]="","NA",@Table1[[#This Row],[Delivery Date]]+30)</f>
        <v>45812.0</v>
      </c>
      <c r="J214" s="35" t="s">
        <f t="shared" si="5"/>
        <v>28</v>
      </c>
      <c r="K214" s="87">
        <v>43318.0</v>
      </c>
      <c r="L214" s="89"/>
      <c r="M214" s="89"/>
      <c r="N214" s="89"/>
    </row>
    <row r="215" ht="14.0">
      <c r="A215" s="32" t="s">
        <v>595</v>
      </c>
      <c r="B215" s="64" t="s">
        <v>596</v>
      </c>
      <c r="C215" s="22" t="s">
        <v>478</v>
      </c>
      <c r="D215" s="33">
        <v>216.0</v>
      </c>
      <c r="E215" s="34">
        <v>45783.0</v>
      </c>
      <c r="F215" s="88" t="s">
        <v>565</v>
      </c>
      <c r="G215" s="90">
        <v>2.67984349E8</v>
      </c>
      <c r="H215" s="64" t="s">
        <v>597</v>
      </c>
      <c r="I215" s="16">
        <f>IF(@Table1[[#This Row],[Delivery Date]]="","NA",@Table1[[#This Row],[Delivery Date]]+30)</f>
        <v>45813.0</v>
      </c>
      <c r="J215" s="35" t="s">
        <f t="shared" si="5"/>
        <v>28</v>
      </c>
      <c r="K215" s="87">
        <v>16535.0</v>
      </c>
      <c r="L215" s="89"/>
      <c r="M215" s="89"/>
      <c r="N215" s="89"/>
    </row>
    <row r="216" ht="14.0">
      <c r="A216" s="32" t="s">
        <v>598</v>
      </c>
      <c r="B216" s="64" t="s">
        <v>599</v>
      </c>
      <c r="C216" s="22" t="s">
        <v>26</v>
      </c>
      <c r="D216" s="33">
        <v>366.0</v>
      </c>
      <c r="E216" s="34">
        <v>45792</v>
      </c>
      <c r="F216" s="88" t="s">
        <v>565</v>
      </c>
      <c r="G216" s="90">
        <v>2.67984415E8</v>
      </c>
      <c r="H216" s="64" t="s">
        <v>600</v>
      </c>
      <c r="I216" s="16">
        <f>IF(@Table1[[#This Row],[Delivery Date]]="","NA",@Table1[[#This Row],[Delivery Date]]+30)</f>
        <v>45822.0</v>
      </c>
      <c r="J216" s="35" t="s">
        <f t="shared" si="5"/>
        <v>28</v>
      </c>
      <c r="K216" s="87">
        <v>24628.0</v>
      </c>
      <c r="L216" s="89"/>
      <c r="M216" s="89"/>
      <c r="N216" s="89"/>
    </row>
    <row r="217" ht="14.0">
      <c r="A217" s="32" t="s">
        <v>601</v>
      </c>
      <c r="B217" s="64" t="s">
        <v>602</v>
      </c>
      <c r="C217" s="22" t="s">
        <v>593</v>
      </c>
      <c r="D217" s="33">
        <v>228.0</v>
      </c>
      <c r="E217" s="34">
        <v>45790</v>
      </c>
      <c r="F217" s="88" t="s">
        <v>565</v>
      </c>
      <c r="G217" s="90">
        <v>2.67984461E8</v>
      </c>
      <c r="H217" s="64" t="s">
        <v>603</v>
      </c>
      <c r="I217" s="16">
        <f>IF(@Table1[[#This Row],[Delivery Date]]="","NA",@Table1[[#This Row],[Delivery Date]]+30)</f>
        <v>45820.0</v>
      </c>
      <c r="J217" s="35" t="s">
        <f t="shared" si="5"/>
        <v>28</v>
      </c>
      <c r="K217" s="87">
        <v>11739.0</v>
      </c>
      <c r="L217" s="89"/>
      <c r="M217" s="89"/>
      <c r="N217" s="89"/>
    </row>
    <row r="218" ht="14.0">
      <c r="A218" s="32" t="s">
        <v>604</v>
      </c>
      <c r="B218" s="64" t="s">
        <v>605</v>
      </c>
      <c r="C218" s="22" t="s">
        <v>247</v>
      </c>
      <c r="D218" s="33">
        <v>227.0</v>
      </c>
      <c r="E218" s="34">
        <v>45790</v>
      </c>
      <c r="F218" s="88" t="s">
        <v>565</v>
      </c>
      <c r="G218" s="90">
        <v>2.67984437E8</v>
      </c>
      <c r="H218" s="64" t="s">
        <v>606</v>
      </c>
      <c r="I218" s="16">
        <f>IF(@Table1[[#This Row],[Delivery Date]]="","NA",@Table1[[#This Row],[Delivery Date]]+30)</f>
        <v>45820.0</v>
      </c>
      <c r="J218" s="35" t="s">
        <f t="shared" si="5"/>
        <v>28</v>
      </c>
      <c r="K218" s="87">
        <v>11765.0</v>
      </c>
      <c r="L218" s="89"/>
      <c r="M218" s="89"/>
      <c r="N218" s="89"/>
    </row>
    <row r="219" ht="14.0">
      <c r="A219" s="32" t="s">
        <v>607</v>
      </c>
      <c r="B219" s="64" t="s">
        <v>608</v>
      </c>
      <c r="C219" s="22" t="s">
        <v>58</v>
      </c>
      <c r="D219" s="33">
        <v>189.0</v>
      </c>
      <c r="E219" s="66">
        <v>45796</v>
      </c>
      <c r="F219" s="88" t="s">
        <v>565</v>
      </c>
      <c r="G219" s="91">
        <v>2.67984439E8</v>
      </c>
      <c r="H219" s="64" t="s">
        <v>609</v>
      </c>
      <c r="I219" s="16">
        <f>IF(@Table1[[#This Row],[Delivery Date]]="","NA",@Table1[[#This Row],[Delivery Date]]+30)</f>
        <v>45826.0</v>
      </c>
      <c r="J219" s="35" t="s">
        <f t="shared" si="5"/>
        <v>28</v>
      </c>
      <c r="K219" s="87">
        <v>15970.5</v>
      </c>
      <c r="L219" s="89"/>
      <c r="M219" s="89"/>
      <c r="N219" s="89"/>
    </row>
    <row r="220" ht="14.0">
      <c r="A220" s="32" t="s">
        <v>610</v>
      </c>
      <c r="B220" s="64" t="s">
        <v>611</v>
      </c>
      <c r="C220" s="22" t="s">
        <v>593</v>
      </c>
      <c r="D220" s="33">
        <v>443.0</v>
      </c>
      <c r="E220" s="66">
        <v>45797</v>
      </c>
      <c r="F220" s="88" t="s">
        <v>565</v>
      </c>
      <c r="G220" s="91">
        <v>2.77665612E8</v>
      </c>
      <c r="H220" s="64" t="s">
        <v>612</v>
      </c>
      <c r="I220" s="16">
        <f>IF(@Table1[[#This Row],[Delivery Date]]="","NA",@Table1[[#This Row],[Delivery Date]]+30)</f>
        <v>45827.0</v>
      </c>
      <c r="J220" s="35" t="s">
        <f t="shared" si="5"/>
        <v>28</v>
      </c>
      <c r="K220" s="87">
        <v>24596.0</v>
      </c>
      <c r="L220" s="89"/>
      <c r="M220" s="89"/>
      <c r="N220" s="89"/>
    </row>
    <row r="221" ht="14.0">
      <c r="A221" s="32" t="s">
        <v>613</v>
      </c>
      <c r="B221" s="64" t="s">
        <v>614</v>
      </c>
      <c r="C221" s="22" t="s">
        <v>26</v>
      </c>
      <c r="D221" s="33">
        <v>254.0</v>
      </c>
      <c r="E221" s="34">
        <v>45809</v>
      </c>
      <c r="F221" s="88" t="s">
        <v>565</v>
      </c>
      <c r="G221" s="91">
        <v>2.77665613E8</v>
      </c>
      <c r="H221" s="64" t="s">
        <v>615</v>
      </c>
      <c r="I221" s="16">
        <f>IF(@Table1[[#This Row],[Delivery Date]]="","NA",@Table1[[#This Row],[Delivery Date]]+30)</f>
        <v>45839.0</v>
      </c>
      <c r="J221" s="35" t="s">
        <f t="shared" si="5"/>
        <v>28</v>
      </c>
      <c r="K221" s="87">
        <v>15587.0</v>
      </c>
      <c r="L221" s="89"/>
      <c r="M221" s="89"/>
      <c r="N221" s="89"/>
    </row>
    <row r="222" ht="14.0">
      <c r="A222" s="32" t="s">
        <v>616</v>
      </c>
      <c r="B222" s="64" t="s">
        <v>617</v>
      </c>
      <c r="C222" s="22" t="s">
        <v>593</v>
      </c>
      <c r="D222" s="33">
        <v>190.0</v>
      </c>
      <c r="E222" s="66">
        <v>45800</v>
      </c>
      <c r="F222" s="88" t="s">
        <v>565</v>
      </c>
      <c r="G222" s="91">
        <v>2.77665635E8</v>
      </c>
      <c r="H222" s="64" t="s">
        <v>618</v>
      </c>
      <c r="I222" s="16">
        <f>IF(@Table1[[#This Row],[Delivery Date]]="","NA",@Table1[[#This Row],[Delivery Date]]+30)</f>
        <v>45830.0</v>
      </c>
      <c r="J222" s="35" t="s">
        <f t="shared" si="5"/>
        <v>28</v>
      </c>
      <c r="K222" s="87">
        <v>11830.0</v>
      </c>
      <c r="L222" s="89"/>
      <c r="M222" s="89"/>
      <c r="N222" s="89"/>
    </row>
    <row r="223" ht="14.0">
      <c r="A223" s="32" t="s">
        <v>619</v>
      </c>
      <c r="B223" s="64" t="s">
        <v>620</v>
      </c>
      <c r="C223" s="22" t="s">
        <v>420</v>
      </c>
      <c r="D223" s="33">
        <v>842.0</v>
      </c>
      <c r="E223" s="66">
        <v>45800</v>
      </c>
      <c r="F223" s="88" t="s">
        <v>565</v>
      </c>
      <c r="G223" s="91">
        <v>2.77665642E8</v>
      </c>
      <c r="H223" s="64" t="s">
        <v>621</v>
      </c>
      <c r="I223" s="16">
        <f>IF(@Table1[[#This Row],[Delivery Date]]="","NA",@Table1[[#This Row],[Delivery Date]]+30)</f>
        <v>45830.0</v>
      </c>
      <c r="J223" s="35" t="s">
        <f t="shared" si="5"/>
        <v>28</v>
      </c>
      <c r="K223" s="87">
        <v>54157.0</v>
      </c>
      <c r="L223" s="89"/>
      <c r="M223" s="89"/>
      <c r="N223" s="89"/>
    </row>
    <row r="224" ht="14.0">
      <c r="A224" s="32" t="s">
        <v>622</v>
      </c>
      <c r="B224" s="64" t="s">
        <v>623</v>
      </c>
      <c r="C224" s="22" t="s">
        <v>420</v>
      </c>
      <c r="D224" s="33">
        <v>117.0</v>
      </c>
      <c r="E224" s="66">
        <v>45800</v>
      </c>
      <c r="F224" s="88" t="s">
        <v>565</v>
      </c>
      <c r="G224" s="91">
        <v>2.77665642E8</v>
      </c>
      <c r="H224" s="64" t="s">
        <v>624</v>
      </c>
      <c r="I224" s="16">
        <f>IF(@Table1[[#This Row],[Delivery Date]]="","NA",@Table1[[#This Row],[Delivery Date]]+30)</f>
        <v>45830.0</v>
      </c>
      <c r="J224" s="35" t="s">
        <f t="shared" si="5"/>
        <v>28</v>
      </c>
      <c r="K224" s="87">
        <v>9887.0</v>
      </c>
      <c r="L224" s="89"/>
      <c r="M224" s="89"/>
      <c r="N224" s="89"/>
    </row>
    <row r="225" ht="14.0">
      <c r="A225" s="32" t="s">
        <v>625</v>
      </c>
      <c r="B225" s="64" t="s">
        <v>626</v>
      </c>
      <c r="C225" s="22" t="s">
        <v>58</v>
      </c>
      <c r="D225" s="33">
        <v>719.0</v>
      </c>
      <c r="E225" s="92">
        <v>45801</v>
      </c>
      <c r="F225" s="88" t="s">
        <v>565</v>
      </c>
      <c r="G225" s="91">
        <v>2.77665636E8</v>
      </c>
      <c r="H225" s="64" t="s">
        <v>627</v>
      </c>
      <c r="I225" s="16">
        <f>IF(@Table1[[#This Row],[Delivery Date]]="","NA",@Table1[[#This Row],[Delivery Date]]+30)</f>
        <v>45831.0</v>
      </c>
      <c r="J225" s="35" t="s">
        <f t="shared" si="5"/>
        <v>28</v>
      </c>
      <c r="K225" s="87">
        <v>49106.77</v>
      </c>
      <c r="L225" s="89"/>
      <c r="M225" s="89"/>
      <c r="N225" s="89"/>
    </row>
    <row r="226" ht="14.0">
      <c r="A226" s="32" t="s">
        <v>628</v>
      </c>
      <c r="B226" s="64" t="s">
        <v>629</v>
      </c>
      <c r="C226" s="22" t="s">
        <v>39</v>
      </c>
      <c r="D226" s="33">
        <v>765.0</v>
      </c>
      <c r="E226" s="66">
        <v>45799</v>
      </c>
      <c r="F226" s="88" t="s">
        <v>565</v>
      </c>
      <c r="G226" s="91">
        <v>2.77665637E8</v>
      </c>
      <c r="H226" s="64" t="s">
        <v>630</v>
      </c>
      <c r="I226" s="16">
        <f>IF(@Table1[[#This Row],[Delivery Date]]="","NA",@Table1[[#This Row],[Delivery Date]]+30)</f>
        <v>45829.0</v>
      </c>
      <c r="J226" s="35" t="s">
        <f t="shared" si="5"/>
        <v>28</v>
      </c>
      <c r="K226" s="87">
        <v>47502.0</v>
      </c>
      <c r="L226" s="89"/>
      <c r="M226" s="89"/>
      <c r="N226" s="89"/>
    </row>
    <row r="227" ht="14.0">
      <c r="A227" s="32" t="s">
        <v>631</v>
      </c>
      <c r="B227" s="64" t="s">
        <v>632</v>
      </c>
      <c r="C227" s="22" t="s">
        <v>151</v>
      </c>
      <c r="D227" s="33">
        <v>168.0</v>
      </c>
      <c r="E227" s="66">
        <v>45808</v>
      </c>
      <c r="F227" s="88" t="s">
        <v>565</v>
      </c>
      <c r="G227" s="91">
        <v>2.77665638E8</v>
      </c>
      <c r="H227" s="64" t="s">
        <v>633</v>
      </c>
      <c r="I227" s="16">
        <f>IF(@Table1[[#This Row],[Delivery Date]]="","NA",@Table1[[#This Row],[Delivery Date]]+30)</f>
        <v>45838.0</v>
      </c>
      <c r="J227" s="35" t="s">
        <f t="shared" si="5"/>
        <v>28</v>
      </c>
      <c r="K227" s="93">
        <v>9477.0</v>
      </c>
      <c r="L227" s="89"/>
      <c r="M227" s="89"/>
      <c r="N227" s="89"/>
    </row>
    <row r="228" ht="14.0">
      <c r="A228" s="32" t="s">
        <v>634</v>
      </c>
      <c r="B228" s="64" t="s">
        <v>635</v>
      </c>
      <c r="C228" s="22" t="s">
        <v>151</v>
      </c>
      <c r="D228" s="33">
        <v>105.0</v>
      </c>
      <c r="E228" s="66">
        <v>45808</v>
      </c>
      <c r="F228" s="88" t="s">
        <v>565</v>
      </c>
      <c r="G228" s="91">
        <v>2.77665638E8</v>
      </c>
      <c r="H228" s="64" t="s">
        <v>636</v>
      </c>
      <c r="I228" s="16">
        <f>IF(@Table1[[#This Row],[Delivery Date]]="","NA",@Table1[[#This Row],[Delivery Date]]+30)</f>
        <v>45838.0</v>
      </c>
      <c r="J228" s="35" t="s">
        <f t="shared" si="5"/>
        <v>28</v>
      </c>
      <c r="K228" s="87">
        <v>6084.0</v>
      </c>
      <c r="L228" s="89"/>
      <c r="M228" s="89"/>
      <c r="N228" s="89"/>
    </row>
    <row r="229" ht="14.0">
      <c r="A229" s="32" t="s">
        <v>637</v>
      </c>
      <c r="B229" s="64" t="s">
        <v>638</v>
      </c>
      <c r="C229" s="22" t="s">
        <v>144</v>
      </c>
      <c r="D229" s="33">
        <v>111.0</v>
      </c>
      <c r="E229" s="34">
        <v>45803</v>
      </c>
      <c r="F229" s="88" t="s">
        <v>565</v>
      </c>
      <c r="G229" s="91">
        <v>2.75765356E8</v>
      </c>
      <c r="H229" s="64" t="s">
        <v>639</v>
      </c>
      <c r="I229" s="16">
        <f>IF(@Table1[[#This Row],[Delivery Date]]="","NA",@Table1[[#This Row],[Delivery Date]]+30)</f>
        <v>45833.0</v>
      </c>
      <c r="J229" s="35" t="s">
        <f t="shared" si="5"/>
        <v>28</v>
      </c>
      <c r="K229" s="87">
        <v>6376.5</v>
      </c>
      <c r="L229" s="89"/>
      <c r="M229" s="89"/>
      <c r="N229" s="89"/>
    </row>
    <row r="230" ht="14.0">
      <c r="A230" s="32" t="s">
        <v>640</v>
      </c>
      <c r="B230" s="64" t="s">
        <v>641</v>
      </c>
      <c r="C230" s="22" t="s">
        <v>144</v>
      </c>
      <c r="D230" s="33">
        <v>89.0</v>
      </c>
      <c r="E230" s="34">
        <v>45803</v>
      </c>
      <c r="F230" s="88" t="s">
        <v>565</v>
      </c>
      <c r="G230" s="91">
        <v>2.75765356E8</v>
      </c>
      <c r="H230" s="64" t="s">
        <v>642</v>
      </c>
      <c r="I230" s="16">
        <f>IF(@Table1[[#This Row],[Delivery Date]]="","NA",@Table1[[#This Row],[Delivery Date]]+30)</f>
        <v>45833.0</v>
      </c>
      <c r="J230" s="35" t="s">
        <f t="shared" si="5"/>
        <v>28</v>
      </c>
      <c r="K230" s="87">
        <v>4338.5</v>
      </c>
      <c r="L230" s="89"/>
      <c r="M230" s="89"/>
      <c r="N230" s="89"/>
    </row>
    <row r="231" ht="14.0">
      <c r="A231" s="32" t="s">
        <v>643</v>
      </c>
      <c r="B231" s="64" t="s">
        <v>644</v>
      </c>
      <c r="C231" s="22" t="s">
        <v>39</v>
      </c>
      <c r="D231" s="33">
        <v>196.0</v>
      </c>
      <c r="E231" s="34">
        <v>45804</v>
      </c>
      <c r="F231" s="88" t="s">
        <v>565</v>
      </c>
      <c r="G231" s="91">
        <v>2.75765357E8</v>
      </c>
      <c r="H231" s="64" t="s">
        <v>645</v>
      </c>
      <c r="I231" s="16">
        <f>IF(@Table1[[#This Row],[Delivery Date]]="","NA",@Table1[[#This Row],[Delivery Date]]+30)</f>
        <v>45834.0</v>
      </c>
      <c r="J231" s="35" t="s">
        <f t="shared" si="5"/>
        <v>28</v>
      </c>
      <c r="K231" s="87">
        <v>11479.0</v>
      </c>
      <c r="L231" s="89"/>
      <c r="M231" s="89"/>
      <c r="N231" s="89"/>
    </row>
    <row r="232" ht="14.0">
      <c r="A232" s="32" t="s">
        <v>646</v>
      </c>
      <c r="B232" s="64" t="s">
        <v>647</v>
      </c>
      <c r="C232" s="22" t="s">
        <v>15</v>
      </c>
      <c r="D232" s="33">
        <v>194.0</v>
      </c>
      <c r="E232" s="34">
        <v>45798</v>
      </c>
      <c r="F232" s="88" t="s">
        <v>565</v>
      </c>
      <c r="G232" s="91">
        <v>2.75765358E8</v>
      </c>
      <c r="H232" s="64" t="s">
        <v>648</v>
      </c>
      <c r="I232" s="16">
        <f>IF(@Table1[[#This Row],[Delivery Date]]="","NA",@Table1[[#This Row],[Delivery Date]]+30)</f>
        <v>45828.0</v>
      </c>
      <c r="J232" s="35" t="s">
        <f t="shared" si="5"/>
        <v>28</v>
      </c>
      <c r="K232" s="87">
        <v>12408.2</v>
      </c>
      <c r="L232" s="89"/>
      <c r="M232" s="89"/>
      <c r="N232" s="89"/>
    </row>
    <row r="233" ht="14.0">
      <c r="A233" s="32" t="s">
        <v>649</v>
      </c>
      <c r="B233" s="64" t="s">
        <v>650</v>
      </c>
      <c r="C233" s="22" t="s">
        <v>58</v>
      </c>
      <c r="D233" s="33">
        <v>414.0</v>
      </c>
      <c r="E233" s="94">
        <v>45801</v>
      </c>
      <c r="F233" s="88" t="s">
        <v>565</v>
      </c>
      <c r="G233" s="91">
        <v>2.75765359E8</v>
      </c>
      <c r="H233" s="64" t="s">
        <v>651</v>
      </c>
      <c r="I233" s="16">
        <f>IF(@Table1[[#This Row],[Delivery Date]]="","NA",@Table1[[#This Row],[Delivery Date]]+30)</f>
        <v>45831.0</v>
      </c>
      <c r="J233" s="35" t="s">
        <f t="shared" si="5"/>
        <v>28</v>
      </c>
      <c r="K233" s="87">
        <v>27240.94</v>
      </c>
      <c r="L233" s="89"/>
      <c r="M233" s="89"/>
      <c r="N233" s="89"/>
    </row>
    <row r="234" ht="14.0">
      <c r="A234" s="32" t="s">
        <v>652</v>
      </c>
      <c r="B234" s="64" t="s">
        <v>653</v>
      </c>
      <c r="C234" s="22" t="s">
        <v>478</v>
      </c>
      <c r="D234" s="33">
        <v>152.0</v>
      </c>
      <c r="E234" s="34">
        <v>45800</v>
      </c>
      <c r="F234" s="88" t="s">
        <v>565</v>
      </c>
      <c r="G234" s="91">
        <v>2.7576536E8</v>
      </c>
      <c r="H234" s="64" t="s">
        <v>654</v>
      </c>
      <c r="I234" s="16">
        <f>IF(@Table1[[#This Row],[Delivery Date]]="","NA",@Table1[[#This Row],[Delivery Date]]+30)</f>
        <v>45830.0</v>
      </c>
      <c r="J234" s="35" t="s">
        <f t="shared" si="5"/>
        <v>28</v>
      </c>
      <c r="K234" s="87">
        <v>5720.0</v>
      </c>
      <c r="L234" s="89"/>
      <c r="M234" s="89"/>
      <c r="N234" s="89"/>
    </row>
    <row r="235" ht="14.0">
      <c r="A235" s="32" t="s">
        <v>655</v>
      </c>
      <c r="B235" s="64" t="s">
        <v>656</v>
      </c>
      <c r="C235" s="22" t="s">
        <v>23</v>
      </c>
      <c r="D235" s="33">
        <v>263.0</v>
      </c>
      <c r="E235" s="34">
        <v>45804</v>
      </c>
      <c r="F235" s="88" t="s">
        <v>565</v>
      </c>
      <c r="G235" s="91">
        <v>2.75765361E8</v>
      </c>
      <c r="H235" s="64" t="s">
        <v>657</v>
      </c>
      <c r="I235" s="16">
        <f>IF(@Table1[[#This Row],[Delivery Date]]="","NA",@Table1[[#This Row],[Delivery Date]]+30)</f>
        <v>45834.0</v>
      </c>
      <c r="J235" s="35" t="s">
        <f t="shared" si="5"/>
        <v>28</v>
      </c>
      <c r="K235" s="87">
        <v>15450.0</v>
      </c>
      <c r="L235" s="89"/>
      <c r="M235" s="89"/>
      <c r="N235" s="89"/>
    </row>
    <row r="236" ht="14.0">
      <c r="A236" s="32" t="s">
        <v>658</v>
      </c>
      <c r="B236" s="64" t="s">
        <v>659</v>
      </c>
      <c r="C236" s="22" t="s">
        <v>26</v>
      </c>
      <c r="D236" s="33">
        <v>141.0</v>
      </c>
      <c r="E236" s="34">
        <v>45809</v>
      </c>
      <c r="F236" s="88" t="s">
        <v>565</v>
      </c>
      <c r="G236" s="91">
        <v>2.75765362E8</v>
      </c>
      <c r="H236" s="64" t="s">
        <v>660</v>
      </c>
      <c r="I236" s="16">
        <f>IF(@Table1[[#This Row],[Delivery Date]]="","NA",@Table1[[#This Row],[Delivery Date]]+30)</f>
        <v>45839.0</v>
      </c>
      <c r="J236" s="35" t="s">
        <f t="shared" si="5"/>
        <v>28</v>
      </c>
      <c r="K236" s="87">
        <v>9379.5</v>
      </c>
      <c r="L236" s="89"/>
      <c r="M236" s="89"/>
      <c r="N236" s="89"/>
    </row>
    <row r="237" ht="14.0">
      <c r="A237" s="32" t="s">
        <v>661</v>
      </c>
      <c r="B237" s="64" t="s">
        <v>662</v>
      </c>
      <c r="C237" s="22" t="s">
        <v>33</v>
      </c>
      <c r="D237" s="33">
        <v>153.0</v>
      </c>
      <c r="E237" s="34">
        <v>45799</v>
      </c>
      <c r="F237" s="88" t="s">
        <v>565</v>
      </c>
      <c r="G237" s="91">
        <v>2.75765363E8</v>
      </c>
      <c r="H237" s="64" t="s">
        <v>663</v>
      </c>
      <c r="I237" s="16">
        <f>IF(@Table1[[#This Row],[Delivery Date]]="","NA",@Table1[[#This Row],[Delivery Date]]+30)</f>
        <v>45829.0</v>
      </c>
      <c r="J237" s="35" t="s">
        <f t="shared" si="5"/>
        <v>28</v>
      </c>
      <c r="K237" s="87">
        <v>9067.5</v>
      </c>
      <c r="L237" s="89"/>
      <c r="M237" s="89"/>
      <c r="N237" s="89"/>
    </row>
    <row r="238" ht="14.0">
      <c r="A238" s="32" t="s">
        <v>664</v>
      </c>
      <c r="B238" s="64" t="s">
        <v>665</v>
      </c>
      <c r="C238" s="22" t="s">
        <v>420</v>
      </c>
      <c r="D238" s="33">
        <v>264.0</v>
      </c>
      <c r="E238" s="34">
        <v>45799</v>
      </c>
      <c r="F238" s="88" t="s">
        <v>565</v>
      </c>
      <c r="G238" s="91">
        <v>2.75765364E8</v>
      </c>
      <c r="H238" s="64" t="s">
        <v>666</v>
      </c>
      <c r="I238" s="16">
        <f>IF(@Table1[[#This Row],[Delivery Date]]="","NA",@Table1[[#This Row],[Delivery Date]]+30)</f>
        <v>45829.0</v>
      </c>
      <c r="J238" s="35" t="s">
        <f t="shared" si="5"/>
        <v>28</v>
      </c>
      <c r="K238" s="87">
        <v>16445.0</v>
      </c>
      <c r="L238" s="89"/>
      <c r="M238" s="89"/>
      <c r="N238" s="89"/>
    </row>
    <row r="239" ht="14.0">
      <c r="A239" s="32" t="s">
        <v>667</v>
      </c>
      <c r="B239" s="64" t="s">
        <v>668</v>
      </c>
      <c r="C239" s="22" t="s">
        <v>30</v>
      </c>
      <c r="D239" s="33">
        <v>194.0</v>
      </c>
      <c r="E239" s="66">
        <v>45798</v>
      </c>
      <c r="F239" s="88" t="s">
        <v>565</v>
      </c>
      <c r="G239" s="91">
        <v>2.7576537E8</v>
      </c>
      <c r="H239" s="64" t="s">
        <v>669</v>
      </c>
      <c r="I239" s="16">
        <f>IF(@Table1[[#This Row],[Delivery Date]]="","NA",@Table1[[#This Row],[Delivery Date]]+30)</f>
        <v>45828.0</v>
      </c>
      <c r="J239" s="35" t="s">
        <f t="shared" si="5"/>
        <v>28</v>
      </c>
      <c r="K239" s="87">
        <v>10731.5</v>
      </c>
      <c r="L239" s="89"/>
      <c r="M239" s="89"/>
      <c r="N239" s="89"/>
    </row>
    <row r="240" ht="14.0">
      <c r="A240" s="32" t="s">
        <v>670</v>
      </c>
      <c r="B240" s="64" t="s">
        <v>671</v>
      </c>
      <c r="C240" s="22" t="s">
        <v>26</v>
      </c>
      <c r="D240" s="33">
        <v>369.0</v>
      </c>
      <c r="E240" s="34">
        <v>45809</v>
      </c>
      <c r="F240" s="88" t="s">
        <v>565</v>
      </c>
      <c r="G240" s="91">
        <v>2.75765408E8</v>
      </c>
      <c r="H240" s="64" t="s">
        <v>672</v>
      </c>
      <c r="I240" s="16">
        <f>IF(@Table1[[#This Row],[Delivery Date]]="","NA",@Table1[[#This Row],[Delivery Date]]+30)</f>
        <v>45839.0</v>
      </c>
      <c r="J240" s="35" t="s">
        <f t="shared" si="5"/>
        <v>28</v>
      </c>
      <c r="K240" s="87">
        <v>24102.0</v>
      </c>
      <c r="L240" s="89"/>
      <c r="M240" s="89"/>
      <c r="N240" s="89"/>
    </row>
    <row r="241" ht="14.0">
      <c r="A241" s="32" t="s">
        <v>673</v>
      </c>
      <c r="B241" s="64" t="s">
        <v>674</v>
      </c>
      <c r="C241" s="22" t="s">
        <v>23</v>
      </c>
      <c r="D241" s="33">
        <v>594.0</v>
      </c>
      <c r="E241" s="66">
        <v>45808</v>
      </c>
      <c r="F241" s="88" t="s">
        <v>565</v>
      </c>
      <c r="G241" s="91">
        <v>2.75765409E8</v>
      </c>
      <c r="H241" s="64" t="s">
        <v>675</v>
      </c>
      <c r="I241" s="16">
        <f>IF(@Table1[[#This Row],[Delivery Date]]="","NA",@Table1[[#This Row],[Delivery Date]]+30)</f>
        <v>45838.0</v>
      </c>
      <c r="J241" s="35" t="s">
        <f t="shared" si="5"/>
        <v>28</v>
      </c>
      <c r="K241" s="87">
        <v>38473.5</v>
      </c>
      <c r="L241" s="89"/>
      <c r="M241" s="89"/>
      <c r="N241" s="89"/>
    </row>
    <row r="242" ht="14.0">
      <c r="A242" s="32" t="s">
        <v>676</v>
      </c>
      <c r="B242" s="64" t="s">
        <v>677</v>
      </c>
      <c r="C242" s="22" t="s">
        <v>144</v>
      </c>
      <c r="D242" s="33">
        <v>300.0</v>
      </c>
      <c r="E242" s="66">
        <v>45808</v>
      </c>
      <c r="F242" s="88" t="s">
        <v>565</v>
      </c>
      <c r="G242" s="91">
        <v>2.7576541E8</v>
      </c>
      <c r="H242" s="64" t="s">
        <v>678</v>
      </c>
      <c r="I242" s="16">
        <f>IF(@Table1[[#This Row],[Delivery Date]]="","NA",@Table1[[#This Row],[Delivery Date]]+30)</f>
        <v>45838.0</v>
      </c>
      <c r="J242" s="35" t="s">
        <f t="shared" si="5"/>
        <v>28</v>
      </c>
      <c r="K242" s="87">
        <v>14625.0</v>
      </c>
      <c r="L242" s="89"/>
      <c r="M242" s="89"/>
      <c r="N242" s="89"/>
    </row>
    <row r="243" ht="14.0">
      <c r="A243" s="32" t="s">
        <v>679</v>
      </c>
      <c r="B243" s="64" t="s">
        <v>680</v>
      </c>
      <c r="C243" s="22" t="s">
        <v>58</v>
      </c>
      <c r="D243" s="33">
        <v>641.0</v>
      </c>
      <c r="E243" s="66">
        <v>45807</v>
      </c>
      <c r="F243" s="88" t="s">
        <v>565</v>
      </c>
      <c r="G243" s="91">
        <v>2.75765411E8</v>
      </c>
      <c r="H243" s="64" t="s">
        <v>681</v>
      </c>
      <c r="I243" s="16">
        <f>IF(@Table1[[#This Row],[Delivery Date]]="","NA",@Table1[[#This Row],[Delivery Date]]+30)</f>
        <v>45837.0</v>
      </c>
      <c r="J243" s="35" t="s">
        <f t="shared" si="5"/>
        <v>28</v>
      </c>
      <c r="K243" s="87">
        <v>37583.0</v>
      </c>
      <c r="L243" s="89"/>
      <c r="M243" s="89"/>
      <c r="N243" s="89"/>
    </row>
    <row r="244" ht="14.0">
      <c r="A244" s="32" t="s">
        <v>682</v>
      </c>
      <c r="B244" s="64" t="s">
        <v>683</v>
      </c>
      <c r="C244" s="22" t="s">
        <v>593</v>
      </c>
      <c r="D244" s="33">
        <v>206.0</v>
      </c>
      <c r="E244" s="66">
        <v>45808</v>
      </c>
      <c r="F244" s="88" t="s">
        <v>565</v>
      </c>
      <c r="G244" s="91">
        <v>2.75765412E8</v>
      </c>
      <c r="H244" s="64" t="s">
        <v>684</v>
      </c>
      <c r="I244" s="16">
        <f>IF(@Table1[[#This Row],[Delivery Date]]="","NA",@Table1[[#This Row],[Delivery Date]]+30)</f>
        <v>45838.0</v>
      </c>
      <c r="J244" s="35" t="s">
        <f t="shared" si="5"/>
        <v>28</v>
      </c>
      <c r="K244" s="87">
        <v>12486.5</v>
      </c>
      <c r="L244" s="89"/>
      <c r="M244" s="89"/>
      <c r="N244" s="89"/>
    </row>
    <row r="245" ht="14.0">
      <c r="A245" s="32" t="s">
        <v>685</v>
      </c>
      <c r="B245" s="64" t="s">
        <v>686</v>
      </c>
      <c r="C245" s="22" t="s">
        <v>478</v>
      </c>
      <c r="D245" s="33">
        <v>242.0</v>
      </c>
      <c r="E245" s="66">
        <v>45806</v>
      </c>
      <c r="F245" s="88" t="s">
        <v>565</v>
      </c>
      <c r="G245" s="91">
        <v>2.75765413E8</v>
      </c>
      <c r="H245" s="64" t="s">
        <v>687</v>
      </c>
      <c r="I245" s="16">
        <f>IF(@Table1[[#This Row],[Delivery Date]]="","NA",@Table1[[#This Row],[Delivery Date]]+30)</f>
        <v>45836.0</v>
      </c>
      <c r="J245" s="35" t="s">
        <f t="shared" si="5"/>
        <v>28</v>
      </c>
      <c r="K245" s="87">
        <v>11901.5</v>
      </c>
      <c r="L245" s="89"/>
      <c r="M245" s="89"/>
      <c r="N245" s="89"/>
    </row>
    <row r="246" ht="14.0">
      <c r="A246" s="32" t="s">
        <v>688</v>
      </c>
      <c r="B246" s="64" t="s">
        <v>689</v>
      </c>
      <c r="C246" s="22" t="s">
        <v>33</v>
      </c>
      <c r="D246" s="33">
        <v>174.0</v>
      </c>
      <c r="E246" s="66">
        <v>45805</v>
      </c>
      <c r="F246" s="88" t="s">
        <v>565</v>
      </c>
      <c r="G246" s="91">
        <v>2.75765414E8</v>
      </c>
      <c r="H246" s="64" t="s">
        <v>690</v>
      </c>
      <c r="I246" s="16">
        <f>IF(@Table1[[#This Row],[Delivery Date]]="","NA",@Table1[[#This Row],[Delivery Date]]+30)</f>
        <v>45835.0</v>
      </c>
      <c r="J246" s="35" t="s">
        <f t="shared" si="5"/>
        <v>28</v>
      </c>
      <c r="K246" s="87">
        <v>11700.0</v>
      </c>
      <c r="L246" s="89"/>
      <c r="M246" s="89"/>
      <c r="N246" s="89"/>
    </row>
    <row r="247" ht="14.0">
      <c r="A247" s="32" t="s">
        <v>691</v>
      </c>
      <c r="B247" s="64" t="s">
        <v>692</v>
      </c>
      <c r="C247" s="22" t="s">
        <v>247</v>
      </c>
      <c r="D247" s="33">
        <v>203.0</v>
      </c>
      <c r="E247" s="66">
        <v>45811</v>
      </c>
      <c r="F247" s="88" t="s">
        <v>565</v>
      </c>
      <c r="G247" s="91">
        <v>2.75765415E8</v>
      </c>
      <c r="H247" s="64" t="s">
        <v>693</v>
      </c>
      <c r="I247" s="16">
        <f>IF(@Table1[[#This Row],[Delivery Date]]="","NA",@Table1[[#This Row],[Delivery Date]]+30)</f>
        <v>45841.0</v>
      </c>
      <c r="J247" s="35" t="s">
        <f t="shared" si="5"/>
        <v>28</v>
      </c>
      <c r="K247" s="87">
        <v>12662.0</v>
      </c>
      <c r="L247" s="89"/>
      <c r="M247" s="89"/>
      <c r="N247" s="89"/>
    </row>
    <row r="248" ht="14.0">
      <c r="A248" s="32" t="s">
        <v>694</v>
      </c>
      <c r="B248" s="64" t="s">
        <v>695</v>
      </c>
      <c r="C248" s="22" t="s">
        <v>420</v>
      </c>
      <c r="D248" s="33">
        <v>576.0</v>
      </c>
      <c r="E248" s="66">
        <v>45805</v>
      </c>
      <c r="F248" s="88" t="s">
        <v>565</v>
      </c>
      <c r="G248" s="91">
        <v>2.75765416E8</v>
      </c>
      <c r="H248" s="64" t="s">
        <v>696</v>
      </c>
      <c r="I248" s="16">
        <f>IF(@Table1[[#This Row],[Delivery Date]]="","NA",@Table1[[#This Row],[Delivery Date]]+30)</f>
        <v>45835.0</v>
      </c>
      <c r="J248" s="35" t="s">
        <f t="shared" si="5"/>
        <v>28</v>
      </c>
      <c r="K248" s="87">
        <v>34910.0</v>
      </c>
      <c r="L248" s="89"/>
      <c r="M248" s="89"/>
      <c r="N248" s="89"/>
    </row>
    <row r="249" ht="14.0">
      <c r="A249" s="32" t="s">
        <v>697</v>
      </c>
      <c r="B249" s="64" t="s">
        <v>698</v>
      </c>
      <c r="C249" s="22" t="s">
        <v>30</v>
      </c>
      <c r="D249" s="33">
        <v>155.0</v>
      </c>
      <c r="E249" s="66">
        <v>45805</v>
      </c>
      <c r="F249" s="88" t="s">
        <v>565</v>
      </c>
      <c r="G249" s="91">
        <v>2.75765417E8</v>
      </c>
      <c r="H249" s="64" t="s">
        <v>699</v>
      </c>
      <c r="I249" s="16">
        <f>IF(@Table1[[#This Row],[Delivery Date]]="","NA",@Table1[[#This Row],[Delivery Date]]+30)</f>
        <v>45835.0</v>
      </c>
      <c r="J249" s="35" t="s">
        <f t="shared" si="5"/>
        <v>28</v>
      </c>
      <c r="K249" s="87">
        <v>11219.0</v>
      </c>
      <c r="L249" s="89"/>
      <c r="M249" s="89"/>
      <c r="N249" s="89"/>
    </row>
    <row r="250" customHeight="1" ht="14.0">
      <c r="A250" s="32" t="s">
        <v>700</v>
      </c>
      <c r="B250" s="64" t="s">
        <v>701</v>
      </c>
      <c r="C250" s="22" t="s">
        <v>420</v>
      </c>
      <c r="D250" s="33">
        <v>1225.0</v>
      </c>
      <c r="E250" s="66">
        <v>45812</v>
      </c>
      <c r="F250" s="88" t="s">
        <v>565</v>
      </c>
      <c r="G250" s="95">
        <v>2.75729504E8</v>
      </c>
      <c r="H250" s="64" t="s">
        <v>702</v>
      </c>
      <c r="I250" s="16">
        <f>IF(@Table1[[#This Row],[Delivery Date]]="","NA",@Table1[[#This Row],[Delivery Date]]+30)</f>
        <v>45842.0</v>
      </c>
      <c r="J250" s="35" t="s">
        <f t="shared" si="5"/>
        <v>28</v>
      </c>
      <c r="K250" s="87">
        <v>80175.0</v>
      </c>
      <c r="L250" s="89"/>
      <c r="M250" s="89"/>
      <c r="N250" s="89"/>
    </row>
    <row r="251" customHeight="1" ht="14.0">
      <c r="A251" s="32" t="s">
        <v>703</v>
      </c>
      <c r="B251" s="64" t="s">
        <v>704</v>
      </c>
      <c r="C251" s="22" t="s">
        <v>151</v>
      </c>
      <c r="D251" s="33">
        <v>72.0</v>
      </c>
      <c r="E251" s="66"/>
      <c r="F251" s="88" t="s">
        <v>565</v>
      </c>
      <c r="G251" s="95">
        <v>2.75729505E8</v>
      </c>
      <c r="H251" s="64" t="s">
        <v>705</v>
      </c>
      <c r="I251" s="16" t="s">
        <f>IF(@Table1[[#This Row],[Delivery Date]]="","NA",@Table1[[#This Row],[Delivery Date]]+30)</f>
        <v>706</v>
      </c>
      <c r="J251" s="35" t="s">
        <f t="shared" si="5"/>
        <v>707</v>
      </c>
      <c r="K251" s="87">
        <v>4153.5</v>
      </c>
      <c r="L251" s="89"/>
      <c r="M251" s="89"/>
      <c r="N251" s="89"/>
    </row>
    <row r="252" customHeight="1" ht="14.0">
      <c r="A252" s="32" t="s">
        <v>708</v>
      </c>
      <c r="B252" s="64" t="s">
        <v>709</v>
      </c>
      <c r="C252" s="22" t="s">
        <v>151</v>
      </c>
      <c r="D252" s="33">
        <v>240.0</v>
      </c>
      <c r="E252" s="66">
        <v>45813</v>
      </c>
      <c r="F252" s="88" t="s">
        <v>565</v>
      </c>
      <c r="G252" s="95">
        <v>2.75729506E8</v>
      </c>
      <c r="H252" s="64" t="s">
        <v>710</v>
      </c>
      <c r="I252" s="16">
        <f>IF(@Table1[[#This Row],[Delivery Date]]="","NA",@Table1[[#This Row],[Delivery Date]]+30)</f>
        <v>45843.0</v>
      </c>
      <c r="J252" s="35" t="s">
        <f t="shared" si="5"/>
        <v>28</v>
      </c>
      <c r="K252" s="87">
        <v>12987.0</v>
      </c>
      <c r="L252" s="89"/>
      <c r="M252" s="89"/>
      <c r="N252" s="89"/>
    </row>
    <row r="253" customHeight="1" ht="14.0">
      <c r="A253" s="32" t="s">
        <v>711</v>
      </c>
      <c r="B253" s="64" t="s">
        <v>712</v>
      </c>
      <c r="C253" s="22" t="s">
        <v>30</v>
      </c>
      <c r="D253" s="33">
        <v>228.0</v>
      </c>
      <c r="E253" s="66">
        <v>45812</v>
      </c>
      <c r="F253" s="88" t="s">
        <v>565</v>
      </c>
      <c r="G253" s="95">
        <v>2.75729516E8</v>
      </c>
      <c r="H253" s="64" t="s">
        <v>713</v>
      </c>
      <c r="I253" s="16">
        <f>IF(@Table1[[#This Row],[Delivery Date]]="","NA",@Table1[[#This Row],[Delivery Date]]+30)</f>
        <v>45842.0</v>
      </c>
      <c r="J253" s="35" t="s">
        <f t="shared" si="5"/>
        <v>28</v>
      </c>
      <c r="K253" s="87">
        <v>15093.0</v>
      </c>
      <c r="L253" s="89"/>
      <c r="M253" s="89"/>
      <c r="N253" s="89"/>
    </row>
    <row r="254" customHeight="1" ht="14.0">
      <c r="A254" s="32" t="s">
        <v>714</v>
      </c>
      <c r="B254" s="64" t="s">
        <v>715</v>
      </c>
      <c r="C254" s="22" t="s">
        <v>593</v>
      </c>
      <c r="D254" s="33">
        <v>510.0</v>
      </c>
      <c r="E254" s="66">
        <v>45812</v>
      </c>
      <c r="F254" s="88" t="s">
        <v>565</v>
      </c>
      <c r="G254" s="95">
        <v>2.75729508E8</v>
      </c>
      <c r="H254" s="64" t="s">
        <v>716</v>
      </c>
      <c r="I254" s="16">
        <f>IF(@Table1[[#This Row],[Delivery Date]]="","NA",@Table1[[#This Row],[Delivery Date]]+30)</f>
        <v>45842.0</v>
      </c>
      <c r="J254" s="35" t="s">
        <f t="shared" si="5"/>
        <v>28</v>
      </c>
      <c r="K254" s="87">
        <v>30381.0</v>
      </c>
      <c r="L254" s="89"/>
      <c r="M254" s="89"/>
      <c r="N254" s="89"/>
    </row>
    <row r="255" customHeight="1" ht="14.0">
      <c r="A255" s="32" t="s">
        <v>717</v>
      </c>
      <c r="B255" s="64" t="s">
        <v>718</v>
      </c>
      <c r="C255" s="22" t="s">
        <v>247</v>
      </c>
      <c r="D255" s="33">
        <v>230.0</v>
      </c>
      <c r="E255" s="66">
        <v>45812</v>
      </c>
      <c r="F255" s="88" t="s">
        <v>565</v>
      </c>
      <c r="G255" s="95">
        <v>2.75729517E8</v>
      </c>
      <c r="H255" s="64" t="s">
        <v>719</v>
      </c>
      <c r="I255" s="16">
        <f>IF(@Table1[[#This Row],[Delivery Date]]="","NA",@Table1[[#This Row],[Delivery Date]]+30)</f>
        <v>45842.0</v>
      </c>
      <c r="J255" s="35" t="s">
        <f t="shared" si="5"/>
        <v>28</v>
      </c>
      <c r="K255" s="87">
        <v>11589.0</v>
      </c>
      <c r="L255" s="89"/>
      <c r="M255" s="89"/>
      <c r="N255" s="89"/>
    </row>
    <row r="256" customHeight="1" ht="14.0">
      <c r="A256" s="32" t="s">
        <v>720</v>
      </c>
      <c r="B256" s="64" t="s">
        <v>721</v>
      </c>
      <c r="C256" s="22" t="s">
        <v>23</v>
      </c>
      <c r="D256" s="33">
        <v>240.0</v>
      </c>
      <c r="E256" s="66">
        <v>45812</v>
      </c>
      <c r="F256" s="88" t="s">
        <v>565</v>
      </c>
      <c r="G256" s="96">
        <v>2.75729509E8</v>
      </c>
      <c r="H256" s="64" t="s">
        <v>722</v>
      </c>
      <c r="I256" s="16">
        <f>IF(@Table1[[#This Row],[Delivery Date]]="","NA",@Table1[[#This Row],[Delivery Date]]+30)</f>
        <v>45842.0</v>
      </c>
      <c r="J256" s="35" t="s">
        <f t="shared" si="5"/>
        <v>28</v>
      </c>
      <c r="K256" s="87">
        <v>11700.0</v>
      </c>
      <c r="L256" s="89"/>
      <c r="M256" s="89"/>
      <c r="N256" s="89"/>
    </row>
    <row r="257" customHeight="1" ht="14.0">
      <c r="A257" s="32" t="s">
        <v>723</v>
      </c>
      <c r="B257" s="64" t="s">
        <v>724</v>
      </c>
      <c r="C257" s="22" t="s">
        <v>147</v>
      </c>
      <c r="D257" s="33">
        <v>216.0</v>
      </c>
      <c r="E257" s="66">
        <v>45812</v>
      </c>
      <c r="F257" s="88" t="s">
        <v>565</v>
      </c>
      <c r="G257" s="95">
        <v>2.7572951E8</v>
      </c>
      <c r="H257" s="64" t="s">
        <v>725</v>
      </c>
      <c r="I257" s="16">
        <f>IF(@Table1[[#This Row],[Delivery Date]]="","NA",@Table1[[#This Row],[Delivery Date]]+30)</f>
        <v>45842.0</v>
      </c>
      <c r="J257" s="35" t="s">
        <f t="shared" si="5"/>
        <v>28</v>
      </c>
      <c r="K257" s="87">
        <v>10530.0</v>
      </c>
      <c r="L257" s="89"/>
      <c r="M257" s="89"/>
      <c r="N257" s="89"/>
    </row>
    <row r="258" customHeight="1" ht="14.0">
      <c r="A258" s="32" t="s">
        <v>726</v>
      </c>
      <c r="B258" s="64" t="s">
        <v>727</v>
      </c>
      <c r="C258" s="22" t="s">
        <v>33</v>
      </c>
      <c r="D258" s="33">
        <v>234.0</v>
      </c>
      <c r="E258" s="66">
        <v>45812</v>
      </c>
      <c r="F258" s="88" t="s">
        <v>565</v>
      </c>
      <c r="G258" s="95">
        <v>2.75729511E8</v>
      </c>
      <c r="H258" s="64" t="s">
        <v>728</v>
      </c>
      <c r="I258" s="16">
        <f>IF(@Table1[[#This Row],[Delivery Date]]="","NA",@Table1[[#This Row],[Delivery Date]]+30)</f>
        <v>45842.0</v>
      </c>
      <c r="J258" s="35" t="s">
        <f t="shared" si="5"/>
        <v>28</v>
      </c>
      <c r="K258" s="87">
        <v>15268.5</v>
      </c>
      <c r="L258" s="89"/>
      <c r="M258" s="89"/>
      <c r="N258" s="89"/>
    </row>
    <row r="259" customHeight="1" ht="14.0">
      <c r="A259" s="32" t="s">
        <v>729</v>
      </c>
      <c r="B259" s="64" t="s">
        <v>730</v>
      </c>
      <c r="C259" s="22" t="s">
        <v>26</v>
      </c>
      <c r="D259" s="33">
        <v>537.0</v>
      </c>
      <c r="E259" s="66">
        <v>45817</v>
      </c>
      <c r="F259" s="88" t="s">
        <v>565</v>
      </c>
      <c r="G259" s="97">
        <v>2.67984498E8</v>
      </c>
      <c r="H259" s="64" t="s">
        <v>731</v>
      </c>
      <c r="I259" s="16">
        <f>IF(@Table1[[#This Row],[Delivery Date]]="","NA",@Table1[[#This Row],[Delivery Date]]+30)</f>
        <v>45847.0</v>
      </c>
      <c r="J259" s="35" t="s">
        <f t="shared" si="5"/>
        <v>28</v>
      </c>
      <c r="K259" s="87">
        <v>38512.5</v>
      </c>
      <c r="L259" s="89"/>
      <c r="M259" s="89"/>
      <c r="N259" s="89"/>
    </row>
    <row r="260" customHeight="1" ht="14.0">
      <c r="A260" s="32" t="s">
        <v>732</v>
      </c>
      <c r="B260" s="64" t="s">
        <v>733</v>
      </c>
      <c r="C260" s="22" t="s">
        <v>593</v>
      </c>
      <c r="D260" s="33">
        <v>560.0</v>
      </c>
      <c r="E260" s="34">
        <v>45820</v>
      </c>
      <c r="F260" s="88" t="s">
        <v>565</v>
      </c>
      <c r="G260" s="98">
        <v>2.67984499E8</v>
      </c>
      <c r="H260" s="64" t="s">
        <v>734</v>
      </c>
      <c r="I260" s="16">
        <f>IF(@Table1[[#This Row],[Delivery Date]]="","NA",@Table1[[#This Row],[Delivery Date]]+30)</f>
        <v>45850.0</v>
      </c>
      <c r="J260" s="35" t="s">
        <f t="shared" si="5"/>
        <v>28</v>
      </c>
      <c r="K260" s="87">
        <v>26487.5</v>
      </c>
      <c r="L260" s="89"/>
      <c r="M260" s="99"/>
      <c r="N260" s="89"/>
    </row>
    <row r="261" customHeight="1" ht="14.0">
      <c r="A261" s="32" t="s">
        <v>735</v>
      </c>
      <c r="B261" s="64" t="s">
        <v>736</v>
      </c>
      <c r="C261" s="22" t="s">
        <v>30</v>
      </c>
      <c r="D261" s="33">
        <v>241.0</v>
      </c>
      <c r="E261" s="66">
        <v>45815</v>
      </c>
      <c r="F261" s="88" t="s">
        <v>565</v>
      </c>
      <c r="G261" s="98">
        <v>2.679845E8</v>
      </c>
      <c r="H261" s="64" t="s">
        <v>737</v>
      </c>
      <c r="I261" s="16">
        <f>IF(@Table1[[#This Row],[Delivery Date]]="","NA",@Table1[[#This Row],[Delivery Date]]+30)</f>
        <v>45845.0</v>
      </c>
      <c r="J261" s="35" t="s">
        <f t="shared" si="5"/>
        <v>28</v>
      </c>
      <c r="K261" s="87">
        <v>12181.0</v>
      </c>
      <c r="L261" s="100" t="s">
        <v>738</v>
      </c>
      <c r="N261" s="101"/>
    </row>
    <row r="262" customHeight="1" ht="14.0">
      <c r="A262" s="32" t="s">
        <v>739</v>
      </c>
      <c r="B262" s="64" t="s">
        <v>740</v>
      </c>
      <c r="C262" s="22" t="s">
        <v>420</v>
      </c>
      <c r="D262" s="33">
        <v>252.0</v>
      </c>
      <c r="E262" s="66">
        <v>45817</v>
      </c>
      <c r="F262" s="88" t="s">
        <v>565</v>
      </c>
      <c r="G262" s="102">
        <v>2.75805201E8</v>
      </c>
      <c r="H262" s="64" t="s">
        <v>741</v>
      </c>
      <c r="I262" s="16">
        <f>IF(@Table1[[#This Row],[Delivery Date]]="","NA",@Table1[[#This Row],[Delivery Date]]+30)</f>
        <v>45847.0</v>
      </c>
      <c r="J262" s="35" t="s">
        <f t="shared" si="5"/>
        <v>28</v>
      </c>
      <c r="K262" s="87">
        <v>19188.0</v>
      </c>
      <c r="L262" s="89"/>
      <c r="M262" s="103"/>
      <c r="N262" s="89"/>
    </row>
    <row r="263" customHeight="1" ht="14.0">
      <c r="A263" s="32" t="s">
        <v>742</v>
      </c>
      <c r="B263" s="64" t="s">
        <v>743</v>
      </c>
      <c r="C263" s="22" t="s">
        <v>33</v>
      </c>
      <c r="D263" s="33">
        <v>198.0</v>
      </c>
      <c r="E263" s="66">
        <v>45821</v>
      </c>
      <c r="F263" s="104" t="s">
        <v>565</v>
      </c>
      <c r="G263" s="105">
        <v>2.75805262E8</v>
      </c>
      <c r="H263" s="64" t="s">
        <v>744</v>
      </c>
      <c r="I263" s="16">
        <f>IF(@Table1[[#This Row],[Delivery Date]]="","NA",@Table1[[#This Row],[Delivery Date]]+30)</f>
        <v>45851.0</v>
      </c>
      <c r="J263" s="35" t="s">
        <f t="shared" si="5"/>
        <v>28</v>
      </c>
      <c r="K263" s="87">
        <v>16731.0</v>
      </c>
      <c r="L263" s="89"/>
      <c r="M263" s="89"/>
      <c r="N263" s="89"/>
    </row>
    <row r="264" customHeight="1" ht="14.0">
      <c r="A264" s="32" t="s">
        <v>745</v>
      </c>
      <c r="B264" s="64" t="s">
        <v>746</v>
      </c>
      <c r="C264" s="22" t="s">
        <v>58</v>
      </c>
      <c r="D264" s="33">
        <v>171.0</v>
      </c>
      <c r="E264" s="66">
        <v>45817</v>
      </c>
      <c r="F264" s="88" t="s">
        <v>565</v>
      </c>
      <c r="G264" s="106">
        <v>2.75805202E8</v>
      </c>
      <c r="H264" s="64" t="s">
        <v>747</v>
      </c>
      <c r="I264" s="16">
        <f>IF(@Table1[[#This Row],[Delivery Date]]="","NA",@Table1[[#This Row],[Delivery Date]]+30)</f>
        <v>45847.0</v>
      </c>
      <c r="J264" s="35" t="s">
        <f t="shared" si="5"/>
        <v>28</v>
      </c>
      <c r="K264" s="87">
        <v>14449.5</v>
      </c>
      <c r="L264" s="89"/>
      <c r="M264" s="89"/>
      <c r="N264" s="89"/>
    </row>
    <row r="265" customHeight="1" ht="14.0">
      <c r="A265" s="32" t="s">
        <v>748</v>
      </c>
      <c r="B265" s="64" t="s">
        <v>749</v>
      </c>
      <c r="C265" s="22" t="s">
        <v>420</v>
      </c>
      <c r="D265" s="33">
        <v>492.0</v>
      </c>
      <c r="E265" s="34">
        <v>45820</v>
      </c>
      <c r="F265" s="88" t="s">
        <v>565</v>
      </c>
      <c r="G265" s="107">
        <v>2.75805235E8</v>
      </c>
      <c r="H265" s="64" t="s">
        <v>750</v>
      </c>
      <c r="I265" s="16">
        <f>IF(@Table1[[#This Row],[Delivery Date]]="","NA",@Table1[[#This Row],[Delivery Date]]+30)</f>
        <v>45850.0</v>
      </c>
      <c r="J265" s="35" t="s">
        <f t="shared" si="5"/>
        <v>28</v>
      </c>
      <c r="K265" s="87">
        <v>22449.0</v>
      </c>
      <c r="L265" s="89"/>
      <c r="M265" s="89"/>
      <c r="N265" s="89"/>
    </row>
    <row r="266" customHeight="1" ht="14.0">
      <c r="A266" s="32" t="s">
        <v>751</v>
      </c>
      <c r="B266" s="64" t="s">
        <v>752</v>
      </c>
      <c r="C266" s="22" t="s">
        <v>593</v>
      </c>
      <c r="D266" s="33">
        <v>171.0</v>
      </c>
      <c r="E266" s="34">
        <v>45824</v>
      </c>
      <c r="F266" s="88" t="s">
        <v>565</v>
      </c>
      <c r="G266" s="108">
        <v>2.75805236E8</v>
      </c>
      <c r="H266" s="64" t="s">
        <v>753</v>
      </c>
      <c r="I266" s="16">
        <f>IF(@Table1[[#This Row],[Delivery Date]]="","NA",@Table1[[#This Row],[Delivery Date]]+30)</f>
        <v>45854.0</v>
      </c>
      <c r="J266" s="35" t="s">
        <f t="shared" si="5"/>
        <v>28</v>
      </c>
      <c r="K266" s="87">
        <v>11875.5</v>
      </c>
      <c r="L266" s="89"/>
      <c r="M266" s="89"/>
      <c r="N266" s="89"/>
    </row>
    <row r="267" customHeight="1" ht="14.0">
      <c r="A267" s="32" t="s">
        <v>754</v>
      </c>
      <c r="B267" s="64" t="s">
        <v>755</v>
      </c>
      <c r="C267" s="22" t="s">
        <v>58</v>
      </c>
      <c r="D267" s="33">
        <v>316.0</v>
      </c>
      <c r="E267" s="34">
        <v>45824</v>
      </c>
      <c r="F267" s="88" t="s">
        <v>565</v>
      </c>
      <c r="G267" s="107">
        <v>2.75805237E8</v>
      </c>
      <c r="H267" s="64" t="s">
        <v>756</v>
      </c>
      <c r="I267" s="16">
        <f>IF(@Table1[[#This Row],[Delivery Date]]="","NA",@Table1[[#This Row],[Delivery Date]]+30)</f>
        <v>45854.0</v>
      </c>
      <c r="J267" s="35" t="s">
        <f t="shared" si="5"/>
        <v>28</v>
      </c>
      <c r="K267" s="87">
        <v>11635.0</v>
      </c>
      <c r="L267" s="89"/>
      <c r="M267" s="89"/>
      <c r="N267" s="89"/>
    </row>
    <row r="268" customHeight="1" ht="14.0">
      <c r="A268" s="32" t="s">
        <v>757</v>
      </c>
      <c r="B268" s="64" t="s">
        <v>758</v>
      </c>
      <c r="C268" s="22" t="s">
        <v>478</v>
      </c>
      <c r="D268" s="33">
        <v>310.0</v>
      </c>
      <c r="E268" s="34">
        <v>45820</v>
      </c>
      <c r="F268" s="88" t="s">
        <v>565</v>
      </c>
      <c r="G268" s="107">
        <v>2.75805238E8</v>
      </c>
      <c r="H268" s="64" t="s">
        <v>759</v>
      </c>
      <c r="I268" s="16">
        <f>IF(@Table1[[#This Row],[Delivery Date]]="","NA",@Table1[[#This Row],[Delivery Date]]+30)</f>
        <v>45850.0</v>
      </c>
      <c r="J268" s="35" t="s">
        <f t="shared" si="5"/>
        <v>28</v>
      </c>
      <c r="K268" s="87">
        <v>18986.0</v>
      </c>
      <c r="L268" s="89"/>
      <c r="M268" s="89"/>
      <c r="N268" s="89"/>
    </row>
    <row r="269" customHeight="1" ht="14.0">
      <c r="A269" s="32" t="s">
        <v>760</v>
      </c>
      <c r="B269" s="64" t="s">
        <v>761</v>
      </c>
      <c r="C269" s="22" t="s">
        <v>30</v>
      </c>
      <c r="D269" s="33">
        <v>595.0</v>
      </c>
      <c r="E269" s="34">
        <v>45824</v>
      </c>
      <c r="F269" s="88" t="s">
        <v>565</v>
      </c>
      <c r="G269" s="109">
        <v>2.75805052E8</v>
      </c>
      <c r="H269" s="64" t="s">
        <v>762</v>
      </c>
      <c r="I269" s="16">
        <f>IF(@Table1[[#This Row],[Delivery Date]]="","NA",@Table1[[#This Row],[Delivery Date]]+30)</f>
        <v>45854.0</v>
      </c>
      <c r="J269" s="35" t="s">
        <f t="shared" si="5"/>
        <v>28</v>
      </c>
      <c r="K269" s="87">
        <v>33923.5</v>
      </c>
      <c r="L269" s="89"/>
      <c r="M269" s="89"/>
      <c r="N269" s="89"/>
    </row>
    <row r="270" customHeight="1" ht="14.0">
      <c r="A270" s="32" t="s">
        <v>763</v>
      </c>
      <c r="B270" s="64" t="s">
        <v>764</v>
      </c>
      <c r="C270" s="22" t="s">
        <v>478</v>
      </c>
      <c r="D270" s="33">
        <v>780.0</v>
      </c>
      <c r="E270" s="34">
        <v>45827</v>
      </c>
      <c r="F270" s="88" t="s">
        <v>565</v>
      </c>
      <c r="G270" s="109">
        <v>2.75805056E8</v>
      </c>
      <c r="H270" s="64" t="s">
        <v>765</v>
      </c>
      <c r="I270" s="16">
        <f>IF(@Table1[[#This Row],[Delivery Date]]="","NA",@Table1[[#This Row],[Delivery Date]]+30)</f>
        <v>45857.0</v>
      </c>
      <c r="J270" s="35" t="s">
        <f t="shared" si="5"/>
        <v>28</v>
      </c>
      <c r="K270" s="87">
        <v>47502.0</v>
      </c>
      <c r="L270" s="89"/>
      <c r="M270" s="89"/>
      <c r="N270" s="89"/>
    </row>
    <row r="271" customHeight="1" ht="14.0">
      <c r="A271" s="32" t="s">
        <v>766</v>
      </c>
      <c r="B271" s="64" t="s">
        <v>767</v>
      </c>
      <c r="C271" s="22" t="s">
        <v>478</v>
      </c>
      <c r="D271" s="33">
        <v>126.0</v>
      </c>
      <c r="E271" s="34">
        <v>45827</v>
      </c>
      <c r="F271" s="88" t="s">
        <v>565</v>
      </c>
      <c r="G271" s="109">
        <v>2.75805056E8</v>
      </c>
      <c r="H271" s="64" t="s">
        <v>768</v>
      </c>
      <c r="I271" s="16">
        <f>IF(@Table1[[#This Row],[Delivery Date]]="","NA",@Table1[[#This Row],[Delivery Date]]+30)</f>
        <v>45857.0</v>
      </c>
      <c r="J271" s="35" t="s">
        <f t="shared" si="5"/>
        <v>28</v>
      </c>
      <c r="K271" s="87">
        <v>10647.0</v>
      </c>
      <c r="L271" s="89"/>
      <c r="M271" s="89"/>
      <c r="N271" s="89"/>
    </row>
    <row r="272" customHeight="1" ht="14.0">
      <c r="A272" s="32" t="s">
        <v>769</v>
      </c>
      <c r="B272" s="64" t="s">
        <v>770</v>
      </c>
      <c r="C272" s="22" t="s">
        <v>58</v>
      </c>
      <c r="D272" s="33">
        <v>1353.0</v>
      </c>
      <c r="E272" s="34">
        <v>45822</v>
      </c>
      <c r="F272" s="88" t="s">
        <v>565</v>
      </c>
      <c r="G272" s="109">
        <v>2.7580525E8</v>
      </c>
      <c r="H272" s="64" t="s">
        <v>771</v>
      </c>
      <c r="I272" s="16">
        <f>IF(@Table1[[#This Row],[Delivery Date]]="","NA",@Table1[[#This Row],[Delivery Date]]+30)</f>
        <v>45852.0</v>
      </c>
      <c r="J272" s="35" t="s">
        <f t="shared" si="5"/>
        <v>28</v>
      </c>
      <c r="K272" s="87">
        <v>93132.0</v>
      </c>
      <c r="L272" s="89"/>
      <c r="M272" s="89"/>
      <c r="N272" s="89"/>
    </row>
    <row r="273" customHeight="1" ht="14.0">
      <c r="A273" s="32" t="s">
        <v>772</v>
      </c>
      <c r="B273" s="64" t="s">
        <v>773</v>
      </c>
      <c r="C273" s="22" t="s">
        <v>247</v>
      </c>
      <c r="D273" s="33">
        <v>769.0</v>
      </c>
      <c r="E273" s="34">
        <v>45820</v>
      </c>
      <c r="F273" s="88" t="s">
        <v>565</v>
      </c>
      <c r="G273" s="109">
        <v>2.75805252E8</v>
      </c>
      <c r="H273" s="64" t="s">
        <v>774</v>
      </c>
      <c r="I273" s="16">
        <f>IF(@Table1[[#This Row],[Delivery Date]]="","NA",@Table1[[#This Row],[Delivery Date]]+30)</f>
        <v>45850.0</v>
      </c>
      <c r="J273" s="35" t="s">
        <f t="shared" si="5"/>
        <v>28</v>
      </c>
      <c r="K273" s="87">
        <v>46540.0</v>
      </c>
      <c r="L273" s="89"/>
      <c r="M273" s="89"/>
      <c r="N273" s="89"/>
    </row>
    <row r="274" customHeight="1" ht="14.0">
      <c r="A274" s="32" t="s">
        <v>775</v>
      </c>
      <c r="B274" s="64" t="s">
        <v>776</v>
      </c>
      <c r="C274" s="22" t="s">
        <v>147</v>
      </c>
      <c r="D274" s="33">
        <v>816.0</v>
      </c>
      <c r="E274" s="34">
        <v>45828</v>
      </c>
      <c r="F274" s="88" t="s">
        <v>565</v>
      </c>
      <c r="G274" s="109">
        <v>2.75805251E8</v>
      </c>
      <c r="H274" s="64" t="s">
        <v>777</v>
      </c>
      <c r="I274" s="16">
        <f>IF(@Table1[[#This Row],[Delivery Date]]="","NA",@Table1[[#This Row],[Delivery Date]]+30)</f>
        <v>45858.0</v>
      </c>
      <c r="J274" s="35" t="s">
        <f t="shared" si="5"/>
        <v>28</v>
      </c>
      <c r="K274" s="87">
        <v>47851.0</v>
      </c>
      <c r="L274" s="89"/>
      <c r="M274" s="89"/>
      <c r="N274" s="89"/>
    </row>
    <row r="275" customHeight="1" ht="14.0">
      <c r="A275" s="32" t="s">
        <v>778</v>
      </c>
      <c r="B275" s="64" t="s">
        <v>779</v>
      </c>
      <c r="C275" s="22" t="s">
        <v>147</v>
      </c>
      <c r="D275" s="33">
        <v>108.0</v>
      </c>
      <c r="E275" s="34">
        <v>45828</v>
      </c>
      <c r="F275" s="88" t="s">
        <v>565</v>
      </c>
      <c r="G275" s="109">
        <v>2.75805251E8</v>
      </c>
      <c r="H275" s="64" t="s">
        <v>780</v>
      </c>
      <c r="I275" s="16">
        <f>IF(@Table1[[#This Row],[Delivery Date]]="","NA",@Table1[[#This Row],[Delivery Date]]+30)</f>
        <v>45858.0</v>
      </c>
      <c r="J275" s="35" t="s">
        <f t="shared" si="5"/>
        <v>28</v>
      </c>
      <c r="K275" s="87">
        <v>5265.0</v>
      </c>
      <c r="L275" s="89"/>
      <c r="M275" s="89"/>
      <c r="N275" s="89"/>
    </row>
    <row r="276" customHeight="1" ht="14.0">
      <c r="A276" s="32" t="s">
        <v>781</v>
      </c>
      <c r="B276" s="64" t="s">
        <v>782</v>
      </c>
      <c r="C276" s="22" t="s">
        <v>783</v>
      </c>
      <c r="D276" s="33">
        <v>909.0</v>
      </c>
      <c r="E276" s="34">
        <v>45827</v>
      </c>
      <c r="F276" s="88" t="s">
        <v>565</v>
      </c>
      <c r="G276" s="109">
        <v>2.75805253E8</v>
      </c>
      <c r="H276" s="64" t="s">
        <v>784</v>
      </c>
      <c r="I276" s="16">
        <f>IF(@Table1[[#This Row],[Delivery Date]]="","NA",@Table1[[#This Row],[Delivery Date]]+30)</f>
        <v>45857.0</v>
      </c>
      <c r="J276" s="35" t="s">
        <f t="shared" si="5"/>
        <v>28</v>
      </c>
      <c r="K276" s="87">
        <v>53001.0</v>
      </c>
      <c r="L276" s="89"/>
      <c r="M276" s="89"/>
      <c r="N276" s="89"/>
    </row>
    <row r="277" customHeight="1" ht="14.0">
      <c r="A277" s="32" t="s">
        <v>785</v>
      </c>
      <c r="B277" s="64" t="s">
        <v>786</v>
      </c>
      <c r="C277" s="22" t="s">
        <v>144</v>
      </c>
      <c r="D277" s="33">
        <v>348.0</v>
      </c>
      <c r="E277" s="34">
        <v>45824</v>
      </c>
      <c r="F277" s="88" t="s">
        <v>565</v>
      </c>
      <c r="G277" s="109">
        <v>2.75805254E8</v>
      </c>
      <c r="H277" s="64" t="s">
        <v>787</v>
      </c>
      <c r="I277" s="16">
        <f>IF(@Table1[[#This Row],[Delivery Date]]="","NA",@Table1[[#This Row],[Delivery Date]]+30)</f>
        <v>45854.0</v>
      </c>
      <c r="J277" s="35" t="s">
        <f t="shared" si="5"/>
        <v>28</v>
      </c>
      <c r="K277" s="87">
        <v>18895.5</v>
      </c>
      <c r="L277" s="89"/>
      <c r="M277" s="89"/>
      <c r="N277" s="89"/>
    </row>
    <row r="278" customHeight="1" ht="14.0">
      <c r="A278" s="32" t="s">
        <v>788</v>
      </c>
      <c r="B278" s="64" t="s">
        <v>789</v>
      </c>
      <c r="C278" s="22" t="s">
        <v>33</v>
      </c>
      <c r="D278" s="33">
        <v>372.0</v>
      </c>
      <c r="E278" s="34">
        <v>45820</v>
      </c>
      <c r="F278" s="88" t="s">
        <v>565</v>
      </c>
      <c r="G278" s="109">
        <v>2.75805255E8</v>
      </c>
      <c r="H278" s="64" t="s">
        <v>790</v>
      </c>
      <c r="I278" s="16">
        <f>IF(@Table1[[#This Row],[Delivery Date]]="","NA",@Table1[[#This Row],[Delivery Date]]+30)</f>
        <v>45850.0</v>
      </c>
      <c r="J278" s="35" t="s">
        <f t="shared" si="5"/>
        <v>28</v>
      </c>
      <c r="K278" s="87">
        <v>18135.0</v>
      </c>
      <c r="L278" s="89"/>
      <c r="M278" s="89"/>
      <c r="N278" s="89"/>
    </row>
    <row r="279" customHeight="1" ht="14.0">
      <c r="A279" s="32" t="s">
        <v>791</v>
      </c>
      <c r="B279" s="64" t="s">
        <v>792</v>
      </c>
      <c r="C279" s="22" t="s">
        <v>420</v>
      </c>
      <c r="D279" s="33">
        <v>626.0</v>
      </c>
      <c r="E279" s="34">
        <v>45820</v>
      </c>
      <c r="F279" s="88" t="s">
        <v>565</v>
      </c>
      <c r="G279" s="109">
        <v>2.75805256E8</v>
      </c>
      <c r="H279" s="64" t="s">
        <v>793</v>
      </c>
      <c r="I279" s="16">
        <f>IF(@Table1[[#This Row],[Delivery Date]]="","NA",@Table1[[#This Row],[Delivery Date]]+30)</f>
        <v>45850.0</v>
      </c>
      <c r="J279" s="35" t="s">
        <f t="shared" si="5"/>
        <v>28</v>
      </c>
      <c r="K279" s="87">
        <v>32043.0</v>
      </c>
      <c r="L279" s="89"/>
      <c r="M279" s="89"/>
      <c r="N279" s="89"/>
    </row>
    <row r="280" customHeight="1" ht="14.0">
      <c r="A280" s="32" t="s">
        <v>794</v>
      </c>
      <c r="B280" s="64" t="s">
        <v>795</v>
      </c>
      <c r="C280" s="22" t="s">
        <v>796</v>
      </c>
      <c r="D280" s="33">
        <v>396.0</v>
      </c>
      <c r="E280" s="34">
        <v>45824</v>
      </c>
      <c r="F280" s="88" t="s">
        <v>565</v>
      </c>
      <c r="G280" s="109">
        <v>2.75805263E8</v>
      </c>
      <c r="H280" s="64" t="s">
        <v>797</v>
      </c>
      <c r="I280" s="16">
        <f>IF(@Table1[[#This Row],[Delivery Date]]="","NA",@Table1[[#This Row],[Delivery Date]]+30)</f>
        <v>45854.0</v>
      </c>
      <c r="J280" s="35" t="s">
        <f t="shared" si="5"/>
        <v>28</v>
      </c>
      <c r="K280" s="87">
        <v>23166.0</v>
      </c>
      <c r="L280" s="89"/>
      <c r="M280" s="89"/>
      <c r="N280" s="89"/>
    </row>
    <row r="281" customHeight="1" ht="14.0">
      <c r="A281" s="32" t="s">
        <v>798</v>
      </c>
      <c r="B281" s="64" t="s">
        <v>799</v>
      </c>
      <c r="C281" s="22" t="s">
        <v>26</v>
      </c>
      <c r="D281" s="33">
        <v>782.0</v>
      </c>
      <c r="E281" s="34">
        <v>45824</v>
      </c>
      <c r="F281" s="88" t="s">
        <v>565</v>
      </c>
      <c r="G281" s="109">
        <v>2.75805053E8</v>
      </c>
      <c r="H281" s="64" t="s">
        <v>800</v>
      </c>
      <c r="I281" s="16">
        <f>IF(@Table1[[#This Row],[Delivery Date]]="","NA",@Table1[[#This Row],[Delivery Date]]+30)</f>
        <v>45854.0</v>
      </c>
      <c r="J281" s="35" t="s">
        <f t="shared" si="5"/>
        <v>28</v>
      </c>
      <c r="K281" s="87">
        <v>38480.0</v>
      </c>
      <c r="L281" s="89"/>
      <c r="M281" s="89"/>
      <c r="N281" s="89"/>
    </row>
    <row r="282" customHeight="1" ht="14.0">
      <c r="A282" s="32" t="s">
        <v>801</v>
      </c>
      <c r="B282" s="64" t="s">
        <v>802</v>
      </c>
      <c r="C282" s="22" t="s">
        <v>593</v>
      </c>
      <c r="D282" s="33">
        <v>1371.0</v>
      </c>
      <c r="E282" s="34">
        <v>45824</v>
      </c>
      <c r="F282" s="88" t="s">
        <v>565</v>
      </c>
      <c r="G282" s="109">
        <v>2.75805054E8</v>
      </c>
      <c r="H282" s="64" t="s">
        <v>803</v>
      </c>
      <c r="I282" s="16">
        <f>IF(@Table1[[#This Row],[Delivery Date]]="","NA",@Table1[[#This Row],[Delivery Date]]+30)</f>
        <v>45854.0</v>
      </c>
      <c r="J282" s="35" t="s">
        <f t="shared" si="5"/>
        <v>28</v>
      </c>
      <c r="K282" s="87">
        <v>74295.0</v>
      </c>
      <c r="L282" s="89"/>
      <c r="M282" s="89"/>
      <c r="N282" s="89"/>
    </row>
    <row r="283" customHeight="1" ht="14.0">
      <c r="A283" s="32" t="s">
        <v>804</v>
      </c>
      <c r="B283" s="64" t="s">
        <v>805</v>
      </c>
      <c r="C283" s="22" t="s">
        <v>23</v>
      </c>
      <c r="D283" s="33">
        <v>684.0</v>
      </c>
      <c r="E283" s="34">
        <v>45832</v>
      </c>
      <c r="F283" s="88" t="s">
        <v>565</v>
      </c>
      <c r="G283" s="109">
        <v>2.75805055E8</v>
      </c>
      <c r="H283" s="64" t="s">
        <v>806</v>
      </c>
      <c r="I283" s="16">
        <f>IF(@Table1[[#This Row],[Delivery Date]]="","NA",@Table1[[#This Row],[Delivery Date]]+30)</f>
        <v>45862.0</v>
      </c>
      <c r="J283" s="35" t="s">
        <f t="shared" si="5"/>
        <v>28</v>
      </c>
      <c r="K283" s="87">
        <v>37303.5</v>
      </c>
      <c r="L283" s="89"/>
      <c r="M283" s="89"/>
      <c r="N283" s="89"/>
    </row>
    <row r="284" customHeight="1" ht="14.0">
      <c r="A284" s="32" t="s">
        <v>807</v>
      </c>
      <c r="B284" s="64" t="s">
        <v>808</v>
      </c>
      <c r="C284" s="22" t="s">
        <v>23</v>
      </c>
      <c r="D284" s="33">
        <v>42.0</v>
      </c>
      <c r="E284" s="34">
        <v>45832</v>
      </c>
      <c r="F284" s="88" t="s">
        <v>565</v>
      </c>
      <c r="G284" s="109">
        <v>2.75805152E8</v>
      </c>
      <c r="H284" s="64" t="s">
        <v>809</v>
      </c>
      <c r="I284" s="16">
        <f>IF(@Table1[[#This Row],[Delivery Date]]="","NA",@Table1[[#This Row],[Delivery Date]]+30)</f>
        <v>45862.0</v>
      </c>
      <c r="J284" s="35" t="s">
        <f t="shared" si="5"/>
        <v>28</v>
      </c>
      <c r="K284" s="87">
        <v>2047.5</v>
      </c>
      <c r="L284" s="89"/>
      <c r="M284" s="89"/>
      <c r="N284" s="89"/>
    </row>
    <row r="285" customHeight="1" ht="14.0">
      <c r="A285" s="32" t="s">
        <v>810</v>
      </c>
      <c r="B285" s="64" t="s">
        <v>811</v>
      </c>
      <c r="C285" s="22" t="s">
        <v>23</v>
      </c>
      <c r="D285" s="33">
        <v>163.0</v>
      </c>
      <c r="E285" s="34">
        <v>45832</v>
      </c>
      <c r="F285" s="88" t="s">
        <v>565</v>
      </c>
      <c r="G285" s="109">
        <v>2.75805055E8</v>
      </c>
      <c r="H285" s="64" t="s">
        <v>812</v>
      </c>
      <c r="I285" s="16">
        <f>IF(@Table1[[#This Row],[Delivery Date]]="","NA",@Table1[[#This Row],[Delivery Date]]+30)</f>
        <v>45862.0</v>
      </c>
      <c r="J285" s="35" t="s">
        <f t="shared" si="5"/>
        <v>28</v>
      </c>
      <c r="K285" s="87">
        <v>10445.5</v>
      </c>
      <c r="L285" s="89"/>
      <c r="M285" s="89"/>
      <c r="N285" s="89"/>
    </row>
    <row r="286" customHeight="1" ht="14.0">
      <c r="A286" s="32" t="s">
        <v>813</v>
      </c>
      <c r="B286" s="64" t="s">
        <v>814</v>
      </c>
      <c r="C286" s="22" t="s">
        <v>420</v>
      </c>
      <c r="D286" s="33">
        <v>264.0</v>
      </c>
      <c r="E286" s="34">
        <v>45828</v>
      </c>
      <c r="F286" s="88" t="s">
        <v>565</v>
      </c>
      <c r="G286" s="109">
        <v>2.75805105E8</v>
      </c>
      <c r="H286" s="64" t="s">
        <v>815</v>
      </c>
      <c r="I286" s="16">
        <f>IF(@Table1[[#This Row],[Delivery Date]]="","NA",@Table1[[#This Row],[Delivery Date]]+30)</f>
        <v>45858.0</v>
      </c>
      <c r="J286" s="35" t="s">
        <f t="shared" si="5"/>
        <v>28</v>
      </c>
      <c r="K286" s="87">
        <v>11992.0</v>
      </c>
      <c r="L286" s="89"/>
      <c r="M286" s="89"/>
      <c r="N286" s="89"/>
    </row>
    <row r="287" customHeight="1" ht="14.0">
      <c r="A287" s="32" t="s">
        <v>816</v>
      </c>
      <c r="B287" s="64" t="s">
        <v>817</v>
      </c>
      <c r="C287" s="22" t="s">
        <v>58</v>
      </c>
      <c r="D287" s="33">
        <v>484.0</v>
      </c>
      <c r="E287" s="34">
        <v>45835</v>
      </c>
      <c r="F287" s="88" t="s">
        <v>565</v>
      </c>
      <c r="G287" s="109">
        <v>2.75805148E8</v>
      </c>
      <c r="H287" s="64" t="s">
        <v>818</v>
      </c>
      <c r="I287" s="16">
        <f>IF(@Table1[[#This Row],[Delivery Date]]="","NA",@Table1[[#This Row],[Delivery Date]]+30)</f>
        <v>45865.0</v>
      </c>
      <c r="J287" s="35" t="s">
        <f t="shared" si="5"/>
        <v>28</v>
      </c>
      <c r="K287" s="87">
        <v>28834.0</v>
      </c>
      <c r="L287" s="89"/>
      <c r="M287" s="89"/>
      <c r="N287" s="89"/>
    </row>
    <row r="288" customHeight="1" ht="14.0">
      <c r="A288" s="32" t="s">
        <v>819</v>
      </c>
      <c r="B288" s="64" t="s">
        <v>820</v>
      </c>
      <c r="C288" s="22" t="s">
        <v>420</v>
      </c>
      <c r="D288" s="33">
        <v>396.0</v>
      </c>
      <c r="E288" s="34">
        <v>45840</v>
      </c>
      <c r="F288" s="88" t="s">
        <v>565</v>
      </c>
      <c r="G288" s="109">
        <v>2.75805149E8</v>
      </c>
      <c r="H288" s="64" t="s">
        <v>821</v>
      </c>
      <c r="I288" s="16">
        <f>IF(@Table1[[#This Row],[Delivery Date]]="","NA",@Table1[[#This Row],[Delivery Date]]+30)</f>
        <v>45870.0</v>
      </c>
      <c r="J288" s="35" t="s">
        <f t="shared" si="5"/>
        <v>28</v>
      </c>
      <c r="K288" s="87">
        <v>18589.0</v>
      </c>
      <c r="L288" s="89"/>
      <c r="M288" s="89"/>
      <c r="N288" s="89"/>
    </row>
    <row r="289" customHeight="1" ht="14.0">
      <c r="A289" s="32" t="s">
        <v>822</v>
      </c>
      <c r="B289" s="64" t="s">
        <v>823</v>
      </c>
      <c r="C289" s="22" t="s">
        <v>23</v>
      </c>
      <c r="D289" s="33">
        <v>141.0</v>
      </c>
      <c r="E289" s="34">
        <v>45832</v>
      </c>
      <c r="F289" s="88" t="s">
        <v>565</v>
      </c>
      <c r="G289" s="109">
        <v>2.75805152E8</v>
      </c>
      <c r="H289" s="64" t="s">
        <v>824</v>
      </c>
      <c r="I289" s="16">
        <f>IF(@Table1[[#This Row],[Delivery Date]]="","NA",@Table1[[#This Row],[Delivery Date]]+30)</f>
        <v>45862.0</v>
      </c>
      <c r="J289" s="35" t="s">
        <f t="shared" si="5"/>
        <v>28</v>
      </c>
      <c r="K289" s="87">
        <v>10413.0</v>
      </c>
      <c r="L289" s="89"/>
      <c r="M289" s="89"/>
      <c r="N289" s="89"/>
    </row>
    <row r="290" customHeight="1" ht="14.0">
      <c r="A290" s="32" t="s">
        <v>825</v>
      </c>
      <c r="B290" s="64" t="s">
        <v>826</v>
      </c>
      <c r="C290" s="22" t="s">
        <v>147</v>
      </c>
      <c r="D290" s="33">
        <v>252.0</v>
      </c>
      <c r="E290" s="34">
        <v>45834</v>
      </c>
      <c r="F290" s="88" t="s">
        <v>565</v>
      </c>
      <c r="G290" s="109">
        <v>2.75805153E8</v>
      </c>
      <c r="H290" s="64" t="s">
        <v>827</v>
      </c>
      <c r="I290" s="16">
        <f>IF(@Table1[[#This Row],[Delivery Date]]="","NA",@Table1[[#This Row],[Delivery Date]]+30)</f>
        <v>45864.0</v>
      </c>
      <c r="J290" s="35" t="s">
        <f t="shared" si="5"/>
        <v>28</v>
      </c>
      <c r="K290" s="87">
        <v>12285.0</v>
      </c>
      <c r="L290" s="89"/>
      <c r="M290" s="89"/>
      <c r="N290" s="89"/>
    </row>
    <row r="291" customHeight="1" ht="14.0">
      <c r="A291" s="32" t="s">
        <v>828</v>
      </c>
      <c r="B291" s="64" t="s">
        <v>829</v>
      </c>
      <c r="C291" s="22" t="s">
        <v>144</v>
      </c>
      <c r="D291" s="33">
        <v>186.0</v>
      </c>
      <c r="E291" s="34">
        <v>45838</v>
      </c>
      <c r="F291" s="88" t="s">
        <v>565</v>
      </c>
      <c r="G291" s="109">
        <v>2.75805154E8</v>
      </c>
      <c r="H291" s="64" t="s">
        <v>830</v>
      </c>
      <c r="I291" s="16">
        <f>IF(@Table1[[#This Row],[Delivery Date]]="","NA",@Table1[[#This Row],[Delivery Date]]+30)</f>
        <v>45868.0</v>
      </c>
      <c r="J291" s="35" t="s">
        <f t="shared" si="5"/>
        <v>28</v>
      </c>
      <c r="K291" s="87">
        <v>9067.5</v>
      </c>
      <c r="L291" s="89"/>
      <c r="M291" s="89"/>
      <c r="N291" s="89"/>
    </row>
    <row r="292" customHeight="1" ht="14.0">
      <c r="A292" s="32" t="s">
        <v>831</v>
      </c>
      <c r="B292" s="64" t="s">
        <v>832</v>
      </c>
      <c r="C292" s="22" t="s">
        <v>23</v>
      </c>
      <c r="D292" s="33">
        <v>122.0</v>
      </c>
      <c r="E292" s="34">
        <v>45832</v>
      </c>
      <c r="F292" s="88" t="s">
        <v>565</v>
      </c>
      <c r="G292" s="109">
        <v>2.75805152E8</v>
      </c>
      <c r="H292" s="64" t="s">
        <v>833</v>
      </c>
      <c r="I292" s="16">
        <f>IF(@Table1[[#This Row],[Delivery Date]]="","NA",@Table1[[#This Row],[Delivery Date]]+30)</f>
        <v>45862.0</v>
      </c>
      <c r="J292" s="35" t="s">
        <f t="shared" si="5"/>
        <v>28</v>
      </c>
      <c r="K292" s="87">
        <v>5427.5</v>
      </c>
      <c r="L292" s="89"/>
      <c r="M292" s="89"/>
      <c r="N292" s="89"/>
    </row>
    <row r="293" customHeight="1" ht="14.0">
      <c r="A293" s="32" t="s">
        <v>834</v>
      </c>
      <c r="B293" s="64" t="s">
        <v>835</v>
      </c>
      <c r="C293" s="22" t="s">
        <v>783</v>
      </c>
      <c r="D293" s="33">
        <v>462.0</v>
      </c>
      <c r="E293" s="34">
        <v>45835</v>
      </c>
      <c r="F293" s="88" t="s">
        <v>565</v>
      </c>
      <c r="G293" s="109">
        <v>2.75805172E8</v>
      </c>
      <c r="H293" s="64" t="s">
        <v>836</v>
      </c>
      <c r="I293" s="16">
        <f>IF(@Table1[[#This Row],[Delivery Date]]="","NA",@Table1[[#This Row],[Delivery Date]]+30)</f>
        <v>45865.0</v>
      </c>
      <c r="J293" s="35" t="s">
        <f t="shared" si="5"/>
        <v>28</v>
      </c>
      <c r="K293" s="87">
        <v>22522.5</v>
      </c>
      <c r="L293" s="89"/>
      <c r="M293" s="89"/>
      <c r="N293" s="89"/>
    </row>
    <row r="294" customHeight="1" ht="14.0">
      <c r="A294" s="32" t="s">
        <v>837</v>
      </c>
      <c r="B294" s="64" t="s">
        <v>838</v>
      </c>
      <c r="C294" s="22" t="s">
        <v>33</v>
      </c>
      <c r="D294" s="33">
        <v>216.0</v>
      </c>
      <c r="E294" s="34">
        <v>45834</v>
      </c>
      <c r="F294" s="88" t="s">
        <v>565</v>
      </c>
      <c r="G294" s="109">
        <v>2.75805173E8</v>
      </c>
      <c r="H294" s="64" t="s">
        <v>839</v>
      </c>
      <c r="I294" s="16">
        <f>IF(@Table1[[#This Row],[Delivery Date]]="","NA",@Table1[[#This Row],[Delivery Date]]+30)</f>
        <v>45864.0</v>
      </c>
      <c r="J294" s="35" t="s">
        <f t="shared" si="5"/>
        <v>28</v>
      </c>
      <c r="K294" s="87">
        <v>10530.0</v>
      </c>
      <c r="L294" s="89"/>
      <c r="M294" s="89"/>
      <c r="N294" s="89"/>
    </row>
    <row r="295" customHeight="1" ht="14.0">
      <c r="A295" s="32" t="s">
        <v>840</v>
      </c>
      <c r="B295" s="64" t="s">
        <v>841</v>
      </c>
      <c r="C295" s="22" t="s">
        <v>796</v>
      </c>
      <c r="D295" s="33">
        <v>180.0</v>
      </c>
      <c r="E295" s="34">
        <v>45835</v>
      </c>
      <c r="F295" s="88" t="s">
        <v>565</v>
      </c>
      <c r="G295" s="109">
        <v>2.75805175E8</v>
      </c>
      <c r="H295" s="64" t="s">
        <v>842</v>
      </c>
      <c r="I295" s="16">
        <f>IF(@Table1[[#This Row],[Delivery Date]]="","NA",@Table1[[#This Row],[Delivery Date]]+30)</f>
        <v>45865.0</v>
      </c>
      <c r="J295" s="35" t="s">
        <f t="shared" si="5"/>
        <v>28</v>
      </c>
      <c r="K295" s="87">
        <v>8775.0</v>
      </c>
      <c r="L295" s="89"/>
      <c r="M295" s="89"/>
      <c r="N295" s="89"/>
    </row>
    <row r="296" customHeight="1" ht="14.0">
      <c r="A296" s="32" t="s">
        <v>843</v>
      </c>
      <c r="B296" s="64" t="s">
        <v>844</v>
      </c>
      <c r="C296" s="22" t="s">
        <v>23</v>
      </c>
      <c r="D296" s="33">
        <v>80.0</v>
      </c>
      <c r="E296" s="34">
        <v>45833</v>
      </c>
      <c r="F296" s="88" t="s">
        <v>565</v>
      </c>
      <c r="G296" s="109">
        <v>2.75805192E8</v>
      </c>
      <c r="H296" s="64" t="s">
        <v>845</v>
      </c>
      <c r="I296" s="16">
        <f>IF(@Table1[[#This Row],[Delivery Date]]="","NA",@Table1[[#This Row],[Delivery Date]]+30)</f>
        <v>45863.0</v>
      </c>
      <c r="J296" s="35" t="s">
        <f t="shared" si="5"/>
        <v>28</v>
      </c>
      <c r="K296" s="87">
        <v>21788.0</v>
      </c>
      <c r="L296" s="89"/>
      <c r="M296" s="89"/>
      <c r="N296" s="89"/>
    </row>
    <row r="297" customHeight="1" ht="14.0">
      <c r="A297" s="32" t="s">
        <v>846</v>
      </c>
      <c r="B297" s="64" t="s">
        <v>847</v>
      </c>
      <c r="C297" s="22" t="s">
        <v>147</v>
      </c>
      <c r="D297" s="33">
        <v>108.0</v>
      </c>
      <c r="E297" s="34">
        <v>45835</v>
      </c>
      <c r="F297" s="88" t="s">
        <v>565</v>
      </c>
      <c r="G297" s="109">
        <v>2.75805194E8</v>
      </c>
      <c r="H297" s="64" t="s">
        <v>848</v>
      </c>
      <c r="I297" s="16">
        <f>IF(@Table1[[#This Row],[Delivery Date]]="","NA",@Table1[[#This Row],[Delivery Date]]+30)</f>
        <v>45865.0</v>
      </c>
      <c r="J297" s="35" t="s">
        <f t="shared" si="5"/>
        <v>28</v>
      </c>
      <c r="K297" s="87">
        <v>33696.0</v>
      </c>
      <c r="L297" s="89"/>
      <c r="M297" s="89"/>
      <c r="N297" s="89"/>
    </row>
    <row r="298" customHeight="1" ht="14.0">
      <c r="A298" s="32" t="s">
        <v>849</v>
      </c>
      <c r="B298" s="64" t="s">
        <v>850</v>
      </c>
      <c r="C298" s="22" t="s">
        <v>796</v>
      </c>
      <c r="D298" s="33">
        <v>72.0</v>
      </c>
      <c r="E298" s="34">
        <v>45835</v>
      </c>
      <c r="F298" s="88" t="s">
        <v>565</v>
      </c>
      <c r="G298" s="109">
        <v>2.75805191E8</v>
      </c>
      <c r="H298" s="64" t="s">
        <v>851</v>
      </c>
      <c r="I298" s="16">
        <f>IF(@Table1[[#This Row],[Delivery Date]]="","NA",@Table1[[#This Row],[Delivery Date]]+30)</f>
        <v>45865.0</v>
      </c>
      <c r="J298" s="35" t="s">
        <f t="shared" si="5"/>
        <v>28</v>
      </c>
      <c r="K298" s="87">
        <v>21528.0</v>
      </c>
      <c r="L298" s="89"/>
      <c r="M298" s="89"/>
      <c r="N298" s="89"/>
    </row>
    <row r="299" customHeight="1" ht="14.0">
      <c r="A299" s="32" t="s">
        <v>852</v>
      </c>
      <c r="B299" s="64" t="s">
        <v>853</v>
      </c>
      <c r="C299" s="22" t="s">
        <v>783</v>
      </c>
      <c r="D299" s="33">
        <v>108.0</v>
      </c>
      <c r="E299" s="34">
        <v>45835</v>
      </c>
      <c r="F299" s="88" t="s">
        <v>565</v>
      </c>
      <c r="G299" s="109">
        <v>2.75805193E8</v>
      </c>
      <c r="H299" s="64" t="s">
        <v>854</v>
      </c>
      <c r="I299" s="16">
        <f>IF(@Table1[[#This Row],[Delivery Date]]="","NA",@Table1[[#This Row],[Delivery Date]]+30)</f>
        <v>45865.0</v>
      </c>
      <c r="J299" s="35" t="s">
        <f t="shared" si="5"/>
        <v>28</v>
      </c>
      <c r="K299" s="87">
        <v>33696.0</v>
      </c>
      <c r="L299" s="89"/>
      <c r="M299" s="89"/>
      <c r="N299" s="89"/>
    </row>
    <row r="300" customHeight="1" ht="14.0">
      <c r="A300" s="32" t="s">
        <v>855</v>
      </c>
      <c r="B300" s="64" t="s">
        <v>856</v>
      </c>
      <c r="C300" s="22" t="s">
        <v>26</v>
      </c>
      <c r="D300" s="33">
        <v>108.0</v>
      </c>
      <c r="E300" s="34">
        <v>45838</v>
      </c>
      <c r="F300" s="88" t="s">
        <v>565</v>
      </c>
      <c r="G300" s="109">
        <v>2.75805828E8</v>
      </c>
      <c r="H300" s="64" t="s">
        <v>857</v>
      </c>
      <c r="I300" s="16">
        <f>IF(@Table1[[#This Row],[Delivery Date]]="","NA",@Table1[[#This Row],[Delivery Date]]+30)</f>
        <v>45868.0</v>
      </c>
      <c r="J300" s="35" t="s">
        <f t="shared" si="5"/>
        <v>28</v>
      </c>
      <c r="K300" s="87">
        <v>33696.0</v>
      </c>
      <c r="L300" s="89"/>
      <c r="M300" s="89"/>
      <c r="N300" s="89"/>
    </row>
    <row r="301" customHeight="1" ht="14.0">
      <c r="A301" s="32" t="s">
        <v>858</v>
      </c>
      <c r="B301" s="64" t="s">
        <v>859</v>
      </c>
      <c r="C301" s="22" t="s">
        <v>26</v>
      </c>
      <c r="D301" s="33">
        <v>75.0</v>
      </c>
      <c r="E301" s="34">
        <v>45838</v>
      </c>
      <c r="F301" s="88" t="s">
        <v>565</v>
      </c>
      <c r="G301" s="109">
        <v>2.75805828E8</v>
      </c>
      <c r="H301" s="64" t="s">
        <v>860</v>
      </c>
      <c r="I301" s="16">
        <f>IF(@Table1[[#This Row],[Delivery Date]]="","NA",@Table1[[#This Row],[Delivery Date]]+30)</f>
        <v>45868.0</v>
      </c>
      <c r="J301" s="35" t="s">
        <f t="shared" si="5"/>
        <v>28</v>
      </c>
      <c r="K301" s="87">
        <v>3198.0</v>
      </c>
      <c r="L301" s="89"/>
      <c r="M301" s="89"/>
      <c r="N301" s="89"/>
    </row>
    <row r="302" customHeight="1" ht="14.0">
      <c r="A302" s="32" t="s">
        <v>861</v>
      </c>
      <c r="B302" s="64" t="s">
        <v>862</v>
      </c>
      <c r="C302" s="22" t="s">
        <v>26</v>
      </c>
      <c r="D302" s="33">
        <v>558.0</v>
      </c>
      <c r="E302" s="34">
        <v>45838</v>
      </c>
      <c r="F302" s="88" t="s">
        <v>565</v>
      </c>
      <c r="G302" s="109">
        <v>2.75805828E8</v>
      </c>
      <c r="H302" s="64" t="s">
        <v>863</v>
      </c>
      <c r="I302" s="16">
        <f>IF(@Table1[[#This Row],[Delivery Date]]="","NA",@Table1[[#This Row],[Delivery Date]]+30)</f>
        <v>45868.0</v>
      </c>
      <c r="J302" s="35" t="s">
        <f t="shared" si="5"/>
        <v>28</v>
      </c>
      <c r="K302" s="87">
        <v>24472.0</v>
      </c>
      <c r="L302" s="89"/>
      <c r="M302" s="89"/>
      <c r="N302" s="89"/>
    </row>
    <row r="303" customHeight="1" ht="14.0">
      <c r="A303" s="32" t="s">
        <v>864</v>
      </c>
      <c r="B303" s="64" t="s">
        <v>865</v>
      </c>
      <c r="C303" s="22" t="s">
        <v>23</v>
      </c>
      <c r="D303" s="33">
        <v>254.0</v>
      </c>
      <c r="E303" s="34">
        <v>45838</v>
      </c>
      <c r="F303" s="88" t="s">
        <v>565</v>
      </c>
      <c r="G303" s="109">
        <v>2.75805831E8</v>
      </c>
      <c r="H303" s="64" t="s">
        <v>866</v>
      </c>
      <c r="I303" s="16">
        <f>IF(@Table1[[#This Row],[Delivery Date]]="","NA",@Table1[[#This Row],[Delivery Date]]+30)</f>
        <v>45868.0</v>
      </c>
      <c r="J303" s="35" t="s">
        <f t="shared" si="5"/>
        <v>28</v>
      </c>
      <c r="K303" s="87">
        <v>11862.5</v>
      </c>
      <c r="L303" s="89"/>
      <c r="M303" s="89"/>
      <c r="N303" s="89"/>
    </row>
    <row r="304" customHeight="1" ht="14.0">
      <c r="A304" s="32" t="s">
        <v>867</v>
      </c>
      <c r="B304" s="64" t="s">
        <v>868</v>
      </c>
      <c r="C304" s="22" t="s">
        <v>23</v>
      </c>
      <c r="D304" s="33">
        <v>108.0</v>
      </c>
      <c r="E304" s="34">
        <v>45838</v>
      </c>
      <c r="F304" s="88" t="s">
        <v>565</v>
      </c>
      <c r="G304" s="109">
        <v>2.75805831E8</v>
      </c>
      <c r="H304" s="64" t="s">
        <v>869</v>
      </c>
      <c r="I304" s="16">
        <f>IF(@Table1[[#This Row],[Delivery Date]]="","NA",@Table1[[#This Row],[Delivery Date]]+30)</f>
        <v>45868.0</v>
      </c>
      <c r="J304" s="35" t="s">
        <f t="shared" si="5"/>
        <v>28</v>
      </c>
      <c r="K304" s="87">
        <v>33696.0</v>
      </c>
      <c r="L304" s="89"/>
      <c r="M304" s="89"/>
      <c r="N304" s="89"/>
    </row>
    <row r="305" customHeight="1" ht="14.0">
      <c r="A305" s="32" t="s">
        <v>870</v>
      </c>
      <c r="B305" s="64" t="s">
        <v>871</v>
      </c>
      <c r="C305" s="22" t="s">
        <v>420</v>
      </c>
      <c r="D305" s="33">
        <v>216.0</v>
      </c>
      <c r="E305" s="34">
        <v>45839</v>
      </c>
      <c r="F305" s="88" t="s">
        <v>565</v>
      </c>
      <c r="G305" s="109">
        <v>2.75805832E8</v>
      </c>
      <c r="H305" s="64" t="s">
        <v>872</v>
      </c>
      <c r="I305" s="16">
        <f>IF(@Table1[[#This Row],[Delivery Date]]="","NA",@Table1[[#This Row],[Delivery Date]]+30)</f>
        <v>45869.0</v>
      </c>
      <c r="J305" s="35" t="s">
        <f t="shared" si="5"/>
        <v>28</v>
      </c>
      <c r="K305" s="87">
        <v>64584.0</v>
      </c>
      <c r="L305" s="89"/>
      <c r="M305" s="89"/>
      <c r="N305" s="89"/>
    </row>
    <row r="306" customHeight="1" ht="14.0">
      <c r="A306" s="32" t="s">
        <v>873</v>
      </c>
      <c r="B306" s="64" t="s">
        <v>874</v>
      </c>
      <c r="C306" s="22" t="s">
        <v>420</v>
      </c>
      <c r="D306" s="33">
        <v>644.0</v>
      </c>
      <c r="E306" s="34">
        <v>45839</v>
      </c>
      <c r="F306" s="88" t="s">
        <v>565</v>
      </c>
      <c r="G306" s="109">
        <v>2.75805832E8</v>
      </c>
      <c r="H306" s="64" t="s">
        <v>875</v>
      </c>
      <c r="I306" s="16">
        <f>IF(@Table1[[#This Row],[Delivery Date]]="","NA",@Table1[[#This Row],[Delivery Date]]+30)</f>
        <v>45869.0</v>
      </c>
      <c r="J306" s="35" t="s">
        <f t="shared" si="5"/>
        <v>28</v>
      </c>
      <c r="K306" s="87">
        <v>27363.0</v>
      </c>
      <c r="L306" s="89"/>
      <c r="M306" s="89"/>
      <c r="N306" s="89"/>
    </row>
    <row r="307" customHeight="1" ht="14.0">
      <c r="A307" s="32" t="s">
        <v>876</v>
      </c>
      <c r="B307" s="64" t="s">
        <v>877</v>
      </c>
      <c r="C307" s="22" t="s">
        <v>15</v>
      </c>
      <c r="D307" s="33">
        <v>136.0</v>
      </c>
      <c r="E307" s="34">
        <v>45838</v>
      </c>
      <c r="F307" s="88" t="s">
        <v>565</v>
      </c>
      <c r="G307" s="109">
        <v>2.75714951E8</v>
      </c>
      <c r="H307" s="64" t="s">
        <v>878</v>
      </c>
      <c r="I307" s="16">
        <f>IF(@Table1[[#This Row],[Delivery Date]]="","NA",@Table1[[#This Row],[Delivery Date]]+30)</f>
        <v>45868.0</v>
      </c>
      <c r="J307" s="35" t="s">
        <f t="shared" si="5"/>
        <v>28</v>
      </c>
      <c r="K307" s="87">
        <v>4420.0</v>
      </c>
      <c r="L307" s="89"/>
      <c r="M307" s="89"/>
      <c r="N307" s="89"/>
    </row>
    <row r="308" customHeight="1" ht="14.0">
      <c r="A308" s="32" t="s">
        <v>879</v>
      </c>
      <c r="B308" s="64" t="s">
        <v>880</v>
      </c>
      <c r="C308" s="22" t="s">
        <v>15</v>
      </c>
      <c r="D308" s="33">
        <v>358.0</v>
      </c>
      <c r="E308" s="34">
        <v>45838</v>
      </c>
      <c r="F308" s="88" t="s">
        <v>565</v>
      </c>
      <c r="G308" s="109">
        <v>2.75714951E8</v>
      </c>
      <c r="H308" s="64" t="s">
        <v>881</v>
      </c>
      <c r="I308" s="16">
        <f>IF(@Table1[[#This Row],[Delivery Date]]="","NA",@Table1[[#This Row],[Delivery Date]]+30)</f>
        <v>45868.0</v>
      </c>
      <c r="J308" s="35" t="s">
        <f t="shared" si="5"/>
        <v>28</v>
      </c>
      <c r="K308" s="87">
        <v>15632.5</v>
      </c>
      <c r="L308" s="89" t="s">
        <v>17</v>
      </c>
      <c r="M308" s="89"/>
      <c r="N308" s="89"/>
    </row>
    <row r="309" customHeight="1" ht="14.0">
      <c r="A309" s="32" t="s">
        <v>882</v>
      </c>
      <c r="B309" s="64" t="s">
        <v>883</v>
      </c>
      <c r="C309" s="22" t="s">
        <v>15</v>
      </c>
      <c r="D309" s="33">
        <v>72.0</v>
      </c>
      <c r="E309" s="34">
        <v>45838</v>
      </c>
      <c r="F309" s="88" t="s">
        <v>565</v>
      </c>
      <c r="G309" s="109">
        <v>2.75714951E8</v>
      </c>
      <c r="H309" s="64" t="s">
        <v>884</v>
      </c>
      <c r="I309" s="16">
        <f>IF(@Table1[[#This Row],[Delivery Date]]="","NA",@Table1[[#This Row],[Delivery Date]]+30)</f>
        <v>45868.0</v>
      </c>
      <c r="J309" s="35" t="s">
        <f t="shared" si="5"/>
        <v>28</v>
      </c>
      <c r="K309" s="87">
        <v>21528.0</v>
      </c>
      <c r="L309" s="89"/>
      <c r="M309" s="89"/>
      <c r="N309" s="89"/>
    </row>
    <row r="310" customHeight="1" ht="14.0">
      <c r="A310" s="32" t="s">
        <v>885</v>
      </c>
      <c r="B310" s="64" t="s">
        <v>886</v>
      </c>
      <c r="C310" s="22" t="s">
        <v>478</v>
      </c>
      <c r="D310" s="33">
        <v>408.0</v>
      </c>
      <c r="E310" s="34">
        <v>45838</v>
      </c>
      <c r="F310" s="88" t="s">
        <v>565</v>
      </c>
      <c r="G310" s="109">
        <v>2.75714952E8</v>
      </c>
      <c r="H310" s="64" t="s">
        <v>887</v>
      </c>
      <c r="I310" s="16">
        <f>IF(@Table1[[#This Row],[Delivery Date]]="","NA",@Table1[[#This Row],[Delivery Date]]+30)</f>
        <v>45868.0</v>
      </c>
      <c r="J310" s="35" t="s">
        <f t="shared" si="5"/>
        <v>28</v>
      </c>
      <c r="K310" s="87">
        <v>15600.0</v>
      </c>
      <c r="L310" s="89"/>
      <c r="M310" s="89"/>
      <c r="N310" s="89"/>
    </row>
    <row r="311" customHeight="1" ht="14.0">
      <c r="A311" s="32" t="s">
        <v>888</v>
      </c>
      <c r="B311" s="64" t="s">
        <v>889</v>
      </c>
      <c r="C311" s="22" t="s">
        <v>478</v>
      </c>
      <c r="D311" s="33">
        <v>72.0</v>
      </c>
      <c r="E311" s="34">
        <v>45838</v>
      </c>
      <c r="F311" s="88" t="s">
        <v>565</v>
      </c>
      <c r="G311" s="109">
        <v>2.75714952E8</v>
      </c>
      <c r="H311" s="64" t="s">
        <v>890</v>
      </c>
      <c r="I311" s="16">
        <f>IF(@Table1[[#This Row],[Delivery Date]]="","NA",@Table1[[#This Row],[Delivery Date]]+30)</f>
        <v>45868.0</v>
      </c>
      <c r="J311" s="35" t="s">
        <f t="shared" si="5"/>
        <v>28</v>
      </c>
      <c r="K311" s="87">
        <v>21528.0</v>
      </c>
      <c r="L311" s="89"/>
      <c r="M311" s="89"/>
      <c r="N311" s="89"/>
    </row>
    <row r="312" customHeight="1" ht="14.0">
      <c r="A312" s="32" t="s">
        <v>891</v>
      </c>
      <c r="B312" s="64" t="s">
        <v>892</v>
      </c>
      <c r="C312" s="22" t="s">
        <v>58</v>
      </c>
      <c r="D312" s="33">
        <v>612.0</v>
      </c>
      <c r="E312" s="34">
        <v>45848</v>
      </c>
      <c r="F312" s="88" t="s">
        <v>565</v>
      </c>
      <c r="G312" s="109">
        <v>2.7580585E8</v>
      </c>
      <c r="H312" s="64" t="s">
        <v>893</v>
      </c>
      <c r="I312" s="16">
        <f>IF(@Table1[[#This Row],[Delivery Date]]="","NA",@Table1[[#This Row],[Delivery Date]]+30)</f>
        <v>45878.0</v>
      </c>
      <c r="J312" s="35" t="s">
        <f t="shared" si="5"/>
        <v>28</v>
      </c>
      <c r="K312" s="87">
        <v>23595.0</v>
      </c>
      <c r="L312" s="89"/>
      <c r="M312" s="89"/>
      <c r="N312" s="89"/>
    </row>
    <row r="313" customHeight="1" ht="14.0">
      <c r="A313" s="32" t="s">
        <v>894</v>
      </c>
      <c r="B313" s="64" t="s">
        <v>895</v>
      </c>
      <c r="C313" s="22" t="s">
        <v>58</v>
      </c>
      <c r="D313" s="33">
        <v>180.0</v>
      </c>
      <c r="E313" s="34">
        <v>45848</v>
      </c>
      <c r="F313" s="88" t="s">
        <v>565</v>
      </c>
      <c r="G313" s="109">
        <v>2.7580585E8</v>
      </c>
      <c r="H313" s="64" t="s">
        <v>896</v>
      </c>
      <c r="I313" s="16">
        <f>IF(@Table1[[#This Row],[Delivery Date]]="","NA",@Table1[[#This Row],[Delivery Date]]+30)</f>
        <v>45878.0</v>
      </c>
      <c r="J313" s="35" t="s">
        <f t="shared" si="5"/>
        <v>28</v>
      </c>
      <c r="K313" s="87">
        <v>55224.0</v>
      </c>
      <c r="L313" s="89"/>
      <c r="M313" s="89"/>
      <c r="N313" s="89"/>
    </row>
    <row r="314" customHeight="1" ht="14.0">
      <c r="A314" s="32" t="s">
        <v>897</v>
      </c>
      <c r="B314" s="64" t="s">
        <v>898</v>
      </c>
      <c r="C314" s="22" t="s">
        <v>30</v>
      </c>
      <c r="D314" s="33">
        <v>176.0</v>
      </c>
      <c r="E314" s="34">
        <v>45841</v>
      </c>
      <c r="F314" s="88" t="s">
        <v>565</v>
      </c>
      <c r="G314" s="109">
        <v>2.75806371E8</v>
      </c>
      <c r="H314" s="64" t="s">
        <v>899</v>
      </c>
      <c r="I314" s="16">
        <f>IF(@Table1[[#This Row],[Delivery Date]]="","NA",@Table1[[#This Row],[Delivery Date]]+30)</f>
        <v>45871.0</v>
      </c>
      <c r="J314" s="35" t="s">
        <f t="shared" si="5"/>
        <v>28</v>
      </c>
      <c r="K314" s="87">
        <v>6890.0</v>
      </c>
      <c r="L314" s="89"/>
      <c r="M314" s="89"/>
      <c r="N314" s="89"/>
    </row>
    <row r="315" customHeight="1" ht="14.0">
      <c r="A315" s="32" t="s">
        <v>900</v>
      </c>
      <c r="B315" s="64" t="s">
        <v>901</v>
      </c>
      <c r="C315" s="22" t="s">
        <v>30</v>
      </c>
      <c r="D315" s="33">
        <v>157.0</v>
      </c>
      <c r="E315" s="34">
        <v>45841</v>
      </c>
      <c r="F315" s="88" t="s">
        <v>565</v>
      </c>
      <c r="G315" s="109">
        <v>2.75806371E8</v>
      </c>
      <c r="H315" s="64" t="s">
        <v>902</v>
      </c>
      <c r="I315" s="16">
        <f>IF(@Table1[[#This Row],[Delivery Date]]="","NA",@Table1[[#This Row],[Delivery Date]]+30)</f>
        <v>45871.0</v>
      </c>
      <c r="J315" s="35" t="s">
        <f t="shared" si="5"/>
        <v>28</v>
      </c>
      <c r="K315" s="87">
        <v>11186.5</v>
      </c>
      <c r="L315" s="89"/>
      <c r="M315" s="89"/>
      <c r="N315" s="89"/>
    </row>
    <row r="316" customHeight="1" ht="14.0">
      <c r="A316" s="32" t="s">
        <v>903</v>
      </c>
      <c r="B316" s="64" t="s">
        <v>904</v>
      </c>
      <c r="C316" s="22" t="s">
        <v>905</v>
      </c>
      <c r="D316" s="33">
        <v>724.0</v>
      </c>
      <c r="E316" s="34">
        <v>45845</v>
      </c>
      <c r="F316" s="88" t="s">
        <v>565</v>
      </c>
      <c r="G316" s="109">
        <v>2.77205022E8</v>
      </c>
      <c r="H316" s="64" t="s">
        <v>906</v>
      </c>
      <c r="I316" s="16">
        <f>IF(@Table1[[#This Row],[Delivery Date]]="","NA",@Table1[[#This Row],[Delivery Date]]+30)</f>
        <v>45875.0</v>
      </c>
      <c r="J316" s="110" t="s">
        <f t="shared" si="5"/>
        <v>28</v>
      </c>
      <c r="K316" s="36">
        <v>47261.5</v>
      </c>
      <c r="L316" s="111"/>
      <c r="M316" s="89"/>
      <c r="N316" s="89"/>
    </row>
    <row r="317" customHeight="1" ht="14.0">
      <c r="A317" s="32" t="s">
        <v>907</v>
      </c>
      <c r="B317" s="64" t="s">
        <v>908</v>
      </c>
      <c r="C317" s="22" t="s">
        <v>58</v>
      </c>
      <c r="D317" s="33">
        <v>680.0</v>
      </c>
      <c r="E317" s="34">
        <v>45848</v>
      </c>
      <c r="F317" s="88" t="s">
        <v>565</v>
      </c>
      <c r="G317" s="109">
        <v>2.75806375E8</v>
      </c>
      <c r="H317" s="64" t="s">
        <v>909</v>
      </c>
      <c r="I317" s="16">
        <f>IF(@Table1[[#This Row],[Delivery Date]]="","NA",@Table1[[#This Row],[Delivery Date]]+30)</f>
        <v>45878.0</v>
      </c>
      <c r="J317" s="35" t="s">
        <f t="shared" si="5"/>
        <v>28</v>
      </c>
      <c r="K317" s="112">
        <v>53475.5</v>
      </c>
      <c r="M317" s="101"/>
      <c r="N317" s="89"/>
    </row>
    <row r="318" customHeight="1" ht="14.0">
      <c r="A318" s="32" t="s">
        <v>910</v>
      </c>
      <c r="B318" s="64" t="s">
        <v>911</v>
      </c>
      <c r="C318" s="22" t="s">
        <v>912</v>
      </c>
      <c r="D318" s="33">
        <v>410.0</v>
      </c>
      <c r="E318" s="34">
        <v>45843</v>
      </c>
      <c r="F318" s="88" t="s">
        <v>565</v>
      </c>
      <c r="G318" s="109">
        <v>2.75806372E8</v>
      </c>
      <c r="H318" s="64" t="s">
        <v>913</v>
      </c>
      <c r="I318" s="16">
        <f>IF(@Table1[[#This Row],[Delivery Date]]="","NA",@Table1[[#This Row],[Delivery Date]]+30)</f>
        <v>45873.0</v>
      </c>
      <c r="J318" s="35" t="s">
        <f t="shared" si="5"/>
        <v>28</v>
      </c>
      <c r="K318" s="87">
        <v>28983.5</v>
      </c>
      <c r="L318" s="103"/>
      <c r="M318" s="89"/>
      <c r="N318" s="89"/>
    </row>
    <row r="319" customHeight="1" ht="14.0">
      <c r="A319" s="32" t="s">
        <v>914</v>
      </c>
      <c r="B319" s="64" t="s">
        <v>915</v>
      </c>
      <c r="C319" s="22" t="s">
        <v>420</v>
      </c>
      <c r="D319" s="33">
        <v>600.0</v>
      </c>
      <c r="E319" s="34">
        <v>45845</v>
      </c>
      <c r="F319" s="88" t="s">
        <v>565</v>
      </c>
      <c r="G319" s="109">
        <v>2.75806374E8</v>
      </c>
      <c r="H319" s="64" t="s">
        <v>916</v>
      </c>
      <c r="I319" s="16">
        <f>IF(@Table1[[#This Row],[Delivery Date]]="","NA",@Table1[[#This Row],[Delivery Date]]+30)</f>
        <v>45875.0</v>
      </c>
      <c r="J319" s="35" t="s">
        <f t="shared" si="5"/>
        <v>28</v>
      </c>
      <c r="K319" s="87">
        <v>31458.0</v>
      </c>
      <c r="L319" s="89"/>
      <c r="M319" s="89"/>
      <c r="N319" s="89"/>
    </row>
    <row r="320" customHeight="1" ht="14.0">
      <c r="A320" s="32" t="s">
        <v>917</v>
      </c>
      <c r="B320" s="64" t="s">
        <v>918</v>
      </c>
      <c r="C320" s="22" t="s">
        <v>420</v>
      </c>
      <c r="D320" s="33">
        <v>144.0</v>
      </c>
      <c r="E320" s="34">
        <v>45845</v>
      </c>
      <c r="F320" s="88" t="s">
        <v>565</v>
      </c>
      <c r="G320" s="109">
        <v>2.75806374E8</v>
      </c>
      <c r="H320" s="64" t="s">
        <v>919</v>
      </c>
      <c r="I320" s="16">
        <f>IF(@Table1[[#This Row],[Delivery Date]]="","NA",@Table1[[#This Row],[Delivery Date]]+30)</f>
        <v>45875.0</v>
      </c>
      <c r="J320" s="35" t="s">
        <f t="shared" si="5"/>
        <v>28</v>
      </c>
      <c r="K320" s="87">
        <v>48672.0</v>
      </c>
      <c r="L320" s="89"/>
      <c r="M320" s="89"/>
      <c r="N320" s="89"/>
    </row>
    <row r="321" customHeight="1" ht="14.0">
      <c r="A321" s="32" t="s">
        <v>920</v>
      </c>
      <c r="B321" s="64" t="s">
        <v>921</v>
      </c>
      <c r="C321" s="22" t="s">
        <v>58</v>
      </c>
      <c r="D321" s="33">
        <v>72.0</v>
      </c>
      <c r="E321" s="34">
        <v>45848</v>
      </c>
      <c r="F321" s="88" t="s">
        <v>565</v>
      </c>
      <c r="G321" s="109">
        <v>2.75806375E8</v>
      </c>
      <c r="H321" s="64" t="s">
        <v>922</v>
      </c>
      <c r="I321" s="16">
        <f>IF(@Table1[[#This Row],[Delivery Date]]="","NA",@Table1[[#This Row],[Delivery Date]]+30)</f>
        <v>45878.0</v>
      </c>
      <c r="J321" s="35" t="s">
        <f t="shared" si="5"/>
        <v>28</v>
      </c>
      <c r="K321" s="87">
        <v>18720.0</v>
      </c>
      <c r="L321" s="89"/>
      <c r="M321" s="89"/>
      <c r="N321" s="89"/>
    </row>
    <row r="322" customHeight="1" ht="14.0">
      <c r="A322" s="32" t="s">
        <v>923</v>
      </c>
      <c r="B322" s="64" t="s">
        <v>924</v>
      </c>
      <c r="C322" s="22" t="s">
        <v>905</v>
      </c>
      <c r="D322" s="33">
        <v>36.0</v>
      </c>
      <c r="E322" s="34">
        <v>45843</v>
      </c>
      <c r="F322" s="88" t="s">
        <v>565</v>
      </c>
      <c r="G322" s="109">
        <v>2.7580637E8</v>
      </c>
      <c r="H322" s="64" t="s">
        <v>925</v>
      </c>
      <c r="I322" s="16">
        <f>IF(@Table1[[#This Row],[Delivery Date]]="","NA",@Table1[[#This Row],[Delivery Date]]+30)</f>
        <v>45873.0</v>
      </c>
      <c r="J322" s="35" t="s">
        <f t="shared" si="5"/>
        <v>28</v>
      </c>
      <c r="K322" s="87">
        <v>9360.0</v>
      </c>
      <c r="L322" s="89"/>
      <c r="M322" s="89"/>
      <c r="N322" s="89"/>
    </row>
    <row r="323" customHeight="1" ht="14.0">
      <c r="A323" s="32" t="s">
        <v>926</v>
      </c>
      <c r="B323" s="64" t="s">
        <v>927</v>
      </c>
      <c r="C323" s="22" t="s">
        <v>912</v>
      </c>
      <c r="D323" s="33">
        <v>72.0</v>
      </c>
      <c r="E323" s="34">
        <v>45843</v>
      </c>
      <c r="F323" s="88" t="s">
        <v>565</v>
      </c>
      <c r="G323" s="109">
        <v>2.75806372E8</v>
      </c>
      <c r="H323" s="64" t="s">
        <v>928</v>
      </c>
      <c r="I323" s="16">
        <f>IF(@Table1[[#This Row],[Delivery Date]]="","NA",@Table1[[#This Row],[Delivery Date]]+30)</f>
        <v>45873.0</v>
      </c>
      <c r="J323" s="35" t="s">
        <f t="shared" si="5"/>
        <v>28</v>
      </c>
      <c r="K323" s="87">
        <v>18720.0</v>
      </c>
      <c r="L323" s="89"/>
      <c r="M323" s="89"/>
      <c r="N323" s="89"/>
    </row>
    <row r="324" customHeight="1" ht="14.0">
      <c r="A324" s="32" t="s">
        <v>929</v>
      </c>
      <c r="B324" s="64" t="s">
        <v>930</v>
      </c>
      <c r="C324" s="22" t="s">
        <v>15</v>
      </c>
      <c r="D324" s="33">
        <v>72.0</v>
      </c>
      <c r="E324" s="34">
        <v>45842</v>
      </c>
      <c r="F324" s="88" t="s">
        <v>565</v>
      </c>
      <c r="G324" s="109">
        <v>2.7580638E8</v>
      </c>
      <c r="H324" s="64" t="s">
        <v>931</v>
      </c>
      <c r="I324" s="16">
        <f>IF(@Table1[[#This Row],[Delivery Date]]="","NA",@Table1[[#This Row],[Delivery Date]]+30)</f>
        <v>45872.0</v>
      </c>
      <c r="J324" s="35" t="s">
        <f t="shared" si="5"/>
        <v>28</v>
      </c>
      <c r="K324" s="87">
        <v>24336.0</v>
      </c>
      <c r="L324" s="89"/>
      <c r="M324" s="89"/>
      <c r="N324" s="89"/>
    </row>
    <row r="325" customHeight="1" ht="14.0">
      <c r="A325" s="32" t="s">
        <v>932</v>
      </c>
      <c r="B325" s="64" t="s">
        <v>933</v>
      </c>
      <c r="C325" s="22" t="s">
        <v>26</v>
      </c>
      <c r="D325" s="33">
        <v>72.0</v>
      </c>
      <c r="E325" s="34">
        <v>45845</v>
      </c>
      <c r="F325" s="88" t="s">
        <v>565</v>
      </c>
      <c r="G325" s="109">
        <v>2.75806376E8</v>
      </c>
      <c r="H325" s="64" t="s">
        <v>934</v>
      </c>
      <c r="I325" s="16">
        <f>IF(@Table1[[#This Row],[Delivery Date]]="","NA",@Table1[[#This Row],[Delivery Date]]+30)</f>
        <v>45875.0</v>
      </c>
      <c r="J325" s="35" t="s">
        <f t="shared" si="5"/>
        <v>28</v>
      </c>
      <c r="K325" s="87">
        <v>24336.0</v>
      </c>
      <c r="L325" s="89"/>
      <c r="M325" s="89"/>
      <c r="N325" s="89"/>
    </row>
    <row r="326" customHeight="1" ht="14.0">
      <c r="A326" s="32" t="s">
        <v>935</v>
      </c>
      <c r="B326" s="64" t="s">
        <v>936</v>
      </c>
      <c r="C326" s="22" t="s">
        <v>783</v>
      </c>
      <c r="D326" s="33">
        <v>36.0</v>
      </c>
      <c r="E326" s="34">
        <v>45852</v>
      </c>
      <c r="F326" s="88" t="s">
        <v>565</v>
      </c>
      <c r="G326" s="109">
        <v>2.75806373E8</v>
      </c>
      <c r="H326" s="64" t="s">
        <v>937</v>
      </c>
      <c r="I326" s="16">
        <f>IF(@Table1[[#This Row],[Delivery Date]]="","NA",@Table1[[#This Row],[Delivery Date]]+30)</f>
        <v>45882.0</v>
      </c>
      <c r="J326" s="35" t="s">
        <f t="shared" si="5"/>
        <v>28</v>
      </c>
      <c r="K326" s="87">
        <v>12168.0</v>
      </c>
      <c r="L326" s="89"/>
      <c r="M326" s="89"/>
      <c r="N326" s="89"/>
    </row>
    <row r="327" customHeight="1" ht="14.0">
      <c r="A327" s="32" t="s">
        <v>938</v>
      </c>
      <c r="B327" s="64" t="s">
        <v>939</v>
      </c>
      <c r="C327" s="22" t="s">
        <v>147</v>
      </c>
      <c r="D327" s="33">
        <v>72.0</v>
      </c>
      <c r="E327" s="34">
        <v>45845</v>
      </c>
      <c r="F327" s="88" t="s">
        <v>565</v>
      </c>
      <c r="G327" s="109">
        <v>2.75806377E8</v>
      </c>
      <c r="H327" s="64" t="s">
        <v>940</v>
      </c>
      <c r="I327" s="16">
        <f>IF(@Table1[[#This Row],[Delivery Date]]="","NA",@Table1[[#This Row],[Delivery Date]]+30)</f>
        <v>45875.0</v>
      </c>
      <c r="J327" s="35" t="s">
        <f t="shared" si="5"/>
        <v>28</v>
      </c>
      <c r="K327" s="87">
        <v>24336.0</v>
      </c>
      <c r="L327" s="89"/>
      <c r="M327" s="89"/>
      <c r="N327" s="89"/>
    </row>
    <row r="328" customHeight="1" ht="14.0">
      <c r="A328" s="32" t="s">
        <v>941</v>
      </c>
      <c r="B328" s="64" t="s">
        <v>942</v>
      </c>
      <c r="C328" s="22" t="s">
        <v>796</v>
      </c>
      <c r="D328" s="33">
        <v>36.0</v>
      </c>
      <c r="E328" s="34">
        <v>45845</v>
      </c>
      <c r="F328" s="88" t="s">
        <v>565</v>
      </c>
      <c r="G328" s="109">
        <v>2.75806379E8</v>
      </c>
      <c r="H328" s="64" t="s">
        <v>943</v>
      </c>
      <c r="I328" s="16">
        <f>IF(@Table1[[#This Row],[Delivery Date]]="","NA",@Table1[[#This Row],[Delivery Date]]+30)</f>
        <v>45875.0</v>
      </c>
      <c r="J328" s="35" t="s">
        <f t="shared" si="5"/>
        <v>28</v>
      </c>
      <c r="K328" s="87">
        <v>12168.0</v>
      </c>
      <c r="L328" s="89"/>
      <c r="M328" s="89"/>
      <c r="N328" s="89"/>
    </row>
    <row r="329" customHeight="1" ht="14.0">
      <c r="A329" s="32" t="s">
        <v>944</v>
      </c>
      <c r="B329" s="64" t="s">
        <v>945</v>
      </c>
      <c r="C329" s="22" t="s">
        <v>58</v>
      </c>
      <c r="D329" s="33">
        <v>434.0</v>
      </c>
      <c r="E329" s="34">
        <v>45848</v>
      </c>
      <c r="F329" s="88" t="s">
        <v>565</v>
      </c>
      <c r="G329" s="109">
        <v>2.75806409E8</v>
      </c>
      <c r="H329" s="64" t="s">
        <v>946</v>
      </c>
      <c r="I329" s="16">
        <f>IF(@Table1[[#This Row],[Delivery Date]]="","NA",@Table1[[#This Row],[Delivery Date]]+30)</f>
        <v>45878.0</v>
      </c>
      <c r="J329" s="35" t="s">
        <f t="shared" si="5"/>
        <v>28</v>
      </c>
      <c r="K329" s="87">
        <v>29900.0</v>
      </c>
      <c r="L329" s="89"/>
      <c r="M329" s="99"/>
      <c r="N329" s="89"/>
    </row>
    <row r="330" customHeight="1" ht="14.0">
      <c r="A330" s="32" t="s">
        <v>947</v>
      </c>
      <c r="B330" s="64" t="s">
        <v>948</v>
      </c>
      <c r="C330" s="22" t="s">
        <v>420</v>
      </c>
      <c r="D330" s="33">
        <v>576.0</v>
      </c>
      <c r="E330" s="34">
        <v>45868</v>
      </c>
      <c r="F330" s="88" t="s">
        <v>565</v>
      </c>
      <c r="G330" s="109">
        <v>2.89237465E8</v>
      </c>
      <c r="H330" s="64" t="s">
        <v>949</v>
      </c>
      <c r="I330" s="16">
        <f>IF(@Table1[[#This Row],[Delivery Date]]="","NA",@Table1[[#This Row],[Delivery Date]]+30)</f>
        <v>45898.0</v>
      </c>
      <c r="J330" s="35" t="s">
        <f t="shared" si="5"/>
        <v>28</v>
      </c>
      <c r="K330" s="87">
        <v>35742.0</v>
      </c>
      <c r="L330" s="100"/>
      <c r="N330" s="101"/>
    </row>
    <row r="331" customHeight="1" ht="14.0">
      <c r="A331" s="32" t="s">
        <v>950</v>
      </c>
      <c r="B331" s="64" t="s">
        <v>951</v>
      </c>
      <c r="C331" s="22" t="s">
        <v>144</v>
      </c>
      <c r="D331" s="33">
        <v>231.0</v>
      </c>
      <c r="E331" s="34">
        <v>45855</v>
      </c>
      <c r="F331" s="88" t="s">
        <v>565</v>
      </c>
      <c r="G331" s="109">
        <v>2.75806343E8</v>
      </c>
      <c r="H331" s="64" t="s">
        <v>952</v>
      </c>
      <c r="I331" s="16">
        <f>IF(@Table1[[#This Row],[Delivery Date]]="","NA",@Table1[[#This Row],[Delivery Date]]+30)</f>
        <v>45885.0</v>
      </c>
      <c r="J331" s="35" t="s">
        <f t="shared" si="5"/>
        <v>28</v>
      </c>
      <c r="K331" s="87">
        <v>11583.0</v>
      </c>
      <c r="L331" s="89"/>
      <c r="M331" s="96">
        <v>2.89237466E8</v>
      </c>
      <c r="N331" s="89"/>
    </row>
    <row r="332" customHeight="1" ht="14.0">
      <c r="A332" s="32" t="s">
        <v>953</v>
      </c>
      <c r="B332" s="64" t="s">
        <v>954</v>
      </c>
      <c r="C332" s="22" t="s">
        <v>955</v>
      </c>
      <c r="D332" s="33">
        <v>511.0</v>
      </c>
      <c r="E332" s="34">
        <v>45859</v>
      </c>
      <c r="F332" s="88" t="s">
        <v>565</v>
      </c>
      <c r="G332" s="109">
        <v>2.75806346E8</v>
      </c>
      <c r="H332" s="64" t="s">
        <v>956</v>
      </c>
      <c r="I332" s="16">
        <f>IF(@Table1[[#This Row],[Delivery Date]]="","NA",@Table1[[#This Row],[Delivery Date]]+30)</f>
        <v>45889.0</v>
      </c>
      <c r="J332" s="35" t="s">
        <f t="shared" si="5"/>
        <v>28</v>
      </c>
      <c r="K332" s="87">
        <v>38096.5</v>
      </c>
      <c r="L332" s="89"/>
      <c r="M332" s="89"/>
      <c r="N332" s="89"/>
    </row>
    <row r="333" customHeight="1" ht="14.0">
      <c r="A333" s="32" t="s">
        <v>957</v>
      </c>
      <c r="B333" s="64" t="s">
        <v>958</v>
      </c>
      <c r="C333" s="22" t="s">
        <v>478</v>
      </c>
      <c r="D333" s="33">
        <v>319.0</v>
      </c>
      <c r="E333" s="34">
        <v>45854</v>
      </c>
      <c r="F333" s="88" t="s">
        <v>565</v>
      </c>
      <c r="G333" s="109">
        <v>2.75806342E8</v>
      </c>
      <c r="H333" s="64" t="s">
        <v>959</v>
      </c>
      <c r="I333" s="16">
        <f>IF(@Table1[[#This Row],[Delivery Date]]="","NA",@Table1[[#This Row],[Delivery Date]]+30)</f>
        <v>45884.0</v>
      </c>
      <c r="J333" s="35" t="s">
        <f t="shared" si="5"/>
        <v>28</v>
      </c>
      <c r="K333" s="87">
        <v>33455.5</v>
      </c>
      <c r="L333" s="89"/>
      <c r="M333" s="89"/>
      <c r="N333" s="89"/>
    </row>
    <row r="334" customHeight="1" ht="14.0">
      <c r="A334" s="32" t="s">
        <v>960</v>
      </c>
      <c r="B334" s="64" t="s">
        <v>961</v>
      </c>
      <c r="C334" s="22" t="s">
        <v>33</v>
      </c>
      <c r="D334" s="33">
        <v>183.0</v>
      </c>
      <c r="E334" s="34">
        <v>45868</v>
      </c>
      <c r="F334" s="88" t="s">
        <v>565</v>
      </c>
      <c r="G334" s="96">
        <v>2.89237466E8</v>
      </c>
      <c r="H334" s="64" t="s">
        <v>962</v>
      </c>
      <c r="I334" s="16">
        <f>IF(@Table1[[#This Row],[Delivery Date]]="","NA",@Table1[[#This Row],[Delivery Date]]+30)</f>
        <v>45898.0</v>
      </c>
      <c r="J334" s="35" t="s">
        <f t="shared" si="5"/>
        <v>28</v>
      </c>
      <c r="K334" s="93">
        <v>10081.5</v>
      </c>
      <c r="L334" s="89"/>
      <c r="M334" s="89"/>
      <c r="N334" s="89"/>
    </row>
    <row r="335" customHeight="1" ht="14.0">
      <c r="A335" s="32" t="s">
        <v>963</v>
      </c>
      <c r="B335" s="64" t="s">
        <v>964</v>
      </c>
      <c r="C335" s="22" t="s">
        <v>15</v>
      </c>
      <c r="D335" s="33">
        <v>363.0</v>
      </c>
      <c r="E335" s="34">
        <v>45853</v>
      </c>
      <c r="F335" s="88" t="s">
        <v>565</v>
      </c>
      <c r="G335" s="109">
        <v>2.75806341E8</v>
      </c>
      <c r="H335" s="64" t="s">
        <v>965</v>
      </c>
      <c r="I335" s="16">
        <f>IF(@Table1[[#This Row],[Delivery Date]]="","NA",@Table1[[#This Row],[Delivery Date]]+30)</f>
        <v>45883.0</v>
      </c>
      <c r="J335" s="35" t="s">
        <f t="shared" si="5"/>
        <v>28</v>
      </c>
      <c r="K335" s="87">
        <v>27124.5</v>
      </c>
      <c r="L335" s="89"/>
      <c r="M335" s="89"/>
      <c r="N335" s="89"/>
    </row>
    <row r="336" customHeight="1" ht="14.0">
      <c r="A336" s="32" t="s">
        <v>966</v>
      </c>
      <c r="B336" s="64" t="s">
        <v>967</v>
      </c>
      <c r="C336" s="22" t="s">
        <v>905</v>
      </c>
      <c r="D336" s="33">
        <v>400.0</v>
      </c>
      <c r="E336" s="34">
        <v>45853</v>
      </c>
      <c r="F336" s="88" t="s">
        <v>565</v>
      </c>
      <c r="G336" s="109">
        <v>2.75806345E8</v>
      </c>
      <c r="H336" s="64" t="s">
        <v>968</v>
      </c>
      <c r="I336" s="16">
        <f>IF(@Table1[[#This Row],[Delivery Date]]="","NA",@Table1[[#This Row],[Delivery Date]]+30)</f>
        <v>45883.0</v>
      </c>
      <c r="J336" s="35" t="s">
        <f t="shared" si="5"/>
        <v>28</v>
      </c>
      <c r="K336" s="87">
        <v>37882.0</v>
      </c>
      <c r="L336" s="89"/>
      <c r="M336" s="89"/>
      <c r="N336" s="89"/>
    </row>
    <row r="337" customHeight="1" ht="14.0">
      <c r="A337" s="32" t="s">
        <v>969</v>
      </c>
      <c r="B337" s="64" t="s">
        <v>970</v>
      </c>
      <c r="C337" s="22" t="s">
        <v>971</v>
      </c>
      <c r="D337" s="33">
        <v>432.0</v>
      </c>
      <c r="E337" s="34">
        <v>45861</v>
      </c>
      <c r="F337" s="88" t="s">
        <v>565</v>
      </c>
      <c r="G337" s="109">
        <v>2.89189941E8</v>
      </c>
      <c r="H337" s="64" t="s">
        <v>972</v>
      </c>
      <c r="I337" s="16">
        <f>IF(@Table1[[#This Row],[Delivery Date]]="","NA",@Table1[[#This Row],[Delivery Date]]+30)</f>
        <v>45891.0</v>
      </c>
      <c r="J337" s="35" t="s">
        <f t="shared" si="5"/>
        <v>28</v>
      </c>
      <c r="K337" s="87">
        <v>35587.5</v>
      </c>
      <c r="L337" s="89"/>
      <c r="M337" s="89"/>
      <c r="N337" s="89"/>
    </row>
    <row r="338" customHeight="1" ht="14.0">
      <c r="A338" s="32" t="s">
        <v>973</v>
      </c>
      <c r="B338" s="64" t="s">
        <v>974</v>
      </c>
      <c r="C338" s="22" t="s">
        <v>975</v>
      </c>
      <c r="D338" s="33">
        <v>36.0</v>
      </c>
      <c r="E338" s="34">
        <v>45863</v>
      </c>
      <c r="F338" s="88" t="s">
        <v>565</v>
      </c>
      <c r="G338" s="109">
        <v>2.89189949E8</v>
      </c>
      <c r="H338" s="64" t="s">
        <v>976</v>
      </c>
      <c r="I338" s="16">
        <f>IF(@Table1[[#This Row],[Delivery Date]]="","NA",@Table1[[#This Row],[Delivery Date]]+30)</f>
        <v>45893.0</v>
      </c>
      <c r="J338" s="35" t="s">
        <f t="shared" si="5"/>
        <v>28</v>
      </c>
      <c r="K338" s="87">
        <v>9360.0</v>
      </c>
      <c r="L338" s="89"/>
      <c r="M338" s="89"/>
      <c r="N338" s="89"/>
    </row>
    <row r="339" customHeight="1" ht="14.0">
      <c r="A339" s="32" t="s">
        <v>977</v>
      </c>
      <c r="B339" s="64" t="s">
        <v>978</v>
      </c>
      <c r="C339" s="22" t="s">
        <v>905</v>
      </c>
      <c r="D339" s="33">
        <v>373.0</v>
      </c>
      <c r="E339" s="34">
        <v>45867</v>
      </c>
      <c r="F339" s="88" t="s">
        <v>565</v>
      </c>
      <c r="G339" s="109">
        <v>2.89237404E8</v>
      </c>
      <c r="H339" s="64" t="s">
        <v>979</v>
      </c>
      <c r="I339" s="16">
        <f>IF(@Table1[[#This Row],[Delivery Date]]="","NA",@Table1[[#This Row],[Delivery Date]]+30)</f>
        <v>45897.0</v>
      </c>
      <c r="J339" s="35" t="s">
        <f t="shared" si="5"/>
        <v>28</v>
      </c>
      <c r="K339" s="87">
        <v>24680.5</v>
      </c>
      <c r="L339" s="89"/>
      <c r="M339" s="89"/>
      <c r="N339" s="89"/>
    </row>
    <row r="340" customHeight="1" ht="14.0">
      <c r="A340" s="32" t="s">
        <v>980</v>
      </c>
      <c r="B340" s="64" t="s">
        <v>981</v>
      </c>
      <c r="C340" s="22" t="s">
        <v>58</v>
      </c>
      <c r="D340" s="33">
        <v>748.0</v>
      </c>
      <c r="E340" s="34">
        <v>45865</v>
      </c>
      <c r="F340" s="88" t="s">
        <v>565</v>
      </c>
      <c r="G340" s="109">
        <v>2.89189942E8</v>
      </c>
      <c r="H340" s="64" t="s">
        <v>982</v>
      </c>
      <c r="I340" s="16">
        <f>IF(@Table1[[#This Row],[Delivery Date]]="","NA",@Table1[[#This Row],[Delivery Date]]+30)</f>
        <v>45895.0</v>
      </c>
      <c r="J340" s="35" t="s">
        <f t="shared" si="5"/>
        <v>28</v>
      </c>
      <c r="K340" s="87">
        <v>54632.5</v>
      </c>
      <c r="L340" s="89"/>
      <c r="M340" s="89"/>
      <c r="N340" s="89"/>
    </row>
    <row r="341" customHeight="1" ht="14.0">
      <c r="A341" s="32" t="s">
        <v>983</v>
      </c>
      <c r="B341" s="64" t="s">
        <v>984</v>
      </c>
      <c r="C341" s="22" t="s">
        <v>147</v>
      </c>
      <c r="D341" s="33">
        <v>342.0</v>
      </c>
      <c r="E341" s="34">
        <v>45865</v>
      </c>
      <c r="F341" s="88" t="s">
        <v>565</v>
      </c>
      <c r="G341" s="109">
        <v>2.8918995E8</v>
      </c>
      <c r="H341" s="64" t="s">
        <v>985</v>
      </c>
      <c r="I341" s="16">
        <f>IF(@Table1[[#This Row],[Delivery Date]]="","NA",@Table1[[#This Row],[Delivery Date]]+30)</f>
        <v>45895.0</v>
      </c>
      <c r="J341" s="35" t="s">
        <f t="shared" si="5"/>
        <v>28</v>
      </c>
      <c r="K341" s="87">
        <v>27495.0</v>
      </c>
      <c r="L341" s="89"/>
      <c r="M341" s="89"/>
      <c r="N341" s="89"/>
    </row>
    <row r="342" customHeight="1" ht="14.0">
      <c r="A342" s="32" t="s">
        <v>986</v>
      </c>
      <c r="B342" s="64" t="s">
        <v>987</v>
      </c>
      <c r="C342" s="22" t="s">
        <v>420</v>
      </c>
      <c r="D342" s="33">
        <v>572.0</v>
      </c>
      <c r="E342" s="34">
        <v>45863</v>
      </c>
      <c r="F342" s="88" t="s">
        <v>565</v>
      </c>
      <c r="G342" s="109">
        <v>2.89237403E8</v>
      </c>
      <c r="H342" s="64" t="s">
        <v>988</v>
      </c>
      <c r="I342" s="16">
        <f>IF(@Table1[[#This Row],[Delivery Date]]="","NA",@Table1[[#This Row],[Delivery Date]]+30)</f>
        <v>45893.0</v>
      </c>
      <c r="J342" s="35" t="s">
        <f t="shared" si="5"/>
        <v>28</v>
      </c>
      <c r="K342" s="87">
        <v>41404.0</v>
      </c>
      <c r="L342" s="89"/>
      <c r="M342" s="89"/>
      <c r="N342" s="89"/>
    </row>
    <row r="343" customHeight="1" ht="14.0">
      <c r="A343" s="32" t="s">
        <v>989</v>
      </c>
      <c r="B343" s="64" t="s">
        <v>990</v>
      </c>
      <c r="C343" s="22" t="s">
        <v>144</v>
      </c>
      <c r="D343" s="33">
        <v>324.0</v>
      </c>
      <c r="E343" s="34">
        <v>45865</v>
      </c>
      <c r="F343" s="88" t="s">
        <v>565</v>
      </c>
      <c r="G343" s="109">
        <v>2.89237405E8</v>
      </c>
      <c r="H343" s="64" t="s">
        <v>991</v>
      </c>
      <c r="I343" s="16">
        <f>IF(@Table1[[#This Row],[Delivery Date]]="","NA",@Table1[[#This Row],[Delivery Date]]+30)</f>
        <v>45895.0</v>
      </c>
      <c r="J343" s="35" t="s">
        <f t="shared" si="5"/>
        <v>28</v>
      </c>
      <c r="K343" s="87">
        <v>16438.5</v>
      </c>
      <c r="L343" s="89"/>
      <c r="M343" s="89"/>
      <c r="N343" s="89"/>
    </row>
    <row r="344" customHeight="1" ht="14.0">
      <c r="A344" s="32" t="s">
        <v>992</v>
      </c>
      <c r="B344" s="64" t="s">
        <v>993</v>
      </c>
      <c r="C344" s="22" t="s">
        <v>796</v>
      </c>
      <c r="D344" s="33">
        <v>612.0</v>
      </c>
      <c r="E344" s="34">
        <v>45867</v>
      </c>
      <c r="F344" s="88" t="s">
        <v>565</v>
      </c>
      <c r="G344" s="109">
        <v>2.89237401E8</v>
      </c>
      <c r="H344" s="64" t="s">
        <v>994</v>
      </c>
      <c r="I344" s="16">
        <f>IF(@Table1[[#This Row],[Delivery Date]]="","NA",@Table1[[#This Row],[Delivery Date]]+30)</f>
        <v>45897.0</v>
      </c>
      <c r="J344" s="35" t="s">
        <f t="shared" si="5"/>
        <v>28</v>
      </c>
      <c r="K344" s="87">
        <v>40657.5</v>
      </c>
      <c r="L344" s="89"/>
      <c r="M344" s="89"/>
      <c r="N344" s="89"/>
    </row>
    <row r="345" customHeight="1" ht="14.0">
      <c r="A345" s="32" t="s">
        <v>995</v>
      </c>
      <c r="B345" s="64" t="s">
        <v>996</v>
      </c>
      <c r="C345" s="22" t="s">
        <v>30</v>
      </c>
      <c r="D345" s="33">
        <v>600.0</v>
      </c>
      <c r="E345" s="34">
        <v>45871</v>
      </c>
      <c r="F345" s="88" t="s">
        <v>565</v>
      </c>
      <c r="G345" s="109">
        <v>2.89237467E8</v>
      </c>
      <c r="H345" s="64" t="s">
        <v>997</v>
      </c>
      <c r="I345" s="16">
        <f>IF(@Table1[[#This Row],[Delivery Date]]="","NA",@Table1[[#This Row],[Delivery Date]]+30)</f>
        <v>45901.0</v>
      </c>
      <c r="J345" s="35" t="s">
        <f t="shared" si="5"/>
        <v>28</v>
      </c>
      <c r="K345" s="87">
        <v>36543.0</v>
      </c>
      <c r="L345" s="89"/>
      <c r="M345" s="89"/>
      <c r="N345" s="89"/>
    </row>
    <row r="346" customHeight="1" ht="14.0">
      <c r="A346" s="32" t="s">
        <v>998</v>
      </c>
      <c r="B346" s="64" t="s">
        <v>999</v>
      </c>
      <c r="C346" s="22" t="s">
        <v>912</v>
      </c>
      <c r="D346" s="33">
        <v>874.0</v>
      </c>
      <c r="E346" s="34">
        <v>45871</v>
      </c>
      <c r="F346" s="88" t="s">
        <v>565</v>
      </c>
      <c r="G346" s="109">
        <v>2.89237495E8</v>
      </c>
      <c r="H346" s="64" t="s">
        <v>1000</v>
      </c>
      <c r="I346" s="16">
        <f>IF(@Table1[[#This Row],[Delivery Date]]="","NA",@Table1[[#This Row],[Delivery Date]]+30)</f>
        <v>45901.0</v>
      </c>
      <c r="J346" s="35" t="s">
        <f t="shared" si="5"/>
        <v>28</v>
      </c>
      <c r="K346" s="87">
        <v>63680.0</v>
      </c>
      <c r="L346" s="89"/>
      <c r="M346" s="89"/>
      <c r="N346" s="89"/>
    </row>
    <row r="347" customHeight="1" ht="14.0">
      <c r="A347" s="32" t="s">
        <v>1001</v>
      </c>
      <c r="B347" s="64" t="s">
        <v>1002</v>
      </c>
      <c r="C347" s="22" t="s">
        <v>58</v>
      </c>
      <c r="D347" s="33">
        <v>1112.0</v>
      </c>
      <c r="E347" s="34">
        <v>45870</v>
      </c>
      <c r="F347" s="88" t="s">
        <v>565</v>
      </c>
      <c r="G347" s="95">
        <v>2.89237472E8</v>
      </c>
      <c r="H347" s="64" t="s">
        <v>1003</v>
      </c>
      <c r="I347" s="16">
        <f>IF(@Table1[[#This Row],[Delivery Date]]="","NA",@Table1[[#This Row],[Delivery Date]]+30)</f>
        <v>45900.0</v>
      </c>
      <c r="J347" s="35" t="s">
        <f t="shared" si="5"/>
        <v>28</v>
      </c>
      <c r="K347" s="87">
        <v>85182.5</v>
      </c>
      <c r="L347" s="89"/>
      <c r="M347" s="89"/>
      <c r="N347" s="89"/>
    </row>
    <row r="348" customHeight="1" ht="14.0">
      <c r="A348" s="32" t="s">
        <v>1004</v>
      </c>
      <c r="B348" s="64" t="s">
        <v>1005</v>
      </c>
      <c r="C348" s="22" t="s">
        <v>420</v>
      </c>
      <c r="D348" s="33">
        <v>1107.0</v>
      </c>
      <c r="E348" s="34">
        <v>45871</v>
      </c>
      <c r="F348" s="113" t="s">
        <v>565</v>
      </c>
      <c r="G348" s="109">
        <v>2.89237468E8</v>
      </c>
      <c r="H348" s="64" t="s">
        <v>1006</v>
      </c>
      <c r="I348" s="16">
        <f>IF(@Table1[[#This Row],[Delivery Date]]="","NA",@Table1[[#This Row],[Delivery Date]]+30)</f>
        <v>45901.0</v>
      </c>
      <c r="J348" s="35" t="s">
        <f t="shared" si="5"/>
        <v>28</v>
      </c>
      <c r="K348" s="87">
        <v>65927.0</v>
      </c>
      <c r="L348" s="89"/>
      <c r="M348" s="89"/>
      <c r="N348" s="89"/>
    </row>
    <row r="349" customHeight="1" ht="14.0">
      <c r="A349" s="32" t="s">
        <v>1007</v>
      </c>
      <c r="B349" s="64" t="s">
        <v>1008</v>
      </c>
      <c r="C349" s="22" t="s">
        <v>15</v>
      </c>
      <c r="D349" s="33">
        <v>330.0</v>
      </c>
      <c r="E349" s="34">
        <v>45868</v>
      </c>
      <c r="F349" s="88" t="s">
        <v>565</v>
      </c>
      <c r="G349" s="96">
        <v>2.89237476E8</v>
      </c>
      <c r="H349" s="64" t="s">
        <v>1009</v>
      </c>
      <c r="I349" s="16">
        <f>IF(@Table1[[#This Row],[Delivery Date]]="","NA",@Table1[[#This Row],[Delivery Date]]+30)</f>
        <v>45898.0</v>
      </c>
      <c r="J349" s="35" t="s">
        <f t="shared" si="5"/>
        <v>28</v>
      </c>
      <c r="K349" s="87">
        <v>28197.0</v>
      </c>
      <c r="L349" s="89"/>
      <c r="M349" s="89"/>
      <c r="N349" s="89"/>
    </row>
    <row r="350" customHeight="1" ht="14.0">
      <c r="A350" s="32" t="s">
        <v>1010</v>
      </c>
      <c r="B350" s="64" t="s">
        <v>1011</v>
      </c>
      <c r="C350" s="22" t="s">
        <v>905</v>
      </c>
      <c r="D350" s="33">
        <v>791.0</v>
      </c>
      <c r="E350" s="34">
        <v>45868</v>
      </c>
      <c r="F350" s="113" t="s">
        <v>565</v>
      </c>
      <c r="G350" s="109">
        <v>2.89237473E8</v>
      </c>
      <c r="H350" s="63" t="s">
        <v>1012</v>
      </c>
      <c r="I350" s="16">
        <f>IF(@Table1[[#This Row],[Delivery Date]]="","NA",@Table1[[#This Row],[Delivery Date]]+30)</f>
        <v>45898.0</v>
      </c>
      <c r="J350" s="35" t="s">
        <f t="shared" si="5"/>
        <v>28</v>
      </c>
      <c r="K350" s="87">
        <v>53417.0</v>
      </c>
      <c r="L350" s="89"/>
      <c r="M350" s="89"/>
      <c r="N350" s="89"/>
    </row>
    <row r="351" customHeight="1" ht="14.0">
      <c r="A351" s="32" t="s">
        <v>1013</v>
      </c>
      <c r="B351" s="64" t="s">
        <v>1014</v>
      </c>
      <c r="C351" s="22" t="s">
        <v>26</v>
      </c>
      <c r="D351" s="33">
        <v>448.0</v>
      </c>
      <c r="E351" s="34">
        <v>45877</v>
      </c>
      <c r="F351" s="88" t="s">
        <v>565</v>
      </c>
      <c r="G351" s="114">
        <v>2.89204573E8</v>
      </c>
      <c r="H351" s="64" t="s">
        <v>1015</v>
      </c>
      <c r="I351" s="16">
        <f>IF(@Table1[[#This Row],[Delivery Date]]="","NA",@Table1[[#This Row],[Delivery Date]]+30)</f>
        <v>45907.0</v>
      </c>
      <c r="J351" s="35" t="s">
        <f t="shared" si="5"/>
        <v>28</v>
      </c>
      <c r="K351" s="87"/>
      <c r="L351" s="89"/>
      <c r="M351" s="89"/>
      <c r="N351" s="89"/>
    </row>
    <row r="352" customHeight="1" ht="14.0">
      <c r="A352" s="32" t="s">
        <v>1016</v>
      </c>
      <c r="B352" s="64" t="s">
        <v>1017</v>
      </c>
      <c r="C352" s="22" t="s">
        <v>144</v>
      </c>
      <c r="D352" s="33">
        <v>195.0</v>
      </c>
      <c r="E352" s="34">
        <v>45876</v>
      </c>
      <c r="F352" s="88" t="s">
        <v>565</v>
      </c>
      <c r="G352" s="115">
        <v>2.89204574E8</v>
      </c>
      <c r="H352" s="22" t="s">
        <v>1018</v>
      </c>
      <c r="I352" s="82">
        <f>IF(@Table1[[#This Row],[Delivery Date]]="","NA",@Table1[[#This Row],[Delivery Date]]+30)</f>
        <v>45906.0</v>
      </c>
      <c r="J352" s="35" t="s">
        <f t="shared" si="5"/>
        <v>28</v>
      </c>
      <c r="K352" s="87"/>
      <c r="L352" s="89"/>
      <c r="M352" s="89"/>
      <c r="N352" s="89"/>
    </row>
    <row r="353" customHeight="1" ht="14.0">
      <c r="A353" s="32" t="s">
        <v>1019</v>
      </c>
      <c r="B353" s="64" t="s">
        <v>1020</v>
      </c>
      <c r="C353" s="22" t="s">
        <v>783</v>
      </c>
      <c r="D353" s="33">
        <v>417.0</v>
      </c>
      <c r="E353" s="34">
        <v>45875</v>
      </c>
      <c r="F353" s="88" t="s">
        <v>565</v>
      </c>
      <c r="G353" s="115">
        <v>2.89204575E8</v>
      </c>
      <c r="H353" s="22" t="s">
        <v>1021</v>
      </c>
      <c r="I353" s="82">
        <f>IF(@Table1[[#This Row],[Delivery Date]]="","NA",@Table1[[#This Row],[Delivery Date]]+30)</f>
        <v>45905.0</v>
      </c>
      <c r="J353" s="35" t="s">
        <f t="shared" si="5"/>
        <v>28</v>
      </c>
      <c r="K353" s="87"/>
      <c r="L353" s="89"/>
      <c r="M353" s="89"/>
      <c r="N353" s="89"/>
    </row>
    <row r="354" customHeight="1" ht="14.0">
      <c r="A354" s="32" t="s">
        <v>1022</v>
      </c>
      <c r="B354" s="64" t="s">
        <v>1023</v>
      </c>
      <c r="C354" s="22" t="s">
        <v>905</v>
      </c>
      <c r="D354" s="33">
        <v>374.0</v>
      </c>
      <c r="E354" s="34">
        <v>45873</v>
      </c>
      <c r="F354" s="88" t="s">
        <v>565</v>
      </c>
      <c r="G354" s="115">
        <v>2.89204576E8</v>
      </c>
      <c r="H354" s="22" t="s">
        <v>1024</v>
      </c>
      <c r="I354" s="82">
        <f>IF(@Table1[[#This Row],[Delivery Date]]="","NA",@Table1[[#This Row],[Delivery Date]]+30)</f>
        <v>45903.0</v>
      </c>
      <c r="J354" s="35" t="s">
        <f t="shared" si="5"/>
        <v>28</v>
      </c>
      <c r="K354" s="87"/>
      <c r="L354" s="89"/>
      <c r="M354" s="89"/>
      <c r="N354" s="89"/>
    </row>
    <row r="355" customHeight="1" ht="14.0">
      <c r="A355" s="32" t="s">
        <v>1025</v>
      </c>
      <c r="B355" s="64" t="s">
        <v>1026</v>
      </c>
      <c r="C355" s="22" t="s">
        <v>147</v>
      </c>
      <c r="D355" s="33">
        <v>540.0</v>
      </c>
      <c r="E355" s="34">
        <v>45878</v>
      </c>
      <c r="F355" s="88" t="s">
        <v>565</v>
      </c>
      <c r="G355" s="109">
        <v>2.89204577E8</v>
      </c>
      <c r="H355" s="116" t="s">
        <v>1027</v>
      </c>
      <c r="I355" s="16">
        <f>IF(@Table1[[#This Row],[Delivery Date]]="","NA",@Table1[[#This Row],[Delivery Date]]+30)</f>
        <v>45908.0</v>
      </c>
      <c r="J355" s="35" t="s">
        <f t="shared" si="5"/>
        <v>28</v>
      </c>
      <c r="K355" s="87"/>
      <c r="L355" s="89"/>
      <c r="M355" s="89"/>
      <c r="N355" s="89"/>
    </row>
    <row r="356" customHeight="1" ht="14.0">
      <c r="A356" s="32" t="s">
        <v>1028</v>
      </c>
      <c r="B356" s="64" t="s">
        <v>1029</v>
      </c>
      <c r="C356" s="22" t="s">
        <v>1030</v>
      </c>
      <c r="D356" s="33">
        <v>873.0</v>
      </c>
      <c r="E356" s="34">
        <v>45881</v>
      </c>
      <c r="F356" s="88" t="s">
        <v>1031</v>
      </c>
      <c r="G356" s="109">
        <v>2.8920465E8</v>
      </c>
      <c r="H356" s="64" t="s">
        <v>1032</v>
      </c>
      <c r="I356" s="16">
        <f>IF(@Table1[[#This Row],[Delivery Date]]="","NA",@Table1[[#This Row],[Delivery Date]]+30)</f>
        <v>45911.0</v>
      </c>
      <c r="J356" s="35" t="s">
        <f t="shared" si="5"/>
        <v>28</v>
      </c>
      <c r="K356" s="87"/>
      <c r="L356" s="89"/>
      <c r="M356" s="89"/>
      <c r="N356" s="89"/>
    </row>
    <row r="357" customHeight="1" ht="14.0">
      <c r="A357" s="32" t="s">
        <v>1033</v>
      </c>
      <c r="B357" s="64" t="s">
        <v>1034</v>
      </c>
      <c r="C357" s="22" t="s">
        <v>1035</v>
      </c>
      <c r="D357" s="33">
        <v>805.0</v>
      </c>
      <c r="E357" s="34">
        <v>45881</v>
      </c>
      <c r="F357" s="88" t="s">
        <v>1031</v>
      </c>
      <c r="G357" s="109">
        <v>2.89204663E8</v>
      </c>
      <c r="H357" s="64" t="s">
        <v>1036</v>
      </c>
      <c r="I357" s="16">
        <f>IF(@Table1[[#This Row],[Delivery Date]]="","NA",@Table1[[#This Row],[Delivery Date]]+30)</f>
        <v>45911.0</v>
      </c>
      <c r="J357" s="35" t="s">
        <f t="shared" si="5"/>
        <v>28</v>
      </c>
      <c r="K357" s="87"/>
      <c r="L357" s="89"/>
      <c r="M357" s="89"/>
      <c r="N357" s="89"/>
    </row>
    <row r="358" customHeight="1" ht="14.0">
      <c r="A358" s="32" t="s">
        <v>1037</v>
      </c>
      <c r="B358" s="64" t="s">
        <v>1038</v>
      </c>
      <c r="C358" s="22" t="s">
        <v>1039</v>
      </c>
      <c r="D358" s="33">
        <v>696.0</v>
      </c>
      <c r="E358" s="34">
        <v>45882</v>
      </c>
      <c r="F358" s="88" t="s">
        <v>1031</v>
      </c>
      <c r="G358" s="109">
        <v>2.89204665E8</v>
      </c>
      <c r="H358" s="64" t="s">
        <v>1040</v>
      </c>
      <c r="I358" s="16">
        <f>IF(@Table1[[#This Row],[Delivery Date]]="","NA",@Table1[[#This Row],[Delivery Date]]+30)</f>
        <v>45912.0</v>
      </c>
      <c r="J358" s="35" t="s">
        <f t="shared" si="5"/>
        <v>28</v>
      </c>
      <c r="K358" s="87"/>
      <c r="L358" s="89"/>
      <c r="M358" s="89"/>
      <c r="N358" s="89"/>
    </row>
    <row r="359" customHeight="1" ht="14.0">
      <c r="A359" s="32" t="s">
        <v>1041</v>
      </c>
      <c r="B359" s="64" t="s">
        <v>1042</v>
      </c>
      <c r="C359" s="22" t="s">
        <v>1043</v>
      </c>
      <c r="D359" s="33">
        <v>385.0</v>
      </c>
      <c r="E359" s="34">
        <v>45881</v>
      </c>
      <c r="F359" s="88" t="s">
        <v>1031</v>
      </c>
      <c r="G359" s="109">
        <v>2.89204664E8</v>
      </c>
      <c r="H359" s="64" t="s">
        <v>1044</v>
      </c>
      <c r="I359" s="16">
        <f>IF(@Table1[[#This Row],[Delivery Date]]="","NA",@Table1[[#This Row],[Delivery Date]]+30)</f>
        <v>45911.0</v>
      </c>
      <c r="J359" s="35" t="s">
        <f t="shared" si="5"/>
        <v>28</v>
      </c>
      <c r="K359" s="87"/>
      <c r="L359" s="89"/>
      <c r="M359" s="89"/>
      <c r="N359" s="89"/>
    </row>
    <row r="360" customHeight="1" ht="14.0">
      <c r="A360" s="32" t="s">
        <v>1045</v>
      </c>
      <c r="B360" s="64" t="s">
        <v>1046</v>
      </c>
      <c r="C360" s="22" t="s">
        <v>1047</v>
      </c>
      <c r="D360" s="33">
        <v>216.0</v>
      </c>
      <c r="E360" s="34">
        <v>45886</v>
      </c>
      <c r="F360" s="88" t="s">
        <v>1031</v>
      </c>
      <c r="G360" s="109">
        <v>2.66788153E8</v>
      </c>
      <c r="H360" s="64" t="s">
        <v>1048</v>
      </c>
      <c r="I360" s="16">
        <f>IF(@Table1[[#This Row],[Delivery Date]]="","NA",@Table1[[#This Row],[Delivery Date]]+30)</f>
        <v>45916.0</v>
      </c>
      <c r="J360" s="35" t="s">
        <f t="shared" si="5"/>
        <v>28</v>
      </c>
      <c r="K360" s="87"/>
      <c r="L360" s="89"/>
      <c r="M360" s="89"/>
      <c r="N360" s="89"/>
    </row>
    <row r="361" customHeight="1" ht="14.0">
      <c r="A361" s="32" t="s">
        <v>1049</v>
      </c>
      <c r="B361" s="64" t="s">
        <v>1050</v>
      </c>
      <c r="C361" s="22" t="s">
        <v>1051</v>
      </c>
      <c r="D361" s="33">
        <v>144.0</v>
      </c>
      <c r="E361" s="34">
        <v>45887</v>
      </c>
      <c r="F361" s="88" t="s">
        <v>1031</v>
      </c>
      <c r="G361" s="109">
        <v>2.66788154E8</v>
      </c>
      <c r="H361" s="64" t="s">
        <v>1052</v>
      </c>
      <c r="I361" s="16">
        <f>IF(@Table1[[#This Row],[Delivery Date]]="","NA",@Table1[[#This Row],[Delivery Date]]+30)</f>
        <v>45917.0</v>
      </c>
      <c r="J361" s="35" t="s">
        <f t="shared" si="5"/>
        <v>28</v>
      </c>
      <c r="K361" s="87"/>
      <c r="L361" s="89"/>
      <c r="M361" s="89"/>
      <c r="N361" s="89"/>
    </row>
    <row r="362" customHeight="1" ht="14.0">
      <c r="A362" s="32" t="s">
        <v>1053</v>
      </c>
      <c r="B362" s="64" t="s">
        <v>1054</v>
      </c>
      <c r="C362" s="22" t="s">
        <v>1043</v>
      </c>
      <c r="D362" s="33">
        <v>144.0</v>
      </c>
      <c r="E362" s="34">
        <v>45890</v>
      </c>
      <c r="F362" s="88" t="s">
        <v>1031</v>
      </c>
      <c r="G362" s="109">
        <v>2.66788155E8</v>
      </c>
      <c r="H362" s="64" t="s">
        <v>1055</v>
      </c>
      <c r="I362" s="16">
        <f>IF(@Table1[[#This Row],[Delivery Date]]="","NA",@Table1[[#This Row],[Delivery Date]]+30)</f>
        <v>45920.0</v>
      </c>
      <c r="J362" s="35" t="s">
        <f t="shared" si="5"/>
        <v>28</v>
      </c>
      <c r="K362" s="87"/>
      <c r="L362" s="89"/>
      <c r="M362" s="89"/>
      <c r="N362" s="89"/>
    </row>
    <row r="363" customHeight="1" ht="14.0">
      <c r="A363" s="32" t="s">
        <v>1056</v>
      </c>
      <c r="B363" s="64" t="s">
        <v>1057</v>
      </c>
      <c r="C363" s="22" t="s">
        <v>1058</v>
      </c>
      <c r="D363" s="33">
        <v>144.0</v>
      </c>
      <c r="E363" s="34">
        <v>45890</v>
      </c>
      <c r="F363" s="88" t="s">
        <v>1031</v>
      </c>
      <c r="G363" s="109">
        <v>2.66788156E8</v>
      </c>
      <c r="H363" s="64" t="s">
        <v>1059</v>
      </c>
      <c r="I363" s="16">
        <f>IF(@Table1[[#This Row],[Delivery Date]]="","NA",@Table1[[#This Row],[Delivery Date]]+30)</f>
        <v>45920.0</v>
      </c>
      <c r="J363" s="35" t="s">
        <f t="shared" si="5"/>
        <v>28</v>
      </c>
      <c r="K363" s="87"/>
      <c r="L363" s="89"/>
      <c r="M363" s="89"/>
      <c r="N363" s="89"/>
    </row>
    <row r="364" customHeight="1" ht="14.0">
      <c r="A364" s="32" t="s">
        <v>1060</v>
      </c>
      <c r="B364" s="64" t="s">
        <v>1061</v>
      </c>
      <c r="C364" s="22" t="s">
        <v>1062</v>
      </c>
      <c r="D364" s="33">
        <v>900.0</v>
      </c>
      <c r="E364" s="34">
        <v>45895</v>
      </c>
      <c r="F364" s="88" t="s">
        <v>1031</v>
      </c>
      <c r="G364" s="109">
        <v>2.66788213E8</v>
      </c>
      <c r="H364" s="64" t="s">
        <v>1063</v>
      </c>
      <c r="I364" s="16">
        <f>IF(@Table1[[#This Row],[Delivery Date]]="","NA",@Table1[[#This Row],[Delivery Date]]+30)</f>
        <v>45925.0</v>
      </c>
      <c r="J364" s="35" t="s">
        <f t="shared" si="5"/>
        <v>28</v>
      </c>
      <c r="K364" s="87"/>
      <c r="L364" s="89"/>
      <c r="M364" s="89"/>
      <c r="N364" s="89"/>
    </row>
    <row r="365" customHeight="1" ht="14.0">
      <c r="A365" s="32" t="s">
        <v>1064</v>
      </c>
      <c r="B365" s="64" t="s">
        <v>1065</v>
      </c>
      <c r="C365" s="22" t="s">
        <v>1066</v>
      </c>
      <c r="D365" s="33">
        <v>180.0</v>
      </c>
      <c r="E365" s="34">
        <v>45894</v>
      </c>
      <c r="F365" s="88" t="s">
        <v>1031</v>
      </c>
      <c r="G365" s="109">
        <v>2.66788212E8</v>
      </c>
      <c r="H365" s="64" t="s">
        <v>1067</v>
      </c>
      <c r="I365" s="16">
        <f>IF(@Table1[[#This Row],[Delivery Date]]="","NA",@Table1[[#This Row],[Delivery Date]]+30)</f>
        <v>45924.0</v>
      </c>
      <c r="J365" s="35" t="s">
        <f t="shared" si="5"/>
        <v>28</v>
      </c>
      <c r="K365" s="87"/>
      <c r="L365" s="89"/>
      <c r="M365" s="89"/>
      <c r="N365" s="89"/>
    </row>
    <row r="366" customHeight="1" ht="14.0">
      <c r="A366" s="32" t="s">
        <v>1068</v>
      </c>
      <c r="B366" s="64" t="s">
        <v>1069</v>
      </c>
      <c r="C366" s="22" t="s">
        <v>1070</v>
      </c>
      <c r="D366" s="33">
        <v>540.0</v>
      </c>
      <c r="E366" s="34">
        <v>45899</v>
      </c>
      <c r="F366" s="88" t="s">
        <v>1031</v>
      </c>
      <c r="G366" s="109">
        <v>2.66788224E8</v>
      </c>
      <c r="H366" s="64" t="s">
        <v>1071</v>
      </c>
      <c r="I366" s="16">
        <f>IF(@Table1[[#This Row],[Delivery Date]]="","NA",@Table1[[#This Row],[Delivery Date]]+30)</f>
        <v>45929.0</v>
      </c>
      <c r="J366" s="35" t="s">
        <f t="shared" si="5"/>
        <v>28</v>
      </c>
      <c r="K366" s="87"/>
      <c r="L366" s="89"/>
      <c r="M366" s="89"/>
      <c r="N366" s="89"/>
    </row>
    <row r="367" customHeight="1" ht="14.0">
      <c r="A367" s="32" t="s">
        <v>1072</v>
      </c>
      <c r="B367" s="64" t="s">
        <v>1073</v>
      </c>
      <c r="C367" s="22" t="s">
        <v>1074</v>
      </c>
      <c r="D367" s="33">
        <v>1236.0</v>
      </c>
      <c r="E367" s="34">
        <v>45897</v>
      </c>
      <c r="F367" s="88" t="s">
        <v>1031</v>
      </c>
      <c r="G367" s="109">
        <v>2.66788203E8</v>
      </c>
      <c r="H367" s="64" t="s">
        <v>1075</v>
      </c>
      <c r="I367" s="16">
        <f>IF(@Table1[[#This Row],[Delivery Date]]="","NA",@Table1[[#This Row],[Delivery Date]]+30)</f>
        <v>45927.0</v>
      </c>
      <c r="J367" s="35" t="s">
        <f t="shared" si="5"/>
        <v>28</v>
      </c>
      <c r="K367" s="87"/>
      <c r="L367" s="89"/>
      <c r="M367" s="89"/>
      <c r="N367" s="89"/>
    </row>
    <row r="368" customHeight="1" ht="14.0">
      <c r="A368" s="32" t="s">
        <v>1076</v>
      </c>
      <c r="B368" s="64" t="s">
        <v>1077</v>
      </c>
      <c r="C368" s="22" t="s">
        <v>1035</v>
      </c>
      <c r="D368" s="33">
        <v>381.0</v>
      </c>
      <c r="E368" s="34">
        <v>45896</v>
      </c>
      <c r="F368" s="88" t="s">
        <v>1031</v>
      </c>
      <c r="G368" s="109">
        <v>2.66788214E8</v>
      </c>
      <c r="H368" s="64" t="s">
        <v>1078</v>
      </c>
      <c r="I368" s="16">
        <f>IF(@Table1[[#This Row],[Delivery Date]]="","NA",@Table1[[#This Row],[Delivery Date]]+30)</f>
        <v>45926.0</v>
      </c>
      <c r="J368" s="35" t="s">
        <f t="shared" si="5"/>
        <v>28</v>
      </c>
      <c r="K368" s="87"/>
      <c r="L368" s="89"/>
      <c r="M368" s="89"/>
      <c r="N368" s="89"/>
    </row>
    <row r="369" customHeight="1" ht="14.0">
      <c r="A369" s="32" t="s">
        <v>1079</v>
      </c>
      <c r="B369" s="64" t="s">
        <v>1080</v>
      </c>
      <c r="C369" s="22" t="s">
        <v>15</v>
      </c>
      <c r="D369" s="33">
        <v>636.0</v>
      </c>
      <c r="E369" s="34">
        <v>45894</v>
      </c>
      <c r="F369" s="88" t="s">
        <v>1031</v>
      </c>
      <c r="G369" s="109">
        <v>2.66788211E8</v>
      </c>
      <c r="H369" s="64" t="s">
        <v>1081</v>
      </c>
      <c r="I369" s="16">
        <f>IF(@Table1[[#This Row],[Delivery Date]]="","NA",@Table1[[#This Row],[Delivery Date]]+30)</f>
        <v>45924.0</v>
      </c>
      <c r="J369" s="35" t="s">
        <f t="shared" si="5"/>
        <v>28</v>
      </c>
      <c r="K369" s="87"/>
      <c r="L369" s="89"/>
      <c r="M369" s="89"/>
      <c r="N369" s="89"/>
    </row>
    <row r="370" customHeight="1" ht="14.0">
      <c r="A370" s="32" t="s">
        <v>1082</v>
      </c>
      <c r="B370" s="64" t="s">
        <v>1083</v>
      </c>
      <c r="C370" s="22" t="s">
        <v>1084</v>
      </c>
      <c r="D370" s="33">
        <v>1217.0</v>
      </c>
      <c r="E370" s="34">
        <v>45894</v>
      </c>
      <c r="F370" s="88" t="s">
        <v>1031</v>
      </c>
      <c r="G370" s="109">
        <v>2.6678821E8</v>
      </c>
      <c r="H370" s="64" t="s">
        <v>1085</v>
      </c>
      <c r="I370" s="16">
        <f>IF(@Table1[[#This Row],[Delivery Date]]="","NA",@Table1[[#This Row],[Delivery Date]]+30)</f>
        <v>45924.0</v>
      </c>
      <c r="J370" s="35" t="s">
        <f t="shared" si="5"/>
        <v>28</v>
      </c>
      <c r="K370" s="87"/>
      <c r="L370" s="89"/>
      <c r="M370" s="89"/>
      <c r="N370" s="89"/>
    </row>
    <row r="371" customHeight="1" ht="14.0">
      <c r="A371" s="32" t="s">
        <v>1086</v>
      </c>
      <c r="B371" s="64" t="s">
        <v>1087</v>
      </c>
      <c r="C371" s="22" t="s">
        <v>1088</v>
      </c>
      <c r="D371" s="33">
        <v>445.0</v>
      </c>
      <c r="E371" s="34">
        <v>45894</v>
      </c>
      <c r="F371" s="88" t="s">
        <v>1031</v>
      </c>
      <c r="G371" s="109">
        <v>2.66788209E8</v>
      </c>
      <c r="H371" s="64" t="s">
        <v>1089</v>
      </c>
      <c r="I371" s="16">
        <f>IF(@Table1[[#This Row],[Delivery Date]]="","NA",@Table1[[#This Row],[Delivery Date]]+30)</f>
        <v>45924.0</v>
      </c>
      <c r="J371" s="35" t="s">
        <f t="shared" si="5"/>
        <v>28</v>
      </c>
      <c r="K371" s="87"/>
      <c r="L371" s="89"/>
      <c r="M371" s="89"/>
      <c r="N371" s="89"/>
    </row>
    <row r="372" customHeight="1" ht="14.0">
      <c r="A372" s="32" t="s">
        <v>1090</v>
      </c>
      <c r="B372" s="64" t="s">
        <v>1091</v>
      </c>
      <c r="C372" s="22" t="s">
        <v>1092</v>
      </c>
      <c r="D372" s="33">
        <v>489.0</v>
      </c>
      <c r="E372" s="34">
        <v>45898</v>
      </c>
      <c r="F372" s="88" t="s">
        <v>1031</v>
      </c>
      <c r="G372" s="109">
        <v>2.66788285E8</v>
      </c>
      <c r="H372" s="64" t="s">
        <v>1093</v>
      </c>
      <c r="I372" s="16">
        <f>IF(@Table1[[#This Row],[Delivery Date]]="","NA",@Table1[[#This Row],[Delivery Date]]+30)</f>
        <v>45928.0</v>
      </c>
      <c r="J372" s="35" t="s">
        <f t="shared" si="5"/>
        <v>28</v>
      </c>
      <c r="K372" s="87"/>
      <c r="L372" s="89"/>
      <c r="M372" s="89"/>
      <c r="N372" s="89"/>
    </row>
    <row r="373" customHeight="1" ht="14.0">
      <c r="A373" s="32" t="s">
        <v>1094</v>
      </c>
      <c r="B373" s="64" t="s">
        <v>1095</v>
      </c>
      <c r="C373" s="22" t="s">
        <v>1074</v>
      </c>
      <c r="D373" s="33"/>
      <c r="E373" s="34">
        <v>45910</v>
      </c>
      <c r="F373" s="88" t="s">
        <v>1031</v>
      </c>
      <c r="G373" s="109">
        <v>2.66788286E8</v>
      </c>
      <c r="H373" s="64" t="s">
        <v>1096</v>
      </c>
      <c r="I373" s="16">
        <f>IF(@Table1[[#This Row],[Delivery Date]]="","NA",@Table1[[#This Row],[Delivery Date]]+30)</f>
        <v>45940.0</v>
      </c>
      <c r="J373" s="35" t="s">
        <f t="shared" si="5"/>
        <v>28</v>
      </c>
      <c r="K373" s="87"/>
      <c r="L373" s="89"/>
      <c r="M373" s="89"/>
      <c r="N373" s="89"/>
    </row>
    <row r="374" customHeight="1" ht="14.0">
      <c r="A374" s="32" t="s">
        <v>1097</v>
      </c>
      <c r="B374" s="64" t="s">
        <v>1098</v>
      </c>
      <c r="C374" s="22" t="s">
        <v>1066</v>
      </c>
      <c r="D374" s="33">
        <v>204.0</v>
      </c>
      <c r="E374" s="34">
        <v>45901</v>
      </c>
      <c r="F374" s="88" t="s">
        <v>1031</v>
      </c>
      <c r="G374" s="109">
        <v>2.66788287E8</v>
      </c>
      <c r="H374" s="64" t="s">
        <v>1099</v>
      </c>
      <c r="I374" s="16">
        <f>IF(@Table1[[#This Row],[Delivery Date]]="","NA",@Table1[[#This Row],[Delivery Date]]+30)</f>
        <v>45931.0</v>
      </c>
      <c r="J374" s="35" t="s">
        <f t="shared" si="5"/>
        <v>28</v>
      </c>
      <c r="K374" s="87"/>
      <c r="L374" s="89"/>
      <c r="M374" s="89"/>
      <c r="N374" s="89"/>
    </row>
    <row r="375" customHeight="1" ht="14.0">
      <c r="A375" s="32" t="s">
        <v>1100</v>
      </c>
      <c r="B375" s="64" t="s">
        <v>1101</v>
      </c>
      <c r="C375" s="22" t="s">
        <v>1102</v>
      </c>
      <c r="D375" s="33">
        <v>612.0</v>
      </c>
      <c r="E375" s="34">
        <v>45897</v>
      </c>
      <c r="F375" s="88" t="s">
        <v>1031</v>
      </c>
      <c r="G375" s="109">
        <v>2.66788288E8</v>
      </c>
      <c r="H375" s="64" t="s">
        <v>1103</v>
      </c>
      <c r="I375" s="16">
        <f>IF(@Table1[[#This Row],[Delivery Date]]="","NA",@Table1[[#This Row],[Delivery Date]]+30)</f>
        <v>45927.0</v>
      </c>
      <c r="J375" s="35" t="s">
        <f t="shared" si="5"/>
        <v>28</v>
      </c>
      <c r="K375" s="87"/>
      <c r="L375" s="89"/>
      <c r="M375" s="89"/>
      <c r="N375" s="89"/>
    </row>
    <row r="376" customHeight="1" ht="14.0">
      <c r="A376" s="32" t="s">
        <v>1104</v>
      </c>
      <c r="B376" s="64" t="s">
        <v>1105</v>
      </c>
      <c r="C376" s="22" t="s">
        <v>26</v>
      </c>
      <c r="D376" s="33">
        <v>541.0</v>
      </c>
      <c r="E376" s="34">
        <v>45896</v>
      </c>
      <c r="F376" s="88" t="s">
        <v>1031</v>
      </c>
      <c r="G376" s="109">
        <v>2.66788289E8</v>
      </c>
      <c r="H376" s="64" t="s">
        <v>1106</v>
      </c>
      <c r="I376" s="16">
        <f>IF(@Table1[[#This Row],[Delivery Date]]="","NA",@Table1[[#This Row],[Delivery Date]]+30)</f>
        <v>45926.0</v>
      </c>
      <c r="J376" s="35" t="s">
        <f t="shared" si="5"/>
        <v>28</v>
      </c>
      <c r="K376" s="87"/>
      <c r="L376" s="89"/>
      <c r="M376" s="89"/>
      <c r="N376" s="89"/>
    </row>
    <row r="377" customHeight="1" ht="14.0">
      <c r="A377" s="32" t="s">
        <v>1107</v>
      </c>
      <c r="B377" s="64" t="s">
        <v>1108</v>
      </c>
      <c r="C377" s="22" t="s">
        <v>1035</v>
      </c>
      <c r="D377" s="33">
        <v>686.0</v>
      </c>
      <c r="E377" s="34">
        <v>45894</v>
      </c>
      <c r="F377" s="88" t="s">
        <v>1031</v>
      </c>
      <c r="G377" s="109">
        <v>2.6678829E8</v>
      </c>
      <c r="H377" s="64" t="s">
        <v>1109</v>
      </c>
      <c r="I377" s="16">
        <f>IF(@Table1[[#This Row],[Delivery Date]]="","NA",@Table1[[#This Row],[Delivery Date]]+30)</f>
        <v>45924.0</v>
      </c>
      <c r="J377" s="35" t="s">
        <f t="shared" si="5"/>
        <v>28</v>
      </c>
      <c r="K377" s="87"/>
      <c r="L377" s="89" t="s">
        <v>17</v>
      </c>
      <c r="M377" s="89"/>
      <c r="N377" s="89"/>
    </row>
    <row r="378" customHeight="1" ht="14.0">
      <c r="A378" s="32" t="s">
        <v>1110</v>
      </c>
      <c r="B378" s="64" t="s">
        <v>1111</v>
      </c>
      <c r="C378" s="22" t="s">
        <v>1062</v>
      </c>
      <c r="D378" s="33">
        <v>774.0</v>
      </c>
      <c r="E378" s="34">
        <v>45900</v>
      </c>
      <c r="F378" s="88" t="s">
        <v>1031</v>
      </c>
      <c r="G378" s="109">
        <v>2.66788291E8</v>
      </c>
      <c r="H378" s="64" t="s">
        <v>1112</v>
      </c>
      <c r="I378" s="16">
        <f>IF(@Table1[[#This Row],[Delivery Date]]="","NA",@Table1[[#This Row],[Delivery Date]]+30)</f>
        <v>45930.0</v>
      </c>
      <c r="J378" s="35" t="s">
        <f t="shared" si="5"/>
        <v>28</v>
      </c>
      <c r="K378" s="87"/>
      <c r="L378" s="89"/>
      <c r="M378" s="89"/>
      <c r="N378" s="89"/>
    </row>
    <row r="379" customHeight="1" ht="14.0">
      <c r="A379" s="32" t="s">
        <v>1113</v>
      </c>
      <c r="B379" s="64" t="s">
        <v>1114</v>
      </c>
      <c r="C379" s="22" t="s">
        <v>1070</v>
      </c>
      <c r="D379" s="33"/>
      <c r="E379" s="34">
        <v>45919</v>
      </c>
      <c r="F379" s="88" t="s">
        <v>1031</v>
      </c>
      <c r="G379" s="109">
        <v>2.88869238E8</v>
      </c>
      <c r="H379" s="64" t="s">
        <v>1115</v>
      </c>
      <c r="I379" s="16">
        <f>IF(@Table1[[#This Row],[Delivery Date]]="","NA",@Table1[[#This Row],[Delivery Date]]+30)</f>
        <v>45949.0</v>
      </c>
      <c r="J379" s="35" t="s">
        <f t="shared" si="5"/>
        <v>28</v>
      </c>
      <c r="K379" s="87"/>
      <c r="L379" s="89"/>
      <c r="M379" s="89"/>
      <c r="N379" s="89"/>
    </row>
    <row r="380" customHeight="1" ht="14.0">
      <c r="A380" s="32" t="s">
        <v>1116</v>
      </c>
      <c r="B380" s="64" t="s">
        <v>1117</v>
      </c>
      <c r="C380" s="22" t="s">
        <v>1088</v>
      </c>
      <c r="D380" s="33"/>
      <c r="E380" s="34">
        <v>45903</v>
      </c>
      <c r="F380" s="88" t="s">
        <v>1031</v>
      </c>
      <c r="G380" s="109">
        <v>2.88869242E8</v>
      </c>
      <c r="H380" s="64" t="s">
        <v>1118</v>
      </c>
      <c r="I380" s="16">
        <f>IF(@Table1[[#This Row],[Delivery Date]]="","NA",@Table1[[#This Row],[Delivery Date]]+30)</f>
        <v>45933.0</v>
      </c>
      <c r="J380" s="35" t="s">
        <f t="shared" si="5"/>
        <v>28</v>
      </c>
      <c r="K380" s="87"/>
      <c r="L380" s="89"/>
      <c r="M380" s="89"/>
      <c r="N380" s="89"/>
    </row>
    <row r="381" customHeight="1" ht="14.0">
      <c r="A381" s="32" t="s">
        <v>1119</v>
      </c>
      <c r="B381" s="64" t="s">
        <v>1120</v>
      </c>
      <c r="C381" s="22" t="s">
        <v>15</v>
      </c>
      <c r="D381" s="33">
        <v>357.0</v>
      </c>
      <c r="E381" s="34">
        <v>45899</v>
      </c>
      <c r="F381" s="88" t="s">
        <v>1031</v>
      </c>
      <c r="G381" s="109">
        <v>2.88869241E8</v>
      </c>
      <c r="H381" s="64" t="s">
        <v>1121</v>
      </c>
      <c r="I381" s="16">
        <f>IF(@Table1[[#This Row],[Delivery Date]]="","NA",@Table1[[#This Row],[Delivery Date]]+30)</f>
        <v>45929.0</v>
      </c>
      <c r="J381" s="35" t="s">
        <f t="shared" si="5"/>
        <v>28</v>
      </c>
      <c r="K381" s="87"/>
      <c r="L381" s="89"/>
      <c r="M381" s="89"/>
      <c r="N381" s="89"/>
    </row>
    <row r="382" customHeight="1" ht="14.0">
      <c r="A382" s="32" t="s">
        <v>1122</v>
      </c>
      <c r="B382" s="64" t="s">
        <v>1123</v>
      </c>
      <c r="C382" s="22" t="s">
        <v>58</v>
      </c>
      <c r="D382" s="33">
        <v>459.0</v>
      </c>
      <c r="E382" s="34">
        <v>45905</v>
      </c>
      <c r="F382" s="88" t="s">
        <v>1031</v>
      </c>
      <c r="G382" s="109">
        <v>2.88869243E8</v>
      </c>
      <c r="H382" s="64" t="s">
        <v>1124</v>
      </c>
      <c r="I382" s="16">
        <f>IF(@Table1[[#This Row],[Delivery Date]]="","NA",@Table1[[#This Row],[Delivery Date]]+30)</f>
        <v>45935.0</v>
      </c>
      <c r="J382" s="35" t="s">
        <f t="shared" si="5"/>
        <v>28</v>
      </c>
      <c r="K382" s="87"/>
      <c r="L382" s="89"/>
      <c r="M382" s="89"/>
      <c r="N382" s="89"/>
    </row>
    <row r="383" customHeight="1" ht="14.0">
      <c r="A383" s="32" t="s">
        <v>1125</v>
      </c>
      <c r="B383" s="64" t="s">
        <v>1126</v>
      </c>
      <c r="C383" s="22" t="s">
        <v>1035</v>
      </c>
      <c r="D383" s="33">
        <v>490.0</v>
      </c>
      <c r="E383" s="34">
        <v>45900</v>
      </c>
      <c r="F383" s="88" t="s">
        <v>1031</v>
      </c>
      <c r="G383" s="109">
        <v>2.88869293E8</v>
      </c>
      <c r="H383" s="64" t="s">
        <v>1127</v>
      </c>
      <c r="I383" s="16">
        <f>IF(@Table1[[#This Row],[Delivery Date]]="","NA",@Table1[[#This Row],[Delivery Date]]+30)</f>
        <v>45930.0</v>
      </c>
      <c r="J383" s="35" t="s">
        <f t="shared" si="5"/>
        <v>28</v>
      </c>
      <c r="K383" s="87"/>
      <c r="L383" s="89"/>
      <c r="M383" s="89"/>
      <c r="N383" s="89"/>
    </row>
    <row r="384" customHeight="1" ht="14.0">
      <c r="A384" s="32" t="s">
        <v>1128</v>
      </c>
      <c r="B384" s="64" t="s">
        <v>1129</v>
      </c>
      <c r="C384" s="22" t="s">
        <v>1066</v>
      </c>
      <c r="D384" s="33">
        <v>204.0</v>
      </c>
      <c r="E384" s="34">
        <v>45902</v>
      </c>
      <c r="F384" s="88" t="s">
        <v>1031</v>
      </c>
      <c r="G384" s="109">
        <v>2.88869291E8</v>
      </c>
      <c r="H384" s="64" t="s">
        <v>1130</v>
      </c>
      <c r="I384" s="16">
        <f>IF(@Table1[[#This Row],[Delivery Date]]="","NA",@Table1[[#This Row],[Delivery Date]]+30)</f>
        <v>45932.0</v>
      </c>
      <c r="J384" s="35" t="s">
        <f t="shared" si="5"/>
        <v>28</v>
      </c>
      <c r="K384" s="87"/>
      <c r="L384" s="89"/>
      <c r="M384" s="89"/>
      <c r="N384" s="89"/>
    </row>
    <row r="385" customHeight="1" ht="14.0">
      <c r="A385" s="32" t="s">
        <v>1131</v>
      </c>
      <c r="B385" s="64" t="s">
        <v>1132</v>
      </c>
      <c r="C385" s="22" t="s">
        <v>1133</v>
      </c>
      <c r="D385" s="33">
        <v>564.0</v>
      </c>
      <c r="E385" s="34">
        <v>45904</v>
      </c>
      <c r="F385" s="88" t="s">
        <v>1031</v>
      </c>
      <c r="G385" s="109">
        <v>2.8886929E8</v>
      </c>
      <c r="H385" s="64" t="s">
        <v>1134</v>
      </c>
      <c r="I385" s="16">
        <f>IF(@Table1[[#This Row],[Delivery Date]]="","NA",@Table1[[#This Row],[Delivery Date]]+30)</f>
        <v>45934.0</v>
      </c>
      <c r="J385" s="35" t="s">
        <f t="shared" si="5"/>
        <v>28</v>
      </c>
      <c r="K385" s="87"/>
      <c r="L385" s="89"/>
      <c r="M385" s="89"/>
      <c r="N385" s="89"/>
    </row>
    <row r="386" customHeight="1" ht="14.0">
      <c r="A386" s="32" t="s">
        <v>1135</v>
      </c>
      <c r="B386" s="64" t="s">
        <v>1136</v>
      </c>
      <c r="C386" s="22" t="s">
        <v>1043</v>
      </c>
      <c r="D386" s="33">
        <v>554.0</v>
      </c>
      <c r="E386" s="34">
        <v>45904</v>
      </c>
      <c r="F386" s="88" t="s">
        <v>1031</v>
      </c>
      <c r="G386" s="109">
        <v>2.88869292E8</v>
      </c>
      <c r="H386" s="64" t="s">
        <v>1137</v>
      </c>
      <c r="I386" s="16">
        <f>IF(@Table1[[#This Row],[Delivery Date]]="","NA",@Table1[[#This Row],[Delivery Date]]+30)</f>
        <v>45934.0</v>
      </c>
      <c r="J386" s="35" t="s">
        <f t="shared" si="5"/>
        <v>28</v>
      </c>
      <c r="K386" s="87"/>
      <c r="L386" s="89"/>
      <c r="M386" s="89"/>
      <c r="N386" s="89"/>
    </row>
    <row r="387" customHeight="1" ht="14.0">
      <c r="A387" s="32" t="s">
        <v>1138</v>
      </c>
      <c r="B387" s="64" t="s">
        <v>1139</v>
      </c>
      <c r="C387" s="22" t="s">
        <v>1140</v>
      </c>
      <c r="D387" s="33">
        <v>444.0</v>
      </c>
      <c r="E387" s="34">
        <v>45904</v>
      </c>
      <c r="F387" s="88" t="s">
        <v>1031</v>
      </c>
      <c r="G387" s="109">
        <v>2.88869295E8</v>
      </c>
      <c r="H387" s="64" t="s">
        <v>1141</v>
      </c>
      <c r="I387" s="16">
        <f>IF(@Table1[[#This Row],[Delivery Date]]="","NA",@Table1[[#This Row],[Delivery Date]]+30)</f>
        <v>45934.0</v>
      </c>
      <c r="J387" s="35" t="s">
        <f t="shared" si="5"/>
        <v>28</v>
      </c>
      <c r="K387" s="87"/>
      <c r="L387" s="89"/>
      <c r="M387" s="89"/>
      <c r="N387" s="89"/>
    </row>
    <row r="388" customHeight="1" ht="14.0">
      <c r="A388" s="32" t="s">
        <v>1142</v>
      </c>
      <c r="B388" s="64" t="s">
        <v>1143</v>
      </c>
      <c r="C388" s="22" t="s">
        <v>26</v>
      </c>
      <c r="D388" s="33">
        <v>379.0</v>
      </c>
      <c r="E388" s="34">
        <v>45902</v>
      </c>
      <c r="F388" s="88" t="s">
        <v>1031</v>
      </c>
      <c r="G388" s="109">
        <v>2.88869296E8</v>
      </c>
      <c r="H388" s="64" t="s">
        <v>1144</v>
      </c>
      <c r="I388" s="16">
        <f>IF(@Table1[[#This Row],[Delivery Date]]="","NA",@Table1[[#This Row],[Delivery Date]]+30)</f>
        <v>45932.0</v>
      </c>
      <c r="J388" s="35" t="s">
        <f t="shared" si="5"/>
        <v>28</v>
      </c>
      <c r="K388" s="87"/>
      <c r="L388" s="89"/>
      <c r="M388" s="89"/>
      <c r="N388" s="89"/>
    </row>
    <row r="389" customHeight="1" ht="14.0">
      <c r="A389" s="32" t="s">
        <v>1145</v>
      </c>
      <c r="B389" s="64" t="s">
        <v>1146</v>
      </c>
      <c r="C389" s="22" t="s">
        <v>1074</v>
      </c>
      <c r="D389" s="33">
        <v>694.0</v>
      </c>
      <c r="E389" s="34">
        <v>45920</v>
      </c>
      <c r="F389" s="88" t="s">
        <v>1031</v>
      </c>
      <c r="G389" s="109">
        <v>2.88869297E8</v>
      </c>
      <c r="H389" s="64" t="s">
        <v>1147</v>
      </c>
      <c r="I389" s="16">
        <f>IF(@Table1[[#This Row],[Delivery Date]]="","NA",@Table1[[#This Row],[Delivery Date]]+30)</f>
        <v>45950.0</v>
      </c>
      <c r="J389" s="35" t="s">
        <f t="shared" si="5"/>
        <v>28</v>
      </c>
      <c r="K389" s="87"/>
      <c r="L389" s="89"/>
      <c r="M389" s="89"/>
      <c r="N389" s="89"/>
    </row>
    <row r="390" customHeight="1" ht="14.0">
      <c r="A390" s="32" t="s">
        <v>1148</v>
      </c>
      <c r="B390" s="64" t="s">
        <v>1149</v>
      </c>
      <c r="C390" s="22" t="s">
        <v>1066</v>
      </c>
      <c r="D390" s="33">
        <v>189.0</v>
      </c>
      <c r="E390" s="34">
        <v>45913</v>
      </c>
      <c r="F390" s="88" t="s">
        <v>1031</v>
      </c>
      <c r="G390" s="109">
        <v>2.88869417E8</v>
      </c>
      <c r="H390" s="64" t="s">
        <v>1150</v>
      </c>
      <c r="I390" s="16">
        <f>IF(@Table1[[#This Row],[Delivery Date]]="","NA",@Table1[[#This Row],[Delivery Date]]+30)</f>
        <v>45943.0</v>
      </c>
      <c r="J390" s="35" t="s">
        <f t="shared" si="5"/>
        <v>28</v>
      </c>
      <c r="K390" s="87"/>
      <c r="L390" s="89"/>
      <c r="M390" s="89"/>
      <c r="N390" s="89"/>
    </row>
    <row r="391" customHeight="1" ht="14.0">
      <c r="A391" s="32" t="s">
        <v>1151</v>
      </c>
      <c r="B391" s="64" t="s">
        <v>1152</v>
      </c>
      <c r="C391" s="22" t="s">
        <v>1074</v>
      </c>
      <c r="D391" s="33">
        <v>468.0</v>
      </c>
      <c r="E391" s="34">
        <v>45911</v>
      </c>
      <c r="F391" s="88" t="s">
        <v>1031</v>
      </c>
      <c r="G391" s="109">
        <v>2.88869418E8</v>
      </c>
      <c r="H391" s="64" t="s">
        <v>1153</v>
      </c>
      <c r="I391" s="16">
        <f>IF(@Table1[[#This Row],[Delivery Date]]="","NA",@Table1[[#This Row],[Delivery Date]]+30)</f>
        <v>45941.0</v>
      </c>
      <c r="J391" s="35" t="s">
        <f t="shared" si="5"/>
        <v>28</v>
      </c>
      <c r="K391" s="87"/>
      <c r="L391" s="89"/>
      <c r="M391" s="89"/>
      <c r="N391" s="89"/>
    </row>
    <row r="392" customHeight="1" ht="14.0">
      <c r="A392" s="32" t="s">
        <v>1154</v>
      </c>
      <c r="B392" s="64" t="s">
        <v>1155</v>
      </c>
      <c r="C392" s="22" t="s">
        <v>58</v>
      </c>
      <c r="D392" s="33"/>
      <c r="E392" s="34">
        <v>45923</v>
      </c>
      <c r="F392" s="88" t="s">
        <v>1031</v>
      </c>
      <c r="G392" s="109">
        <v>2.88869503E8</v>
      </c>
      <c r="H392" s="64" t="s">
        <v>1156</v>
      </c>
      <c r="I392" s="16">
        <f>IF(@Table1[[#This Row],[Delivery Date]]="","NA",@Table1[[#This Row],[Delivery Date]]+30)</f>
        <v>45953.0</v>
      </c>
      <c r="J392" s="35" t="s">
        <f t="shared" si="5"/>
        <v>28</v>
      </c>
      <c r="K392" s="87"/>
      <c r="L392" s="89"/>
      <c r="M392" s="89"/>
      <c r="N392" s="89"/>
    </row>
    <row r="393" customHeight="1" ht="14.0">
      <c r="A393" s="32" t="s">
        <v>1157</v>
      </c>
      <c r="B393" s="64" t="s">
        <v>1158</v>
      </c>
      <c r="C393" s="22" t="s">
        <v>1159</v>
      </c>
      <c r="D393" s="33"/>
      <c r="E393" s="34">
        <v>45924</v>
      </c>
      <c r="F393" s="88" t="s">
        <v>1031</v>
      </c>
      <c r="G393" s="109">
        <v>2.88869526E8</v>
      </c>
      <c r="H393" s="64" t="s">
        <v>1160</v>
      </c>
      <c r="I393" s="16">
        <f>IF(@Table1[[#This Row],[Delivery Date]]="","NA",@Table1[[#This Row],[Delivery Date]]+30)</f>
        <v>45954.0</v>
      </c>
      <c r="J393" s="35" t="s">
        <f t="shared" si="5"/>
        <v>28</v>
      </c>
      <c r="K393" s="87"/>
      <c r="L393" s="89"/>
      <c r="M393" s="89"/>
      <c r="N393" s="89"/>
    </row>
    <row r="394" customHeight="1" ht="14.0">
      <c r="A394" s="32" t="s">
        <v>1161</v>
      </c>
      <c r="B394" s="64" t="s">
        <v>1162</v>
      </c>
      <c r="C394" s="22" t="s">
        <v>26</v>
      </c>
      <c r="D394" s="33">
        <v>545.0</v>
      </c>
      <c r="E394" s="34">
        <v>45918</v>
      </c>
      <c r="F394" s="88" t="s">
        <v>1031</v>
      </c>
      <c r="G394" s="109">
        <v>2.88869509E8</v>
      </c>
      <c r="H394" s="64" t="s">
        <v>1163</v>
      </c>
      <c r="I394" s="16">
        <f>IF(@Table1[[#This Row],[Delivery Date]]="","NA",@Table1[[#This Row],[Delivery Date]]+30)</f>
        <v>45948.0</v>
      </c>
      <c r="J394" s="35" t="s">
        <f t="shared" si="5"/>
        <v>28</v>
      </c>
      <c r="K394" s="87"/>
      <c r="L394" s="89"/>
      <c r="M394" s="89"/>
      <c r="N394" s="89"/>
    </row>
    <row r="395" customHeight="1" ht="14.0">
      <c r="A395" s="32" t="s">
        <v>1164</v>
      </c>
      <c r="B395" s="64" t="s">
        <v>1165</v>
      </c>
      <c r="C395" s="22" t="s">
        <v>30</v>
      </c>
      <c r="D395" s="33"/>
      <c r="E395" s="34">
        <v>45924</v>
      </c>
      <c r="F395" s="88" t="s">
        <v>1031</v>
      </c>
      <c r="G395" s="109">
        <v>2.88869513E8</v>
      </c>
      <c r="H395" s="64" t="s">
        <v>1166</v>
      </c>
      <c r="I395" s="16">
        <f>IF(@Table1[[#This Row],[Delivery Date]]="","NA",@Table1[[#This Row],[Delivery Date]]+30)</f>
        <v>45954.0</v>
      </c>
      <c r="J395" s="35" t="s">
        <f t="shared" si="5"/>
        <v>28</v>
      </c>
      <c r="K395" s="87"/>
      <c r="L395" s="89"/>
      <c r="M395" s="89"/>
      <c r="N395" s="89"/>
    </row>
    <row r="396" customHeight="1" ht="14.0">
      <c r="A396" s="32" t="s">
        <v>1167</v>
      </c>
      <c r="B396" s="64" t="s">
        <v>1168</v>
      </c>
      <c r="C396" s="22" t="s">
        <v>1169</v>
      </c>
      <c r="D396" s="33">
        <v>912.0</v>
      </c>
      <c r="E396" s="34">
        <v>45918</v>
      </c>
      <c r="F396" s="88" t="s">
        <v>1031</v>
      </c>
      <c r="G396" s="109">
        <v>2.88869511E8</v>
      </c>
      <c r="H396" s="64" t="s">
        <v>1170</v>
      </c>
      <c r="I396" s="16">
        <f>IF(@Table1[[#This Row],[Delivery Date]]="","NA",@Table1[[#This Row],[Delivery Date]]+30)</f>
        <v>45948.0</v>
      </c>
      <c r="J396" s="35" t="s">
        <f t="shared" si="5"/>
        <v>28</v>
      </c>
      <c r="K396" s="87"/>
      <c r="L396" s="89"/>
      <c r="M396" s="89"/>
      <c r="N396" s="89"/>
    </row>
    <row r="397" customHeight="1" ht="14.0">
      <c r="A397" s="32" t="s">
        <v>1171</v>
      </c>
      <c r="B397" s="64" t="s">
        <v>1172</v>
      </c>
      <c r="C397" s="22" t="s">
        <v>1173</v>
      </c>
      <c r="D397" s="33"/>
      <c r="E397" s="34">
        <v>45927</v>
      </c>
      <c r="F397" s="88" t="s">
        <v>1031</v>
      </c>
      <c r="G397" s="109">
        <v>2.88869507E8</v>
      </c>
      <c r="H397" s="64" t="s">
        <v>1174</v>
      </c>
      <c r="I397" s="16">
        <f>IF(@Table1[[#This Row],[Delivery Date]]="","NA",@Table1[[#This Row],[Delivery Date]]+30)</f>
        <v>45957.0</v>
      </c>
      <c r="J397" s="35" t="s">
        <f t="shared" si="5"/>
        <v>28</v>
      </c>
      <c r="K397" s="87"/>
      <c r="L397" s="89"/>
      <c r="M397" s="89"/>
      <c r="N397" s="89"/>
    </row>
    <row r="398" customHeight="1" ht="14.0">
      <c r="A398" s="32" t="s">
        <v>1175</v>
      </c>
      <c r="B398" s="64" t="s">
        <v>1176</v>
      </c>
      <c r="C398" s="22" t="s">
        <v>147</v>
      </c>
      <c r="D398" s="33">
        <v>456.0</v>
      </c>
      <c r="E398" s="34">
        <v>45920</v>
      </c>
      <c r="F398" s="88" t="s">
        <v>1031</v>
      </c>
      <c r="G398" s="109">
        <v>2.88869512E8</v>
      </c>
      <c r="H398" s="64" t="s">
        <v>1177</v>
      </c>
      <c r="I398" s="16">
        <f>IF(@Table1[[#This Row],[Delivery Date]]="","NA",@Table1[[#This Row],[Delivery Date]]+30)</f>
        <v>45950.0</v>
      </c>
      <c r="J398" s="35" t="s">
        <f t="shared" si="5"/>
        <v>28</v>
      </c>
      <c r="K398" s="87"/>
      <c r="L398" s="89"/>
      <c r="M398" s="89"/>
      <c r="N398" s="89"/>
    </row>
    <row r="399" customHeight="1" ht="14.0">
      <c r="A399" s="32" t="s">
        <v>1178</v>
      </c>
      <c r="B399" s="64" t="s">
        <v>1179</v>
      </c>
      <c r="C399" s="22" t="s">
        <v>1092</v>
      </c>
      <c r="D399" s="33">
        <v>285.0</v>
      </c>
      <c r="E399" s="34">
        <v>45917</v>
      </c>
      <c r="F399" s="88" t="s">
        <v>1031</v>
      </c>
      <c r="G399" s="109">
        <v>2.88869508E8</v>
      </c>
      <c r="H399" s="64" t="s">
        <v>1180</v>
      </c>
      <c r="I399" s="16">
        <f>IF(@Table1[[#This Row],[Delivery Date]]="","NA",@Table1[[#This Row],[Delivery Date]]+30)</f>
        <v>45947.0</v>
      </c>
      <c r="J399" s="35" t="s">
        <f t="shared" si="5"/>
        <v>28</v>
      </c>
      <c r="K399" s="87"/>
      <c r="L399" s="89" t="s">
        <v>738</v>
      </c>
      <c r="M399" s="89"/>
      <c r="N399" s="89"/>
    </row>
    <row r="400" customHeight="1" ht="14.0">
      <c r="A400" s="32" t="s">
        <v>1181</v>
      </c>
      <c r="B400" s="64" t="s">
        <v>1182</v>
      </c>
      <c r="C400" s="22" t="s">
        <v>147</v>
      </c>
      <c r="D400" s="33">
        <v>1368.0</v>
      </c>
      <c r="E400" s="34">
        <v>45924</v>
      </c>
      <c r="F400" s="88" t="s">
        <v>1031</v>
      </c>
      <c r="G400" s="109">
        <v>2.88869546E8</v>
      </c>
      <c r="H400" s="64" t="s">
        <v>1183</v>
      </c>
      <c r="I400" s="16">
        <f>IF(@Table1[[#This Row],[Delivery Date]]="","NA",@Table1[[#This Row],[Delivery Date]]+30)</f>
        <v>45954.0</v>
      </c>
      <c r="J400" s="35" t="s">
        <f t="shared" si="5"/>
        <v>28</v>
      </c>
      <c r="K400" s="87"/>
      <c r="L400" s="89"/>
      <c r="M400" s="89"/>
      <c r="N400" s="89"/>
    </row>
    <row r="401" customHeight="1" ht="14.0">
      <c r="A401" s="32" t="s">
        <v>1184</v>
      </c>
      <c r="B401" s="64" t="s">
        <v>1185</v>
      </c>
      <c r="C401" s="22" t="s">
        <v>1066</v>
      </c>
      <c r="D401" s="33"/>
      <c r="E401" s="34">
        <v>45919</v>
      </c>
      <c r="F401" s="88" t="s">
        <v>1031</v>
      </c>
      <c r="G401" s="109">
        <v>2.88869502E8</v>
      </c>
      <c r="H401" s="64" t="s">
        <v>1186</v>
      </c>
      <c r="I401" s="16">
        <f>IF(@Table1[[#This Row],[Delivery Date]]="","NA",@Table1[[#This Row],[Delivery Date]]+30)</f>
        <v>45949.0</v>
      </c>
      <c r="J401" s="35" t="s">
        <f t="shared" si="5"/>
        <v>28</v>
      </c>
      <c r="K401" s="87"/>
      <c r="L401" s="89"/>
      <c r="M401" s="89"/>
      <c r="N401" s="89"/>
    </row>
    <row r="402" customHeight="1" ht="14.0">
      <c r="A402" s="32" t="s">
        <v>1187</v>
      </c>
      <c r="B402" s="64" t="s">
        <v>1188</v>
      </c>
      <c r="C402" s="22" t="s">
        <v>15</v>
      </c>
      <c r="D402" s="33">
        <v>421.0</v>
      </c>
      <c r="E402" s="34">
        <v>45917</v>
      </c>
      <c r="F402" s="88" t="s">
        <v>1031</v>
      </c>
      <c r="G402" s="109">
        <v>2.8886951E8</v>
      </c>
      <c r="H402" s="64" t="s">
        <v>1189</v>
      </c>
      <c r="I402" s="16">
        <f>IF(@Table1[[#This Row],[Delivery Date]]="","NA",@Table1[[#This Row],[Delivery Date]]+30)</f>
        <v>45947.0</v>
      </c>
      <c r="J402" s="35" t="s">
        <f t="shared" si="5"/>
        <v>28</v>
      </c>
      <c r="K402" s="87"/>
      <c r="L402" s="89"/>
      <c r="M402" s="89"/>
      <c r="N402" s="89"/>
    </row>
    <row r="403" customHeight="1" ht="14.0">
      <c r="A403" s="32" t="s">
        <v>1190</v>
      </c>
      <c r="B403" s="64" t="s">
        <v>1191</v>
      </c>
      <c r="C403" s="22" t="s">
        <v>1192</v>
      </c>
      <c r="D403" s="33">
        <v>160.0</v>
      </c>
      <c r="E403" s="34">
        <v>45941</v>
      </c>
      <c r="F403" s="88" t="s">
        <v>1031</v>
      </c>
      <c r="G403" s="109">
        <v>2.89204668E8</v>
      </c>
      <c r="H403" s="64" t="s">
        <v>1193</v>
      </c>
      <c r="I403" s="16">
        <f>IF(@Table1[[#This Row],[Delivery Date]]="","NA",@Table1[[#This Row],[Delivery Date]]+30)</f>
        <v>45971.0</v>
      </c>
      <c r="J403" s="35" t="s">
        <f t="shared" si="5"/>
        <v>28</v>
      </c>
      <c r="K403" s="87" t="s">
        <v>1194</v>
      </c>
      <c r="L403" s="89"/>
      <c r="M403" s="89"/>
      <c r="N403" s="89"/>
    </row>
    <row r="404" customHeight="1" ht="14.0">
      <c r="A404" s="32" t="s">
        <v>1195</v>
      </c>
      <c r="B404" s="64" t="s">
        <v>1196</v>
      </c>
      <c r="C404" s="22" t="s">
        <v>26</v>
      </c>
      <c r="D404" s="33">
        <v>359.0</v>
      </c>
      <c r="E404" s="34">
        <v>45924</v>
      </c>
      <c r="F404" s="88" t="s">
        <v>1031</v>
      </c>
      <c r="G404" s="109">
        <v>2.88869592E8</v>
      </c>
      <c r="H404" s="64" t="s">
        <v>1197</v>
      </c>
      <c r="I404" s="16">
        <f>IF(@Table1[[#This Row],[Delivery Date]]="","NA",@Table1[[#This Row],[Delivery Date]]+30)</f>
        <v>45954.0</v>
      </c>
      <c r="J404" s="35" t="s">
        <f t="shared" si="5"/>
        <v>28</v>
      </c>
      <c r="K404" s="87"/>
      <c r="L404" s="89"/>
      <c r="M404" s="89"/>
      <c r="N404" s="89"/>
    </row>
    <row r="405" customHeight="1" ht="14.0">
      <c r="A405" s="32" t="s">
        <v>1198</v>
      </c>
      <c r="B405" s="64" t="s">
        <v>1199</v>
      </c>
      <c r="C405" s="22" t="s">
        <v>58</v>
      </c>
      <c r="D405" s="33">
        <v>634.0</v>
      </c>
      <c r="E405" s="34">
        <v>45927</v>
      </c>
      <c r="F405" s="88" t="s">
        <v>1031</v>
      </c>
      <c r="G405" s="109">
        <v>2.88869593E8</v>
      </c>
      <c r="H405" s="64" t="s">
        <v>1200</v>
      </c>
      <c r="I405" s="16">
        <f>IF(@Table1[[#This Row],[Delivery Date]]="","NA",@Table1[[#This Row],[Delivery Date]]+30)</f>
        <v>45957.0</v>
      </c>
      <c r="J405" s="35" t="s">
        <f t="shared" si="5"/>
        <v>28</v>
      </c>
      <c r="K405" s="87"/>
      <c r="L405" s="89"/>
      <c r="M405" s="89"/>
      <c r="N405" s="89"/>
    </row>
    <row r="406" customHeight="1" ht="14.0">
      <c r="A406" s="32" t="s">
        <v>1201</v>
      </c>
      <c r="B406" s="64" t="s">
        <v>1202</v>
      </c>
      <c r="C406" s="22" t="s">
        <v>1035</v>
      </c>
      <c r="D406" s="33">
        <v>542.0</v>
      </c>
      <c r="E406" s="34">
        <v>45928</v>
      </c>
      <c r="F406" s="88" t="s">
        <v>1031</v>
      </c>
      <c r="G406" s="109">
        <v>2.88869594E8</v>
      </c>
      <c r="H406" s="64" t="s">
        <v>1203</v>
      </c>
      <c r="I406" s="16">
        <f>IF(@Table1[[#This Row],[Delivery Date]]="","NA",@Table1[[#This Row],[Delivery Date]]+30)</f>
        <v>45958.0</v>
      </c>
      <c r="J406" s="35" t="s">
        <f t="shared" si="5"/>
        <v>28</v>
      </c>
      <c r="K406" s="87"/>
      <c r="L406" s="89"/>
      <c r="M406" s="89"/>
      <c r="N406" s="89"/>
    </row>
    <row r="407" customHeight="1" ht="14.0">
      <c r="A407" s="32" t="s">
        <v>1204</v>
      </c>
      <c r="B407" s="64" t="s">
        <v>1205</v>
      </c>
      <c r="C407" s="22" t="s">
        <v>478</v>
      </c>
      <c r="D407" s="33">
        <v>369.0</v>
      </c>
      <c r="E407" s="34">
        <v>45924</v>
      </c>
      <c r="F407" s="88" t="s">
        <v>1031</v>
      </c>
      <c r="G407" s="109">
        <v>2.88869595E8</v>
      </c>
      <c r="H407" s="64" t="s">
        <v>1206</v>
      </c>
      <c r="I407" s="16">
        <f>IF(@Table1[[#This Row],[Delivery Date]]="","NA",@Table1[[#This Row],[Delivery Date]]+30)</f>
        <v>45954.0</v>
      </c>
      <c r="J407" s="35" t="s">
        <f t="shared" si="5"/>
        <v>28</v>
      </c>
      <c r="K407" s="87"/>
      <c r="L407" s="89"/>
      <c r="M407" s="89"/>
      <c r="N407" s="89"/>
    </row>
    <row r="408" customHeight="1" ht="14.0">
      <c r="A408" s="32" t="s">
        <v>1207</v>
      </c>
      <c r="B408" s="64" t="s">
        <v>1208</v>
      </c>
      <c r="C408" s="22" t="s">
        <v>15</v>
      </c>
      <c r="D408" s="33">
        <v>503.0</v>
      </c>
      <c r="E408" s="34">
        <v>45925</v>
      </c>
      <c r="F408" s="88" t="s">
        <v>1031</v>
      </c>
      <c r="G408" s="109">
        <v>2.88869596E8</v>
      </c>
      <c r="H408" s="64" t="s">
        <v>1209</v>
      </c>
      <c r="I408" s="16">
        <f>IF(@Table1[[#This Row],[Delivery Date]]="","NA",@Table1[[#This Row],[Delivery Date]]+30)</f>
        <v>45955.0</v>
      </c>
      <c r="J408" s="35" t="s">
        <f t="shared" si="5"/>
        <v>28</v>
      </c>
      <c r="K408" s="87"/>
      <c r="L408" s="89"/>
      <c r="M408" s="89"/>
      <c r="N408" s="89"/>
    </row>
    <row r="409" customHeight="1" ht="14.0">
      <c r="A409" s="32" t="s">
        <v>1210</v>
      </c>
      <c r="B409" s="64" t="s">
        <v>1211</v>
      </c>
      <c r="C409" s="22" t="s">
        <v>1066</v>
      </c>
      <c r="D409" s="33">
        <v>207.0</v>
      </c>
      <c r="E409" s="34">
        <v>45931</v>
      </c>
      <c r="F409" s="88" t="s">
        <v>1031</v>
      </c>
      <c r="G409" s="109">
        <v>2.88869597E8</v>
      </c>
      <c r="H409" s="64" t="s">
        <v>1212</v>
      </c>
      <c r="I409" s="16">
        <f>IF(@Table1[[#This Row],[Delivery Date]]="","NA",@Table1[[#This Row],[Delivery Date]]+30)</f>
        <v>45961.0</v>
      </c>
      <c r="J409" s="35" t="s">
        <f t="shared" si="5"/>
        <v>28</v>
      </c>
      <c r="K409" s="87"/>
      <c r="L409" s="89"/>
      <c r="M409" s="89"/>
      <c r="N409" s="89"/>
    </row>
    <row r="410" customHeight="1" ht="14.0">
      <c r="A410" s="32" t="s">
        <v>1213</v>
      </c>
      <c r="B410" s="64" t="s">
        <v>1214</v>
      </c>
      <c r="C410" s="22" t="s">
        <v>58</v>
      </c>
      <c r="D410" s="33">
        <v>430.0</v>
      </c>
      <c r="E410" s="34">
        <v>45924</v>
      </c>
      <c r="F410" s="88" t="s">
        <v>1031</v>
      </c>
      <c r="G410" s="109">
        <v>2.88869598E8</v>
      </c>
      <c r="H410" s="64" t="s">
        <v>1215</v>
      </c>
      <c r="I410" s="16">
        <f>IF(@Table1[[#This Row],[Delivery Date]]="","NA",@Table1[[#This Row],[Delivery Date]]+30)</f>
        <v>45954.0</v>
      </c>
      <c r="J410" s="35" t="s">
        <f t="shared" si="5"/>
        <v>28</v>
      </c>
      <c r="K410" s="87"/>
      <c r="L410" s="89"/>
      <c r="M410" s="89"/>
      <c r="N410" s="89"/>
    </row>
    <row r="411" customHeight="1" ht="14.0">
      <c r="A411" s="32" t="s">
        <v>1216</v>
      </c>
      <c r="B411" s="64" t="s">
        <v>1217</v>
      </c>
      <c r="C411" s="22" t="s">
        <v>1074</v>
      </c>
      <c r="D411" s="33"/>
      <c r="E411" s="34">
        <v>45925</v>
      </c>
      <c r="F411" s="88" t="s">
        <v>1031</v>
      </c>
      <c r="G411" s="109">
        <v>2.88869599E8</v>
      </c>
      <c r="H411" s="64" t="s">
        <v>1218</v>
      </c>
      <c r="I411" s="16">
        <f>IF(@Table1[[#This Row],[Delivery Date]]="","NA",@Table1[[#This Row],[Delivery Date]]+30)</f>
        <v>45955.0</v>
      </c>
      <c r="J411" s="35" t="s">
        <f t="shared" si="5"/>
        <v>28</v>
      </c>
      <c r="K411" s="87"/>
      <c r="L411" s="89"/>
      <c r="M411" s="89"/>
      <c r="N411" s="89"/>
    </row>
    <row r="412" customHeight="1" ht="14.0">
      <c r="A412" s="32" t="s">
        <v>1219</v>
      </c>
      <c r="B412" s="64" t="s">
        <v>1220</v>
      </c>
      <c r="C412" s="22" t="s">
        <v>1062</v>
      </c>
      <c r="D412" s="33">
        <v>372.0</v>
      </c>
      <c r="E412" s="34">
        <v>45943</v>
      </c>
      <c r="F412" s="88" t="s">
        <v>1031</v>
      </c>
      <c r="G412" s="109">
        <v>2.75780336E8</v>
      </c>
      <c r="H412" s="64" t="s">
        <v>1221</v>
      </c>
      <c r="I412" s="16">
        <f>IF(@Table1[[#This Row],[Delivery Date]]="","NA",@Table1[[#This Row],[Delivery Date]]+30)</f>
        <v>45973.0</v>
      </c>
      <c r="J412" s="35" t="s">
        <f t="shared" si="5"/>
        <v>28</v>
      </c>
      <c r="K412" s="87"/>
      <c r="L412" s="89"/>
      <c r="M412" s="89"/>
      <c r="N412" s="89"/>
    </row>
    <row r="413" customHeight="1" ht="14.0">
      <c r="A413" s="32" t="s">
        <v>1222</v>
      </c>
      <c r="B413" s="64" t="s">
        <v>1223</v>
      </c>
      <c r="C413" s="22" t="s">
        <v>1224</v>
      </c>
      <c r="D413" s="33">
        <v>372.0</v>
      </c>
      <c r="E413" s="34">
        <v>45947</v>
      </c>
      <c r="F413" s="88" t="s">
        <v>1031</v>
      </c>
      <c r="G413" s="109">
        <v>2.75780344E8</v>
      </c>
      <c r="H413" s="64" t="s">
        <v>1225</v>
      </c>
      <c r="I413" s="16">
        <f>IF(@Table1[[#This Row],[Delivery Date]]="","NA",@Table1[[#This Row],[Delivery Date]]+30)</f>
        <v>45977.0</v>
      </c>
      <c r="J413" s="35" t="s">
        <f t="shared" si="5"/>
        <v>28</v>
      </c>
      <c r="K413" s="87"/>
      <c r="L413" s="89"/>
      <c r="M413" s="89"/>
      <c r="N413" s="89"/>
    </row>
    <row r="414" customHeight="1" ht="14.0">
      <c r="A414" s="32" t="s">
        <v>1226</v>
      </c>
      <c r="B414" s="64" t="s">
        <v>1227</v>
      </c>
      <c r="C414" s="22" t="s">
        <v>1169</v>
      </c>
      <c r="D414" s="33">
        <v>504.0</v>
      </c>
      <c r="E414" s="34">
        <v>45948</v>
      </c>
      <c r="F414" s="88" t="s">
        <v>1031</v>
      </c>
      <c r="G414" s="109">
        <v>2.7578034E8</v>
      </c>
      <c r="H414" s="64" t="s">
        <v>1228</v>
      </c>
      <c r="I414" s="16">
        <f>IF(@Table1[[#This Row],[Delivery Date]]="","NA",@Table1[[#This Row],[Delivery Date]]+30)</f>
        <v>45978.0</v>
      </c>
      <c r="J414" s="35" t="s">
        <f t="shared" si="5"/>
        <v>28</v>
      </c>
      <c r="K414" s="87"/>
      <c r="L414" s="89"/>
      <c r="M414" s="89"/>
      <c r="N414" s="89"/>
    </row>
    <row r="415" customHeight="1" ht="14.0">
      <c r="A415" s="32" t="s">
        <v>1229</v>
      </c>
      <c r="B415" s="64" t="s">
        <v>1230</v>
      </c>
      <c r="C415" s="22" t="s">
        <v>1231</v>
      </c>
      <c r="D415" s="33">
        <v>485.0</v>
      </c>
      <c r="E415" s="34">
        <v>45939</v>
      </c>
      <c r="F415" s="88" t="s">
        <v>1031</v>
      </c>
      <c r="G415" s="109">
        <v>2.75780332E8</v>
      </c>
      <c r="H415" s="64" t="s">
        <v>1232</v>
      </c>
      <c r="I415" s="16">
        <f>IF(@Table1[[#This Row],[Delivery Date]]="","NA",@Table1[[#This Row],[Delivery Date]]+30)</f>
        <v>45969.0</v>
      </c>
      <c r="J415" s="35" t="s">
        <f t="shared" si="5"/>
        <v>28</v>
      </c>
      <c r="K415" s="87"/>
      <c r="L415" s="89"/>
      <c r="M415" s="89"/>
      <c r="N415" s="89"/>
    </row>
    <row r="416" customHeight="1" ht="14.0">
      <c r="A416" s="32" t="s">
        <v>1233</v>
      </c>
      <c r="B416" s="64" t="s">
        <v>1234</v>
      </c>
      <c r="C416" s="22" t="s">
        <v>1039</v>
      </c>
      <c r="D416" s="33">
        <v>463.0</v>
      </c>
      <c r="E416" s="34">
        <v>45943</v>
      </c>
      <c r="F416" s="88" t="s">
        <v>1031</v>
      </c>
      <c r="G416" s="109">
        <v>2.75780335E8</v>
      </c>
      <c r="H416" s="64" t="s">
        <v>1235</v>
      </c>
      <c r="I416" s="16">
        <f>IF(@Table1[[#This Row],[Delivery Date]]="","NA",@Table1[[#This Row],[Delivery Date]]+30)</f>
        <v>45973.0</v>
      </c>
      <c r="J416" s="35" t="s">
        <f t="shared" si="5"/>
        <v>28</v>
      </c>
      <c r="K416" s="87"/>
      <c r="L416" s="89"/>
      <c r="M416" s="89"/>
      <c r="N416" s="89"/>
    </row>
    <row r="417" customHeight="1" ht="14.0">
      <c r="A417" s="32" t="s">
        <v>1236</v>
      </c>
      <c r="B417" s="64" t="s">
        <v>1237</v>
      </c>
      <c r="C417" s="22" t="s">
        <v>1062</v>
      </c>
      <c r="D417" s="33">
        <v>1344.0</v>
      </c>
      <c r="E417" s="34">
        <v>45943</v>
      </c>
      <c r="F417" s="88" t="s">
        <v>1031</v>
      </c>
      <c r="G417" s="109">
        <v>2.75780334E8</v>
      </c>
      <c r="H417" s="64" t="s">
        <v>1238</v>
      </c>
      <c r="I417" s="16">
        <f>IF(@Table1[[#This Row],[Delivery Date]]="","NA",@Table1[[#This Row],[Delivery Date]]+30)</f>
        <v>45973.0</v>
      </c>
      <c r="J417" s="35" t="s">
        <f t="shared" si="5"/>
        <v>28</v>
      </c>
      <c r="K417" s="87"/>
      <c r="L417" s="89"/>
      <c r="M417" s="89"/>
      <c r="N417" s="89"/>
    </row>
    <row r="418" customHeight="1" ht="14.0">
      <c r="A418" s="32" t="s">
        <v>1239</v>
      </c>
      <c r="B418" s="64" t="s">
        <v>1240</v>
      </c>
      <c r="C418" s="22" t="s">
        <v>1241</v>
      </c>
      <c r="D418" s="33">
        <v>144.0</v>
      </c>
      <c r="E418" s="34">
        <v>45943</v>
      </c>
      <c r="F418" s="88" t="s">
        <v>1031</v>
      </c>
      <c r="G418" s="109">
        <v>2.75780339E8</v>
      </c>
      <c r="H418" s="64" t="s">
        <v>1242</v>
      </c>
      <c r="I418" s="16">
        <f>IF(@Table1[[#This Row],[Delivery Date]]="","NA",@Table1[[#This Row],[Delivery Date]]+30)</f>
        <v>45973.0</v>
      </c>
      <c r="J418" s="35" t="s">
        <f t="shared" si="5"/>
        <v>28</v>
      </c>
      <c r="K418" s="87"/>
      <c r="L418" s="89"/>
      <c r="M418" s="89"/>
      <c r="N418" s="89"/>
    </row>
    <row r="419" customHeight="1" ht="14.0">
      <c r="A419" s="32" t="s">
        <v>1243</v>
      </c>
      <c r="B419" s="64" t="s">
        <v>1244</v>
      </c>
      <c r="C419" s="22" t="s">
        <v>1245</v>
      </c>
      <c r="D419" s="33">
        <v>36.0</v>
      </c>
      <c r="E419" s="34">
        <v>45942</v>
      </c>
      <c r="F419" s="88" t="s">
        <v>1031</v>
      </c>
      <c r="G419" s="109">
        <v>2.75780337E8</v>
      </c>
      <c r="H419" s="64" t="s">
        <v>1246</v>
      </c>
      <c r="I419" s="16">
        <f>IF(@Table1[[#This Row],[Delivery Date]]="","NA",@Table1[[#This Row],[Delivery Date]]+30)</f>
        <v>45972.0</v>
      </c>
      <c r="J419" s="35" t="s">
        <f t="shared" si="5"/>
        <v>28</v>
      </c>
      <c r="K419" s="87"/>
      <c r="L419" s="89"/>
      <c r="M419" s="89"/>
      <c r="N419" s="89"/>
    </row>
    <row r="420" customHeight="1" ht="14.0">
      <c r="A420" s="32" t="s">
        <v>1247</v>
      </c>
      <c r="B420" s="64" t="s">
        <v>1248</v>
      </c>
      <c r="C420" s="22" t="s">
        <v>1224</v>
      </c>
      <c r="D420" s="33">
        <v>202.0</v>
      </c>
      <c r="E420" s="34">
        <v>45947</v>
      </c>
      <c r="F420" s="88" t="s">
        <v>1031</v>
      </c>
      <c r="G420" s="109">
        <v>2.75780342E8</v>
      </c>
      <c r="H420" s="64" t="s">
        <v>1249</v>
      </c>
      <c r="I420" s="16">
        <f>IF(@Table1[[#This Row],[Delivery Date]]="","NA",@Table1[[#This Row],[Delivery Date]]+30)</f>
        <v>45977.0</v>
      </c>
      <c r="J420" s="35" t="s">
        <f t="shared" si="5"/>
        <v>28</v>
      </c>
      <c r="K420" s="87"/>
      <c r="L420" s="89"/>
      <c r="M420" s="89"/>
      <c r="N420" s="89"/>
    </row>
    <row r="421" customHeight="1" ht="14.0">
      <c r="A421" s="32" t="s">
        <v>1250</v>
      </c>
      <c r="B421" s="64" t="s">
        <v>1251</v>
      </c>
      <c r="C421" s="22" t="s">
        <v>1231</v>
      </c>
      <c r="D421" s="33">
        <v>144.0</v>
      </c>
      <c r="E421" s="34">
        <v>45958</v>
      </c>
      <c r="F421" s="88" t="s">
        <v>1031</v>
      </c>
      <c r="G421" s="109">
        <v>2.75780341E8</v>
      </c>
      <c r="H421" s="64" t="s">
        <v>1252</v>
      </c>
      <c r="I421" s="16">
        <f>IF(@Table1[[#This Row],[Delivery Date]]="","NA",@Table1[[#This Row],[Delivery Date]]+30)</f>
        <v>45988.0</v>
      </c>
      <c r="J421" s="35" t="s">
        <f t="shared" si="5"/>
        <v>28</v>
      </c>
      <c r="K421" s="87"/>
      <c r="L421" s="89"/>
      <c r="M421" s="89"/>
      <c r="N421" s="89"/>
    </row>
    <row r="422" customHeight="1" ht="14.0">
      <c r="A422" s="32" t="s">
        <v>1253</v>
      </c>
      <c r="B422" s="64" t="s">
        <v>1254</v>
      </c>
      <c r="C422" s="22" t="s">
        <v>58</v>
      </c>
      <c r="D422" s="33">
        <v>144.0</v>
      </c>
      <c r="E422" s="34">
        <v>45942</v>
      </c>
      <c r="F422" s="88" t="s">
        <v>1031</v>
      </c>
      <c r="G422" s="109">
        <v>2.75780338E8</v>
      </c>
      <c r="H422" s="64" t="s">
        <v>1255</v>
      </c>
      <c r="I422" s="16">
        <f>IF(@Table1[[#This Row],[Delivery Date]]="","NA",@Table1[[#This Row],[Delivery Date]]+30)</f>
        <v>45972.0</v>
      </c>
      <c r="J422" s="35" t="s">
        <f t="shared" si="5"/>
        <v>28</v>
      </c>
      <c r="K422" s="87"/>
      <c r="L422" s="89"/>
      <c r="M422" s="89"/>
      <c r="N422" s="89"/>
    </row>
    <row r="423" customHeight="1" ht="14.0">
      <c r="A423" s="32" t="s">
        <v>1256</v>
      </c>
      <c r="B423" s="64" t="s">
        <v>1257</v>
      </c>
      <c r="C423" s="22" t="s">
        <v>1039</v>
      </c>
      <c r="D423" s="33">
        <v>36.0</v>
      </c>
      <c r="E423" s="34">
        <v>45943</v>
      </c>
      <c r="F423" s="88" t="s">
        <v>1031</v>
      </c>
      <c r="G423" s="109">
        <v>2.75780333E8</v>
      </c>
      <c r="H423" s="64" t="s">
        <v>1258</v>
      </c>
      <c r="I423" s="16">
        <f>IF(@Table1[[#This Row],[Delivery Date]]="","NA",@Table1[[#This Row],[Delivery Date]]+30)</f>
        <v>45973.0</v>
      </c>
      <c r="J423" s="35" t="s">
        <f t="shared" si="5"/>
        <v>28</v>
      </c>
      <c r="K423" s="87"/>
      <c r="L423" s="89"/>
      <c r="M423" s="89"/>
      <c r="N423" s="89"/>
    </row>
    <row r="424" customHeight="1" ht="14.0">
      <c r="A424" s="32" t="s">
        <v>1259</v>
      </c>
      <c r="B424" s="64" t="s">
        <v>1260</v>
      </c>
      <c r="C424" s="22" t="s">
        <v>971</v>
      </c>
      <c r="D424" s="33">
        <v>600.0</v>
      </c>
      <c r="E424" s="34">
        <v>45941</v>
      </c>
      <c r="F424" s="88" t="s">
        <v>1031</v>
      </c>
      <c r="G424" s="109">
        <v>2.75780271E8</v>
      </c>
      <c r="H424" s="64" t="s">
        <v>1261</v>
      </c>
      <c r="I424" s="16">
        <f>IF(@Table1[[#This Row],[Delivery Date]]="","NA",@Table1[[#This Row],[Delivery Date]]+30)</f>
        <v>45971.0</v>
      </c>
      <c r="J424" s="35" t="s">
        <f t="shared" si="5"/>
        <v>28</v>
      </c>
      <c r="K424" s="87"/>
      <c r="L424" s="89"/>
      <c r="M424" s="89"/>
      <c r="N424" s="89"/>
    </row>
    <row r="425" customHeight="1" ht="14.0">
      <c r="A425" s="117" t="s">
        <v>1262</v>
      </c>
      <c r="B425" s="118" t="s">
        <v>1263</v>
      </c>
      <c r="C425" s="42" t="s">
        <v>1231</v>
      </c>
      <c r="D425" s="119">
        <v>94.0</v>
      </c>
      <c r="E425" s="120">
        <v>45941</v>
      </c>
      <c r="F425" s="121" t="s">
        <v>1031</v>
      </c>
      <c r="G425" s="122">
        <v>2.75780272E8</v>
      </c>
      <c r="H425" s="118" t="s">
        <v>1264</v>
      </c>
      <c r="I425" s="16">
        <f>IF(@Table1[[#This Row],[Delivery Date]]="","NA",@Table1[[#This Row],[Delivery Date]]+30)</f>
        <v>45971.0</v>
      </c>
      <c r="J425" s="35" t="s">
        <f t="shared" si="5"/>
        <v>28</v>
      </c>
      <c r="K425" s="87"/>
      <c r="L425" s="89"/>
      <c r="M425" s="89"/>
      <c r="N425" s="89"/>
    </row>
    <row r="426" customHeight="1" ht="14.0">
      <c r="A426" s="32" t="s">
        <v>1265</v>
      </c>
      <c r="B426" s="64" t="s">
        <v>1266</v>
      </c>
      <c r="C426" s="22" t="s">
        <v>1267</v>
      </c>
      <c r="D426" s="33">
        <v>31.0</v>
      </c>
      <c r="E426" s="34">
        <v>45941</v>
      </c>
      <c r="F426" s="88" t="s">
        <v>1031</v>
      </c>
      <c r="G426" s="109">
        <v>2.75780273E8</v>
      </c>
      <c r="H426" s="64" t="s">
        <v>1268</v>
      </c>
      <c r="I426" s="16">
        <f>IF(@Table1[[#This Row],[Delivery Date]]="","NA",@Table1[[#This Row],[Delivery Date]]+30)</f>
        <v>45971.0</v>
      </c>
      <c r="J426" s="35" t="s">
        <f t="shared" si="5"/>
        <v>28</v>
      </c>
      <c r="K426" s="87"/>
      <c r="L426" s="89"/>
      <c r="M426" s="89"/>
      <c r="N426" s="89"/>
    </row>
    <row r="427" customHeight="1" ht="14.0">
      <c r="A427" s="32" t="s">
        <v>1269</v>
      </c>
      <c r="B427" s="64" t="s">
        <v>1270</v>
      </c>
      <c r="C427" s="22" t="s">
        <v>1039</v>
      </c>
      <c r="D427" s="33">
        <v>63.0</v>
      </c>
      <c r="E427" s="34">
        <v>45943</v>
      </c>
      <c r="F427" s="88" t="s">
        <v>1031</v>
      </c>
      <c r="G427" s="109">
        <v>2.75780289E8</v>
      </c>
      <c r="H427" s="64" t="s">
        <v>1271</v>
      </c>
      <c r="I427" s="16">
        <f>IF(@Table1[[#This Row],[Delivery Date]]="","NA",@Table1[[#This Row],[Delivery Date]]+30)</f>
        <v>45973.0</v>
      </c>
      <c r="J427" s="35" t="s">
        <f t="shared" si="5"/>
        <v>28</v>
      </c>
      <c r="K427" s="87"/>
      <c r="L427" s="89"/>
      <c r="M427" s="89"/>
      <c r="N427" s="89"/>
    </row>
    <row r="428" customHeight="1" ht="14.0">
      <c r="A428" s="32" t="s">
        <v>1272</v>
      </c>
      <c r="B428" s="64" t="s">
        <v>1273</v>
      </c>
      <c r="C428" s="22" t="s">
        <v>1047</v>
      </c>
      <c r="D428" s="33">
        <v>206.0</v>
      </c>
      <c r="E428" s="34">
        <v>45939</v>
      </c>
      <c r="F428" s="88" t="s">
        <v>1031</v>
      </c>
      <c r="G428" s="109">
        <v>2.75780274E8</v>
      </c>
      <c r="H428" s="64" t="s">
        <v>1274</v>
      </c>
      <c r="I428" s="16">
        <f>IF(@Table1[[#This Row],[Delivery Date]]="","NA",@Table1[[#This Row],[Delivery Date]]+30)</f>
        <v>45969.0</v>
      </c>
      <c r="J428" s="35" t="s">
        <f t="shared" si="5"/>
        <v>28</v>
      </c>
      <c r="K428" s="87"/>
      <c r="L428" s="89"/>
      <c r="M428" s="89"/>
      <c r="N428" s="89"/>
    </row>
    <row r="429" customHeight="1" ht="14.0">
      <c r="A429" s="32" t="s">
        <v>1275</v>
      </c>
      <c r="B429" s="64" t="s">
        <v>1276</v>
      </c>
      <c r="C429" s="22" t="s">
        <v>58</v>
      </c>
      <c r="D429" s="33">
        <v>56.0</v>
      </c>
      <c r="E429" s="34">
        <v>45945</v>
      </c>
      <c r="F429" s="88" t="s">
        <v>1031</v>
      </c>
      <c r="G429" s="109">
        <v>2.75780275E8</v>
      </c>
      <c r="H429" s="64" t="s">
        <v>1277</v>
      </c>
      <c r="I429" s="16">
        <f>IF(@Table1[[#This Row],[Delivery Date]]="","NA",@Table1[[#This Row],[Delivery Date]]+30)</f>
        <v>45975.0</v>
      </c>
      <c r="J429" s="35" t="s">
        <f t="shared" si="5"/>
        <v>28</v>
      </c>
      <c r="K429" s="87"/>
      <c r="L429" s="89"/>
      <c r="M429" s="89"/>
      <c r="N429" s="89"/>
    </row>
    <row r="430" customHeight="1" ht="14.0">
      <c r="A430" s="32" t="s">
        <v>1278</v>
      </c>
      <c r="B430" s="64" t="s">
        <v>1279</v>
      </c>
      <c r="C430" s="22" t="s">
        <v>1280</v>
      </c>
      <c r="D430" s="33">
        <v>80.0</v>
      </c>
      <c r="E430" s="34">
        <v>45941</v>
      </c>
      <c r="F430" s="88" t="s">
        <v>1031</v>
      </c>
      <c r="G430" s="109">
        <v>2.75780276E8</v>
      </c>
      <c r="H430" s="64" t="s">
        <v>1281</v>
      </c>
      <c r="I430" s="16">
        <f>IF(@Table1[[#This Row],[Delivery Date]]="","NA",@Table1[[#This Row],[Delivery Date]]+30)</f>
        <v>45971.0</v>
      </c>
      <c r="J430" s="35" t="s">
        <f t="shared" si="5"/>
        <v>28</v>
      </c>
      <c r="K430" s="87"/>
      <c r="L430" s="89"/>
      <c r="M430" s="89"/>
      <c r="N430" s="89"/>
    </row>
    <row r="431" customHeight="1" ht="14.0">
      <c r="A431" s="32" t="s">
        <v>1282</v>
      </c>
      <c r="B431" s="64" t="s">
        <v>1283</v>
      </c>
      <c r="C431" s="22" t="s">
        <v>1284</v>
      </c>
      <c r="D431" s="33">
        <v>59.0</v>
      </c>
      <c r="E431" s="34">
        <v>45939</v>
      </c>
      <c r="F431" s="88" t="s">
        <v>1031</v>
      </c>
      <c r="G431" s="109">
        <v>2.75780277E8</v>
      </c>
      <c r="H431" s="64" t="s">
        <v>1285</v>
      </c>
      <c r="I431" s="16">
        <f>IF(@Table1[[#This Row],[Delivery Date]]="","NA",@Table1[[#This Row],[Delivery Date]]+30)</f>
        <v>45969.0</v>
      </c>
      <c r="J431" s="35" t="s">
        <f t="shared" si="5"/>
        <v>28</v>
      </c>
      <c r="K431" s="87"/>
      <c r="L431" s="89"/>
      <c r="M431" s="89"/>
      <c r="N431" s="89"/>
    </row>
    <row r="432" customHeight="1" ht="14.0">
      <c r="A432" s="32" t="s">
        <v>1286</v>
      </c>
      <c r="B432" s="64" t="s">
        <v>1287</v>
      </c>
      <c r="C432" s="22" t="s">
        <v>1288</v>
      </c>
      <c r="D432" s="33">
        <v>99.0</v>
      </c>
      <c r="E432" s="34">
        <v>45941</v>
      </c>
      <c r="F432" s="88" t="s">
        <v>1031</v>
      </c>
      <c r="G432" s="109">
        <v>2.75780278E8</v>
      </c>
      <c r="H432" s="64" t="s">
        <v>1289</v>
      </c>
      <c r="I432" s="16">
        <f>IF(@Table1[[#This Row],[Delivery Date]]="","NA",@Table1[[#This Row],[Delivery Date]]+30)</f>
        <v>45971.0</v>
      </c>
      <c r="J432" s="35" t="s">
        <f t="shared" si="5"/>
        <v>28</v>
      </c>
      <c r="K432" s="87"/>
      <c r="L432" s="89"/>
      <c r="M432" s="89"/>
      <c r="N432" s="89"/>
    </row>
    <row r="433" customHeight="1" ht="14.0">
      <c r="A433" s="32" t="s">
        <v>1290</v>
      </c>
      <c r="B433" s="64" t="s">
        <v>1291</v>
      </c>
      <c r="C433" s="22" t="s">
        <v>1284</v>
      </c>
      <c r="D433" s="33">
        <v>70.0</v>
      </c>
      <c r="E433" s="34">
        <v>45943</v>
      </c>
      <c r="F433" s="88" t="s">
        <v>1031</v>
      </c>
      <c r="G433" s="109">
        <v>2.75780384E8</v>
      </c>
      <c r="H433" s="64" t="s">
        <v>1292</v>
      </c>
      <c r="I433" s="16">
        <f>IF(@Table1[[#This Row],[Delivery Date]]="","NA",@Table1[[#This Row],[Delivery Date]]+30)</f>
        <v>45973.0</v>
      </c>
      <c r="J433" s="35" t="s">
        <f t="shared" si="5"/>
        <v>28</v>
      </c>
      <c r="K433" s="87"/>
      <c r="L433" s="89"/>
      <c r="M433" s="89"/>
      <c r="N433" s="89"/>
    </row>
    <row r="434" customHeight="1" ht="14.0">
      <c r="A434" s="63" t="s">
        <v>1293</v>
      </c>
      <c r="B434" s="64" t="s">
        <v>1294</v>
      </c>
      <c r="C434" s="64" t="s">
        <v>1039</v>
      </c>
      <c r="D434" s="65">
        <v>624.0</v>
      </c>
      <c r="E434" s="66">
        <v>45949</v>
      </c>
      <c r="F434" s="123" t="s">
        <v>1031</v>
      </c>
      <c r="G434" s="95">
        <v>2.75780387E8</v>
      </c>
      <c r="H434" s="64" t="s">
        <v>1295</v>
      </c>
      <c r="I434" s="16">
        <f>IF(@Table1[[#This Row],[Delivery Date]]="","NA",@Table1[[#This Row],[Delivery Date]]+30)</f>
        <v>45979.0</v>
      </c>
      <c r="J434" s="35" t="s">
        <f t="shared" si="5"/>
        <v>28</v>
      </c>
      <c r="K434" s="87"/>
      <c r="L434" s="89"/>
      <c r="M434" s="89"/>
      <c r="N434" s="89"/>
    </row>
    <row r="435" customHeight="1" ht="14.0">
      <c r="A435" s="22" t="s">
        <v>1296</v>
      </c>
      <c r="B435" s="22" t="s">
        <v>1297</v>
      </c>
      <c r="C435" s="22" t="s">
        <v>478</v>
      </c>
      <c r="D435" s="33">
        <v>216.0</v>
      </c>
      <c r="E435" s="66">
        <v>45949</v>
      </c>
      <c r="F435" s="88" t="s">
        <v>1031</v>
      </c>
      <c r="G435" s="109">
        <v>2.86596613E8</v>
      </c>
      <c r="H435" s="22" t="s">
        <v>1298</v>
      </c>
      <c r="I435" s="124">
        <f>IF(@Table1[[#This Row],[Delivery Date]]="","NA",@Table1[[#This Row],[Delivery Date]]+30)</f>
        <v>45979.0</v>
      </c>
      <c r="J435" s="69" t="s">
        <f t="shared" si="5"/>
        <v>28</v>
      </c>
      <c r="K435" s="87"/>
      <c r="L435" s="89"/>
      <c r="M435" s="89"/>
      <c r="N435" s="89"/>
    </row>
    <row r="436" customHeight="1" ht="14.0">
      <c r="A436" s="22" t="s">
        <v>1299</v>
      </c>
      <c r="B436" s="22" t="s">
        <v>1300</v>
      </c>
      <c r="C436" s="22" t="s">
        <v>1066</v>
      </c>
      <c r="D436" s="33">
        <v>153.0</v>
      </c>
      <c r="E436" s="34">
        <v>45946</v>
      </c>
      <c r="F436" s="88" t="s">
        <v>1031</v>
      </c>
      <c r="G436" s="109">
        <v>2.757804E8</v>
      </c>
      <c r="H436" s="22" t="s">
        <v>1301</v>
      </c>
      <c r="I436" s="125">
        <f>IF(@Table1[[#This Row],[Delivery Date]]="","NA",@Table1[[#This Row],[Delivery Date]]+30)</f>
        <v>45976.0</v>
      </c>
      <c r="J436" s="126" t="s">
        <f t="shared" si="5"/>
        <v>28</v>
      </c>
      <c r="K436" s="87"/>
      <c r="L436" s="89"/>
      <c r="M436" s="89"/>
      <c r="N436" s="89"/>
    </row>
    <row r="437" customHeight="1" ht="14.0">
      <c r="A437" s="22" t="s">
        <v>1302</v>
      </c>
      <c r="B437" s="22" t="s">
        <v>1303</v>
      </c>
      <c r="C437" s="22" t="s">
        <v>1284</v>
      </c>
      <c r="D437" s="33">
        <v>397.0</v>
      </c>
      <c r="E437" s="34">
        <v>45944</v>
      </c>
      <c r="F437" s="88" t="s">
        <v>1031</v>
      </c>
      <c r="G437" s="109">
        <v>2.86596601E8</v>
      </c>
      <c r="H437" s="22" t="s">
        <v>1304</v>
      </c>
      <c r="I437" s="127">
        <f>IF(@Table1[[#This Row],[Delivery Date]]="","NA",@Table1[[#This Row],[Delivery Date]]+30)</f>
        <v>45974.0</v>
      </c>
      <c r="J437" s="78" t="s">
        <f t="shared" si="5"/>
        <v>28</v>
      </c>
      <c r="K437" s="128"/>
      <c r="L437" s="89"/>
      <c r="M437" s="89"/>
      <c r="N437" s="89"/>
    </row>
    <row r="438" customHeight="1" ht="14.0">
      <c r="A438" s="22" t="s">
        <v>1305</v>
      </c>
      <c r="B438" s="22" t="s">
        <v>1306</v>
      </c>
      <c r="C438" s="33" t="s">
        <v>1280</v>
      </c>
      <c r="D438" s="34"/>
      <c r="E438" s="34">
        <v>45945</v>
      </c>
      <c r="F438" s="109" t="s">
        <v>1031</v>
      </c>
      <c r="G438" s="109">
        <v>2.86596602E8</v>
      </c>
      <c r="H438" s="22" t="s">
        <v>1307</v>
      </c>
      <c r="I438" s="125">
        <f>IF(@Table1[[#This Row],[Delivery Date]]="","NA",@Table1[[#This Row],[Delivery Date]]+30)</f>
        <v>45975.0</v>
      </c>
      <c r="J438" s="126" t="s">
        <f t="shared" si="5"/>
        <v>28</v>
      </c>
      <c r="K438" s="87"/>
      <c r="L438" s="89"/>
      <c r="M438" s="89"/>
      <c r="N438" s="89"/>
    </row>
    <row r="439" customHeight="1" ht="14.0">
      <c r="A439" s="22" t="s">
        <v>1308</v>
      </c>
      <c r="B439" s="22" t="s">
        <v>1309</v>
      </c>
      <c r="C439" s="33" t="s">
        <v>1039</v>
      </c>
      <c r="D439" s="33">
        <v>396.0</v>
      </c>
      <c r="E439" s="34">
        <v>45946</v>
      </c>
      <c r="F439" s="109" t="s">
        <v>1031</v>
      </c>
      <c r="G439" s="109">
        <v>2.86596603E8</v>
      </c>
      <c r="H439" s="22" t="s">
        <v>1310</v>
      </c>
      <c r="I439" s="127">
        <f>IF(@Table1[[#This Row],[Delivery Date]]="","NA",@Table1[[#This Row],[Delivery Date]]+30)</f>
        <v>45976.0</v>
      </c>
      <c r="J439" s="78" t="s">
        <f t="shared" si="5"/>
        <v>28</v>
      </c>
      <c r="K439" s="87"/>
      <c r="L439" s="89"/>
      <c r="M439" s="89"/>
      <c r="N439" s="89"/>
    </row>
    <row r="440" customHeight="1" ht="14.0">
      <c r="A440" s="116" t="s">
        <v>1311</v>
      </c>
      <c r="B440" s="73" t="s">
        <v>1312</v>
      </c>
      <c r="C440" s="74" t="s">
        <v>1043</v>
      </c>
      <c r="D440" s="75"/>
      <c r="E440" s="34">
        <v>45944</v>
      </c>
      <c r="F440" s="114" t="s">
        <v>1031</v>
      </c>
      <c r="G440" s="114">
        <v>2.86596604E8</v>
      </c>
      <c r="H440" s="116" t="s">
        <v>1313</v>
      </c>
      <c r="I440" s="16">
        <f>IF(@Table1[[#This Row],[Delivery Date]]="","NA",@Table1[[#This Row],[Delivery Date]]+30)</f>
        <v>45974.0</v>
      </c>
      <c r="J440" s="35" t="s">
        <f t="shared" si="5"/>
        <v>28</v>
      </c>
      <c r="K440" s="87"/>
      <c r="L440" s="89"/>
      <c r="M440" s="89"/>
      <c r="N440" s="89"/>
    </row>
    <row r="441" customHeight="1" ht="14.0">
      <c r="A441" s="32" t="s">
        <v>1314</v>
      </c>
      <c r="B441" s="64" t="s">
        <v>1315</v>
      </c>
      <c r="C441" s="22" t="s">
        <v>1231</v>
      </c>
      <c r="D441" s="33">
        <v>492.0</v>
      </c>
      <c r="E441" s="34">
        <v>45956</v>
      </c>
      <c r="F441" s="88" t="s">
        <v>1031</v>
      </c>
      <c r="G441" s="109">
        <v>2.86596606E8</v>
      </c>
      <c r="H441" s="64" t="s">
        <v>1316</v>
      </c>
      <c r="I441" s="16">
        <f>IF(@Table1[[#This Row],[Delivery Date]]="","NA",@Table1[[#This Row],[Delivery Date]]+30)</f>
        <v>45986.0</v>
      </c>
      <c r="J441" s="35" t="s">
        <f t="shared" si="5"/>
        <v>28</v>
      </c>
      <c r="K441" s="87"/>
      <c r="L441" s="89"/>
      <c r="M441" s="89"/>
      <c r="N441" s="89"/>
    </row>
    <row r="442" customHeight="1" ht="14.0">
      <c r="A442" s="63" t="s">
        <v>1317</v>
      </c>
      <c r="B442" s="64" t="s">
        <v>1318</v>
      </c>
      <c r="C442" s="64" t="s">
        <v>1319</v>
      </c>
      <c r="D442" s="65">
        <v>423.0</v>
      </c>
      <c r="E442" s="34">
        <v>45945</v>
      </c>
      <c r="F442" s="123" t="s">
        <v>1031</v>
      </c>
      <c r="G442" s="95">
        <v>2.86596607E8</v>
      </c>
      <c r="H442" s="64" t="s">
        <v>1320</v>
      </c>
      <c r="I442" s="68">
        <f>IF(@Table1[[#This Row],[Delivery Date]]="","NA",@Table1[[#This Row],[Delivery Date]]+30)</f>
        <v>45975.0</v>
      </c>
      <c r="J442" s="69" t="s">
        <f t="shared" si="5"/>
        <v>28</v>
      </c>
      <c r="K442" s="87"/>
      <c r="L442" s="89"/>
      <c r="M442" s="89"/>
      <c r="N442" s="89"/>
    </row>
    <row r="443" customHeight="1" ht="14.0">
      <c r="A443" s="63" t="s">
        <v>1321</v>
      </c>
      <c r="B443" s="64" t="s">
        <v>1322</v>
      </c>
      <c r="C443" s="64" t="s">
        <v>58</v>
      </c>
      <c r="D443" s="65">
        <v>312.0</v>
      </c>
      <c r="E443" s="66">
        <v>45945</v>
      </c>
      <c r="F443" s="123" t="s">
        <v>1031</v>
      </c>
      <c r="G443" s="95">
        <v>2.86596608E8</v>
      </c>
      <c r="H443" s="64" t="s">
        <v>1323</v>
      </c>
      <c r="I443" s="68">
        <f>IF(@Table1[[#This Row],[Delivery Date]]="","NA",@Table1[[#This Row],[Delivery Date]]+30)</f>
        <v>45975.0</v>
      </c>
      <c r="J443" s="69" t="s">
        <f t="shared" si="5"/>
        <v>28</v>
      </c>
      <c r="K443" s="87"/>
      <c r="L443" s="89"/>
      <c r="M443" s="89"/>
      <c r="N443" s="89"/>
    </row>
    <row r="444" customHeight="1" ht="14.0">
      <c r="A444" s="22" t="s">
        <v>1324</v>
      </c>
      <c r="B444" s="22" t="s">
        <v>1325</v>
      </c>
      <c r="C444" s="22" t="s">
        <v>58</v>
      </c>
      <c r="D444" s="33">
        <v>876.0</v>
      </c>
      <c r="E444" s="34">
        <v>45945</v>
      </c>
      <c r="F444" s="88" t="s">
        <v>1031</v>
      </c>
      <c r="G444" s="109">
        <v>2.86596609E8</v>
      </c>
      <c r="H444" s="37" t="s">
        <v>1326</v>
      </c>
      <c r="I444" s="16">
        <f>IF(@Table1[[#This Row],[Delivery Date]]="","NA",@Table1[[#This Row],[Delivery Date]]+30)</f>
        <v>45975.0</v>
      </c>
      <c r="J444" s="35" t="s">
        <f t="shared" si="5"/>
        <v>28</v>
      </c>
      <c r="K444" s="128"/>
      <c r="L444" s="89"/>
      <c r="M444" s="89"/>
      <c r="N444" s="89"/>
    </row>
    <row r="445" customHeight="1" ht="14.0">
      <c r="A445" s="22" t="s">
        <v>1327</v>
      </c>
      <c r="B445" s="22" t="s">
        <v>1328</v>
      </c>
      <c r="C445" s="22" t="s">
        <v>1062</v>
      </c>
      <c r="D445" s="33">
        <v>108.0</v>
      </c>
      <c r="E445" s="34">
        <v>45949</v>
      </c>
      <c r="F445" s="109" t="s">
        <v>1031</v>
      </c>
      <c r="G445" s="109">
        <v>2.86596652E8</v>
      </c>
      <c r="H445" s="37" t="s">
        <v>1329</v>
      </c>
      <c r="I445" s="16">
        <f>IF(@Table1[[#This Row],[Delivery Date]]="","NA",@Table1[[#This Row],[Delivery Date]]+30)</f>
        <v>45979.0</v>
      </c>
      <c r="J445" s="35" t="s">
        <f t="shared" si="5"/>
        <v>28</v>
      </c>
      <c r="K445" s="128"/>
      <c r="L445" s="89"/>
      <c r="M445" s="89"/>
      <c r="N445" s="89"/>
    </row>
    <row r="446" customHeight="1" ht="14.0">
      <c r="A446" s="22" t="s">
        <v>1330</v>
      </c>
      <c r="B446" s="22" t="s">
        <v>1331</v>
      </c>
      <c r="C446" s="22" t="s">
        <v>504</v>
      </c>
      <c r="D446" s="33">
        <v>852.0</v>
      </c>
      <c r="E446" s="34">
        <v>45957</v>
      </c>
      <c r="F446" s="109" t="s">
        <v>1031</v>
      </c>
      <c r="G446" s="109">
        <v>2.86596728E8</v>
      </c>
      <c r="H446" s="37" t="s">
        <v>1332</v>
      </c>
      <c r="I446" s="16">
        <f>IF(@Table1[[#This Row],[Delivery Date]]="","NA",@Table1[[#This Row],[Delivery Date]]+30)</f>
        <v>45987.0</v>
      </c>
      <c r="J446" s="35" t="s">
        <f t="shared" si="5"/>
        <v>28</v>
      </c>
      <c r="K446" s="128"/>
      <c r="L446" s="89"/>
      <c r="M446" s="89"/>
      <c r="N446" s="89"/>
    </row>
    <row r="447" customHeight="1" ht="14.0">
      <c r="A447" s="22" t="s">
        <v>1333</v>
      </c>
      <c r="B447" s="22" t="s">
        <v>1334</v>
      </c>
      <c r="C447" s="22" t="s">
        <v>1335</v>
      </c>
      <c r="D447" s="33">
        <v>618.0</v>
      </c>
      <c r="E447" s="34">
        <v>45954</v>
      </c>
      <c r="F447" s="109" t="s">
        <v>1031</v>
      </c>
      <c r="G447" s="109">
        <v>2.86596673E8</v>
      </c>
      <c r="H447" s="37" t="s">
        <v>1336</v>
      </c>
      <c r="I447" s="16">
        <f>IF(@Table1[[#This Row],[Delivery Date]]="","NA",@Table1[[#This Row],[Delivery Date]]+30)</f>
        <v>45984.0</v>
      </c>
      <c r="J447" s="35" t="s">
        <f t="shared" si="5"/>
        <v>28</v>
      </c>
      <c r="K447" s="128"/>
      <c r="L447" s="89"/>
      <c r="M447" s="89"/>
      <c r="N447" s="89"/>
    </row>
    <row r="448" customHeight="1" ht="14.0">
      <c r="A448" s="22" t="s">
        <v>1337</v>
      </c>
      <c r="B448" s="22" t="s">
        <v>1338</v>
      </c>
      <c r="C448" s="22" t="s">
        <v>15</v>
      </c>
      <c r="D448" s="33">
        <v>406.0</v>
      </c>
      <c r="E448" s="34">
        <v>45947</v>
      </c>
      <c r="F448" s="109" t="s">
        <v>1031</v>
      </c>
      <c r="G448" s="109">
        <v>2.86596676E8</v>
      </c>
      <c r="H448" s="37" t="s">
        <v>1339</v>
      </c>
      <c r="I448" s="16">
        <f>IF(@Table1[[#This Row],[Delivery Date]]="","NA",@Table1[[#This Row],[Delivery Date]]+30)</f>
        <v>45977.0</v>
      </c>
      <c r="J448" s="35" t="s">
        <f t="shared" si="5"/>
        <v>28</v>
      </c>
      <c r="K448" s="128"/>
      <c r="L448" s="89"/>
      <c r="M448" s="89"/>
      <c r="N448" s="89"/>
    </row>
    <row r="449" customHeight="1" ht="14.0">
      <c r="A449" s="22" t="s">
        <v>1340</v>
      </c>
      <c r="B449" s="22" t="s">
        <v>1341</v>
      </c>
      <c r="C449" s="22" t="s">
        <v>1335</v>
      </c>
      <c r="D449" s="33">
        <v>635.0</v>
      </c>
      <c r="E449" s="34">
        <v>45954</v>
      </c>
      <c r="F449" s="109" t="s">
        <v>1031</v>
      </c>
      <c r="G449" s="109">
        <v>2.86596745E8</v>
      </c>
      <c r="H449" s="37" t="s">
        <v>1342</v>
      </c>
      <c r="I449" s="16">
        <f>IF(@Table1[[#This Row],[Delivery Date]]="","NA",@Table1[[#This Row],[Delivery Date]]+30)</f>
        <v>45984.0</v>
      </c>
      <c r="J449" s="35" t="s">
        <f t="shared" si="5"/>
        <v>28</v>
      </c>
      <c r="K449" s="128"/>
      <c r="L449" s="89"/>
      <c r="M449" s="89"/>
      <c r="N449" s="89"/>
    </row>
    <row r="450" customHeight="1" ht="14.0">
      <c r="A450" s="22" t="s">
        <v>1343</v>
      </c>
      <c r="B450" s="22" t="s">
        <v>1344</v>
      </c>
      <c r="C450" s="22" t="s">
        <v>504</v>
      </c>
      <c r="D450" s="33">
        <v>672.0</v>
      </c>
      <c r="E450" s="34">
        <v>45954</v>
      </c>
      <c r="F450" s="109" t="s">
        <v>1031</v>
      </c>
      <c r="G450" s="109">
        <v>2.86596746E8</v>
      </c>
      <c r="H450" s="37" t="s">
        <v>1345</v>
      </c>
      <c r="I450" s="16">
        <f>IF(@Table1[[#This Row],[Delivery Date]]="","NA",@Table1[[#This Row],[Delivery Date]]+30)</f>
        <v>45984.0</v>
      </c>
      <c r="J450" s="35" t="s">
        <f t="shared" si="5"/>
        <v>28</v>
      </c>
      <c r="K450" s="128"/>
      <c r="L450" s="89"/>
      <c r="M450" s="89"/>
      <c r="N450" s="89"/>
    </row>
    <row r="451" customHeight="1" ht="14.0">
      <c r="A451" s="22" t="s">
        <v>1346</v>
      </c>
      <c r="B451" s="22" t="s">
        <v>1347</v>
      </c>
      <c r="C451" s="22" t="s">
        <v>144</v>
      </c>
      <c r="D451" s="33"/>
      <c r="E451" s="34">
        <v>45954</v>
      </c>
      <c r="F451" s="109" t="s">
        <v>1031</v>
      </c>
      <c r="G451" s="109">
        <v>2.86596747E8</v>
      </c>
      <c r="H451" s="37" t="s">
        <v>1348</v>
      </c>
      <c r="I451" s="16">
        <f>IF(@Table1[[#This Row],[Delivery Date]]="","NA",@Table1[[#This Row],[Delivery Date]]+30)</f>
        <v>45984.0</v>
      </c>
      <c r="J451" s="35" t="s">
        <f t="shared" si="5"/>
        <v>28</v>
      </c>
      <c r="K451" s="128"/>
      <c r="L451" s="89"/>
      <c r="M451" s="89"/>
      <c r="N451" s="89"/>
    </row>
    <row r="452" customHeight="1" ht="14.0">
      <c r="A452" s="22" t="s">
        <v>1349</v>
      </c>
      <c r="B452" s="22" t="s">
        <v>1350</v>
      </c>
      <c r="C452" s="22" t="s">
        <v>912</v>
      </c>
      <c r="D452" s="33">
        <v>508.0</v>
      </c>
      <c r="E452" s="34">
        <v>45954</v>
      </c>
      <c r="F452" s="109" t="s">
        <v>1031</v>
      </c>
      <c r="G452" s="109">
        <v>2.86596748E8</v>
      </c>
      <c r="H452" s="37" t="s">
        <v>1351</v>
      </c>
      <c r="I452" s="16">
        <f>IF(@Table1[[#This Row],[Delivery Date]]="","NA",@Table1[[#This Row],[Delivery Date]]+30)</f>
        <v>45984.0</v>
      </c>
      <c r="J452" s="35" t="s">
        <f t="shared" si="5"/>
        <v>28</v>
      </c>
      <c r="K452" s="128"/>
      <c r="L452" s="89"/>
      <c r="M452" s="89"/>
      <c r="N452" s="89"/>
    </row>
    <row r="453" customHeight="1" ht="14.0">
      <c r="A453" s="116" t="s">
        <v>1352</v>
      </c>
      <c r="B453" s="73" t="s">
        <v>1353</v>
      </c>
      <c r="C453" s="116" t="s">
        <v>15</v>
      </c>
      <c r="D453" s="129">
        <v>484.0</v>
      </c>
      <c r="E453" s="75">
        <v>45966</v>
      </c>
      <c r="F453" s="114" t="s">
        <v>1031</v>
      </c>
      <c r="G453" s="96">
        <v>2.8659678E8</v>
      </c>
      <c r="H453" s="130" t="s">
        <v>1354</v>
      </c>
      <c r="I453" s="16">
        <f>IF(@Table1[[#This Row],[Delivery Date]]="","NA",@Table1[[#This Row],[Delivery Date]]+30)</f>
        <v>45996.0</v>
      </c>
      <c r="J453" s="35" t="s">
        <f t="shared" si="5"/>
        <v>28</v>
      </c>
      <c r="K453" s="128"/>
      <c r="L453" s="89"/>
      <c r="M453" s="89"/>
      <c r="N453" s="89"/>
    </row>
    <row r="454" customHeight="1" ht="14.0">
      <c r="A454" s="64" t="s">
        <v>1355</v>
      </c>
      <c r="B454" s="22" t="s">
        <v>1356</v>
      </c>
      <c r="C454" s="64" t="s">
        <v>144</v>
      </c>
      <c r="D454" s="65">
        <v>378.0</v>
      </c>
      <c r="E454" s="34">
        <v>45966</v>
      </c>
      <c r="F454" s="109" t="s">
        <v>1031</v>
      </c>
      <c r="G454" s="96">
        <v>2.86596781E8</v>
      </c>
      <c r="H454" s="71" t="s">
        <v>1357</v>
      </c>
      <c r="I454" s="16">
        <f>IF(@Table1[[#This Row],[Delivery Date]]="","NA",@Table1[[#This Row],[Delivery Date]]+30)</f>
        <v>45996.0</v>
      </c>
      <c r="J454" s="35" t="s">
        <f t="shared" si="5"/>
        <v>28</v>
      </c>
      <c r="K454" s="128"/>
      <c r="L454" s="89"/>
      <c r="M454" s="89"/>
      <c r="N454" s="89"/>
    </row>
    <row r="455" customHeight="1" ht="14.0">
      <c r="A455" s="64" t="s">
        <v>1358</v>
      </c>
      <c r="B455" s="22" t="s">
        <v>1359</v>
      </c>
      <c r="C455" s="64" t="s">
        <v>147</v>
      </c>
      <c r="D455" s="65">
        <v>888.0</v>
      </c>
      <c r="E455" s="34">
        <v>45968</v>
      </c>
      <c r="F455" s="109" t="s">
        <v>1031</v>
      </c>
      <c r="G455" s="96">
        <v>2.76546971E8</v>
      </c>
      <c r="H455" s="71" t="s">
        <v>1360</v>
      </c>
      <c r="I455" s="16">
        <f>IF(@Table1[[#This Row],[Delivery Date]]="","NA",@Table1[[#This Row],[Delivery Date]]+30)</f>
        <v>45998.0</v>
      </c>
      <c r="J455" s="35" t="s">
        <f t="shared" si="5"/>
        <v>28</v>
      </c>
      <c r="K455" s="128"/>
      <c r="L455" s="89"/>
      <c r="M455" s="89"/>
      <c r="N455" s="89"/>
    </row>
    <row r="456" customHeight="1" ht="14.0">
      <c r="A456" s="64" t="s">
        <v>1361</v>
      </c>
      <c r="B456" s="22" t="s">
        <v>1362</v>
      </c>
      <c r="C456" s="64" t="s">
        <v>1062</v>
      </c>
      <c r="D456" s="65">
        <v>312.0</v>
      </c>
      <c r="E456" s="34">
        <v>45968</v>
      </c>
      <c r="F456" s="109" t="s">
        <v>1031</v>
      </c>
      <c r="G456" s="96">
        <v>2.7654697E8</v>
      </c>
      <c r="H456" s="71" t="s">
        <v>1363</v>
      </c>
      <c r="I456" s="16">
        <f>IF(@Table1[[#This Row],[Delivery Date]]="","NA",@Table1[[#This Row],[Delivery Date]]+30)</f>
        <v>45998.0</v>
      </c>
      <c r="J456" s="35" t="s">
        <f t="shared" si="5"/>
        <v>28</v>
      </c>
      <c r="K456" s="128"/>
      <c r="L456" s="89"/>
      <c r="M456" s="89"/>
      <c r="N456" s="89"/>
    </row>
    <row r="457" customHeight="1" ht="14.0">
      <c r="A457" s="64" t="s">
        <v>1364</v>
      </c>
      <c r="B457" s="22" t="s">
        <v>1365</v>
      </c>
      <c r="C457" s="64" t="s">
        <v>1066</v>
      </c>
      <c r="D457" s="65">
        <v>318.0</v>
      </c>
      <c r="E457" s="34">
        <v>45972</v>
      </c>
      <c r="F457" s="109" t="s">
        <v>1031</v>
      </c>
      <c r="G457" s="96">
        <v>2.76546965E8</v>
      </c>
      <c r="H457" s="71" t="s">
        <v>1366</v>
      </c>
      <c r="I457" s="16">
        <f>IF(@Table1[[#This Row],[Delivery Date]]="","NA",@Table1[[#This Row],[Delivery Date]]+30)</f>
        <v>46002.0</v>
      </c>
      <c r="J457" s="35" t="s">
        <f t="shared" si="5"/>
        <v>28</v>
      </c>
      <c r="K457" s="128"/>
      <c r="L457" s="89"/>
      <c r="M457" s="89"/>
      <c r="N457" s="89"/>
    </row>
    <row r="458" customHeight="1" ht="14.0">
      <c r="A458" s="64" t="s">
        <v>1367</v>
      </c>
      <c r="B458" s="22" t="s">
        <v>1368</v>
      </c>
      <c r="C458" s="22" t="s">
        <v>1035</v>
      </c>
      <c r="D458" s="65">
        <v>544.0</v>
      </c>
      <c r="E458" s="34">
        <v>45966</v>
      </c>
      <c r="F458" s="109" t="s">
        <v>1031</v>
      </c>
      <c r="G458" s="96">
        <v>2.76546967E8</v>
      </c>
      <c r="H458" s="71" t="s">
        <v>1369</v>
      </c>
      <c r="I458" s="16">
        <f>IF(@Table1[[#This Row],[Delivery Date]]="","NA",@Table1[[#This Row],[Delivery Date]]+30)</f>
        <v>45996.0</v>
      </c>
      <c r="J458" s="35" t="s">
        <f t="shared" si="5"/>
        <v>28</v>
      </c>
      <c r="K458" s="128"/>
      <c r="L458" s="89"/>
      <c r="M458" s="89"/>
      <c r="N458" s="89"/>
    </row>
    <row r="459" customHeight="1" ht="14.0">
      <c r="A459" s="64" t="s">
        <v>1370</v>
      </c>
      <c r="B459" s="22" t="s">
        <v>1371</v>
      </c>
      <c r="C459" s="64" t="s">
        <v>1043</v>
      </c>
      <c r="D459" s="65">
        <v>526.0</v>
      </c>
      <c r="E459" s="34">
        <v>45966</v>
      </c>
      <c r="F459" s="109" t="s">
        <v>1031</v>
      </c>
      <c r="G459" s="96">
        <v>2.76546966E8</v>
      </c>
      <c r="H459" s="71" t="s">
        <v>1372</v>
      </c>
      <c r="I459" s="16">
        <f>IF(@Table1[[#This Row],[Delivery Date]]="","NA",@Table1[[#This Row],[Delivery Date]]+30)</f>
        <v>45996.0</v>
      </c>
      <c r="J459" s="35" t="s">
        <f t="shared" si="5"/>
        <v>28</v>
      </c>
      <c r="K459" s="128"/>
      <c r="L459" s="89"/>
      <c r="M459" s="89"/>
      <c r="N459" s="89"/>
    </row>
    <row r="460" customHeight="1" ht="14.0">
      <c r="A460" s="64" t="s">
        <v>1373</v>
      </c>
      <c r="B460" s="22" t="s">
        <v>1374</v>
      </c>
      <c r="C460" s="64" t="s">
        <v>26</v>
      </c>
      <c r="D460" s="65">
        <v>410.0</v>
      </c>
      <c r="E460" s="34">
        <v>45969</v>
      </c>
      <c r="F460" s="109" t="s">
        <v>1031</v>
      </c>
      <c r="G460" s="96">
        <v>2.76546968E8</v>
      </c>
      <c r="H460" s="71" t="s">
        <v>1375</v>
      </c>
      <c r="I460" s="16">
        <f>IF(@Table1[[#This Row],[Delivery Date]]="","NA",@Table1[[#This Row],[Delivery Date]]+30)</f>
        <v>45999.0</v>
      </c>
      <c r="J460" s="35" t="s">
        <f t="shared" si="5"/>
        <v>28</v>
      </c>
      <c r="K460" s="128"/>
      <c r="L460" s="89"/>
      <c r="M460" s="89"/>
      <c r="N460" s="89"/>
    </row>
    <row r="461" customHeight="1" ht="14.0">
      <c r="A461" s="64" t="s">
        <v>1376</v>
      </c>
      <c r="B461" s="22" t="s">
        <v>1377</v>
      </c>
      <c r="C461" s="64" t="s">
        <v>1039</v>
      </c>
      <c r="D461" s="65">
        <v>264.0</v>
      </c>
      <c r="E461" s="34">
        <v>45973</v>
      </c>
      <c r="F461" s="109" t="s">
        <v>1031</v>
      </c>
      <c r="G461" s="96">
        <v>2.76546969E8</v>
      </c>
      <c r="H461" s="71" t="s">
        <v>1378</v>
      </c>
      <c r="I461" s="16">
        <f>IF(@Table1[[#This Row],[Delivery Date]]="","NA",@Table1[[#This Row],[Delivery Date]]+30)</f>
        <v>46003.0</v>
      </c>
      <c r="J461" s="35" t="s">
        <f t="shared" si="5"/>
        <v>28</v>
      </c>
      <c r="K461" s="128"/>
      <c r="L461" s="89"/>
      <c r="M461" s="89"/>
      <c r="N461" s="89"/>
    </row>
    <row r="462" customHeight="1" ht="14.0">
      <c r="A462" s="64" t="s">
        <v>1379</v>
      </c>
      <c r="B462" s="22" t="s">
        <v>1380</v>
      </c>
      <c r="C462" s="64" t="s">
        <v>1381</v>
      </c>
      <c r="D462" s="65">
        <v>660.0</v>
      </c>
      <c r="E462" s="34">
        <v>45968</v>
      </c>
      <c r="F462" s="109" t="s">
        <v>1031</v>
      </c>
      <c r="G462" s="96">
        <v>2.76546973E8</v>
      </c>
      <c r="H462" s="71" t="s">
        <v>1382</v>
      </c>
      <c r="I462" s="16">
        <f>IF(@Table1[[#This Row],[Delivery Date]]="","NA",@Table1[[#This Row],[Delivery Date]]+30)</f>
        <v>45998.0</v>
      </c>
      <c r="J462" s="35" t="s">
        <f t="shared" si="5"/>
        <v>28</v>
      </c>
      <c r="K462" s="128"/>
      <c r="L462" s="89"/>
      <c r="M462" s="89"/>
      <c r="N462" s="89"/>
    </row>
    <row r="463" customHeight="1" ht="14.0">
      <c r="A463" s="64" t="s">
        <v>1383</v>
      </c>
      <c r="B463" s="22" t="s">
        <v>1384</v>
      </c>
      <c r="C463" s="64" t="s">
        <v>1385</v>
      </c>
      <c r="D463" s="65">
        <v>1103.0</v>
      </c>
      <c r="E463" s="34">
        <v>45968</v>
      </c>
      <c r="F463" s="109" t="s">
        <v>1031</v>
      </c>
      <c r="G463" s="96">
        <v>2.76546972E8</v>
      </c>
      <c r="H463" s="71" t="s">
        <v>1386</v>
      </c>
      <c r="I463" s="16">
        <f>IF(@Table1[[#This Row],[Delivery Date]]="","NA",@Table1[[#This Row],[Delivery Date]]+30)</f>
        <v>45998.0</v>
      </c>
      <c r="J463" s="35" t="s">
        <f t="shared" si="5"/>
        <v>28</v>
      </c>
      <c r="K463" s="128"/>
      <c r="L463" s="89"/>
      <c r="M463" s="89"/>
      <c r="N463" s="89"/>
    </row>
    <row r="464" customHeight="1" ht="14.0">
      <c r="A464" s="64" t="s">
        <v>1387</v>
      </c>
      <c r="B464" s="22" t="s">
        <v>1388</v>
      </c>
      <c r="C464" s="64" t="s">
        <v>141</v>
      </c>
      <c r="D464" s="65">
        <v>285.0</v>
      </c>
      <c r="E464" s="34">
        <v>45966</v>
      </c>
      <c r="F464" s="109" t="s">
        <v>1031</v>
      </c>
      <c r="G464" s="96">
        <v>2.76546974E8</v>
      </c>
      <c r="H464" s="71" t="s">
        <v>1389</v>
      </c>
      <c r="I464" s="16">
        <f>IF(@Table1[[#This Row],[Delivery Date]]="","NA",@Table1[[#This Row],[Delivery Date]]+30)</f>
        <v>45996.0</v>
      </c>
      <c r="J464" s="35" t="s">
        <f t="shared" si="5"/>
        <v>28</v>
      </c>
      <c r="K464" s="128"/>
      <c r="L464" s="89"/>
      <c r="M464" s="89"/>
      <c r="N464" s="89"/>
    </row>
    <row r="465" customHeight="1" ht="14.0">
      <c r="A465" s="64" t="s">
        <v>1390</v>
      </c>
      <c r="B465" s="22" t="s">
        <v>1391</v>
      </c>
      <c r="C465" s="64" t="s">
        <v>1231</v>
      </c>
      <c r="D465" s="65"/>
      <c r="E465" s="34">
        <v>45971</v>
      </c>
      <c r="F465" s="109" t="s">
        <v>1031</v>
      </c>
      <c r="G465" s="96">
        <v>2.76546996E8</v>
      </c>
      <c r="H465" s="71" t="s">
        <v>1392</v>
      </c>
      <c r="I465" s="16">
        <f>IF(@Table1[[#This Row],[Delivery Date]]="","NA",@Table1[[#This Row],[Delivery Date]]+30)</f>
        <v>46001.0</v>
      </c>
      <c r="J465" s="35" t="s">
        <f t="shared" si="5"/>
        <v>28</v>
      </c>
      <c r="K465" s="128"/>
      <c r="L465" s="89"/>
      <c r="M465" s="89"/>
      <c r="N465" s="89"/>
    </row>
    <row r="466" customHeight="1" ht="14.0">
      <c r="A466" s="64" t="s">
        <v>1393</v>
      </c>
      <c r="B466" s="22" t="s">
        <v>1394</v>
      </c>
      <c r="C466" s="64" t="s">
        <v>1395</v>
      </c>
      <c r="D466" s="65">
        <v>936.0</v>
      </c>
      <c r="E466" s="34">
        <v>45977</v>
      </c>
      <c r="F466" s="109" t="s">
        <v>1031</v>
      </c>
      <c r="G466" s="96">
        <v>2.76547051E8</v>
      </c>
      <c r="H466" s="71" t="s">
        <v>1396</v>
      </c>
      <c r="I466" s="16">
        <f>IF(@Table1[[#This Row],[Delivery Date]]="","NA",@Table1[[#This Row],[Delivery Date]]+30)</f>
        <v>46007.0</v>
      </c>
      <c r="J466" s="35" t="s">
        <f t="shared" si="5"/>
        <v>28</v>
      </c>
      <c r="K466" s="128"/>
      <c r="L466" s="89"/>
      <c r="M466" s="89"/>
      <c r="N466" s="89"/>
    </row>
    <row r="467" customHeight="1" ht="14.0">
      <c r="A467" s="64" t="s">
        <v>1397</v>
      </c>
      <c r="B467" s="22" t="s">
        <v>1398</v>
      </c>
      <c r="C467" s="64" t="s">
        <v>1241</v>
      </c>
      <c r="D467" s="65">
        <v>771.0</v>
      </c>
      <c r="E467" s="34">
        <v>45977</v>
      </c>
      <c r="F467" s="109" t="s">
        <v>1031</v>
      </c>
      <c r="G467" s="96">
        <v>2.76547074E8</v>
      </c>
      <c r="H467" s="71" t="s">
        <v>1399</v>
      </c>
      <c r="I467" s="16">
        <f>IF(@Table1[[#This Row],[Delivery Date]]="","NA",@Table1[[#This Row],[Delivery Date]]+30)</f>
        <v>46007.0</v>
      </c>
      <c r="J467" s="35" t="s">
        <f t="shared" si="5"/>
        <v>28</v>
      </c>
      <c r="K467" s="128"/>
      <c r="L467" s="89"/>
      <c r="M467" s="89"/>
      <c r="N467" s="89"/>
    </row>
    <row r="468" customHeight="1" ht="14.0">
      <c r="A468" s="64" t="s">
        <v>1400</v>
      </c>
      <c r="B468" s="22" t="s">
        <v>1401</v>
      </c>
      <c r="C468" s="64" t="s">
        <v>15</v>
      </c>
      <c r="D468" s="65">
        <v>279.0</v>
      </c>
      <c r="E468" s="34">
        <v>45974</v>
      </c>
      <c r="F468" s="109" t="s">
        <v>1031</v>
      </c>
      <c r="G468" s="96">
        <v>2.76547048E8</v>
      </c>
      <c r="H468" s="71" t="s">
        <v>1402</v>
      </c>
      <c r="I468" s="16">
        <f>IF(@Table1[[#This Row],[Delivery Date]]="","NA",@Table1[[#This Row],[Delivery Date]]+30)</f>
        <v>46004.0</v>
      </c>
      <c r="J468" s="35" t="s">
        <f t="shared" si="5"/>
        <v>28</v>
      </c>
      <c r="K468" s="128"/>
      <c r="L468" s="89"/>
      <c r="M468" s="89"/>
      <c r="N468" s="89"/>
    </row>
    <row r="469" customHeight="1" ht="14.0">
      <c r="A469" s="64" t="s">
        <v>1403</v>
      </c>
      <c r="B469" s="22" t="s">
        <v>1404</v>
      </c>
      <c r="C469" s="64" t="s">
        <v>1043</v>
      </c>
      <c r="D469" s="65">
        <v>560.0</v>
      </c>
      <c r="E469" s="34">
        <v>45977</v>
      </c>
      <c r="F469" s="109" t="s">
        <v>1031</v>
      </c>
      <c r="G469" s="96">
        <v>2.7654705E8</v>
      </c>
      <c r="H469" s="71" t="s">
        <v>1405</v>
      </c>
      <c r="I469" s="16">
        <f>IF(@Table1[[#This Row],[Delivery Date]]="","NA",@Table1[[#This Row],[Delivery Date]]+30)</f>
        <v>46007.0</v>
      </c>
      <c r="J469" s="35" t="s">
        <f t="shared" si="5"/>
        <v>28</v>
      </c>
      <c r="K469" s="128"/>
      <c r="L469" s="89"/>
      <c r="M469" s="89"/>
      <c r="N469" s="89"/>
    </row>
    <row r="470" customHeight="1" ht="14.0">
      <c r="A470" s="64" t="s">
        <v>1406</v>
      </c>
      <c r="B470" s="22" t="s">
        <v>1407</v>
      </c>
      <c r="C470" s="64" t="s">
        <v>26</v>
      </c>
      <c r="D470" s="65">
        <v>393.0</v>
      </c>
      <c r="E470" s="34">
        <v>45974</v>
      </c>
      <c r="F470" s="109" t="s">
        <v>1031</v>
      </c>
      <c r="G470" s="96">
        <v>2.76547071E8</v>
      </c>
      <c r="H470" s="71" t="s">
        <v>1408</v>
      </c>
      <c r="I470" s="16">
        <f>IF(@Table1[[#This Row],[Delivery Date]]="","NA",@Table1[[#This Row],[Delivery Date]]+30)</f>
        <v>46004.0</v>
      </c>
      <c r="J470" s="35" t="s">
        <f t="shared" si="5"/>
        <v>28</v>
      </c>
      <c r="K470" s="128"/>
      <c r="L470" s="89"/>
      <c r="M470" s="89"/>
      <c r="N470" s="89"/>
    </row>
    <row r="471" customHeight="1" ht="14.0">
      <c r="A471" s="64" t="s">
        <v>1409</v>
      </c>
      <c r="B471" s="22" t="s">
        <v>1410</v>
      </c>
      <c r="C471" s="64" t="s">
        <v>1224</v>
      </c>
      <c r="D471" s="65">
        <v>540.0</v>
      </c>
      <c r="E471" s="34">
        <v>45980</v>
      </c>
      <c r="F471" s="109" t="s">
        <v>1031</v>
      </c>
      <c r="G471" s="96">
        <v>2.76547092E8</v>
      </c>
      <c r="H471" s="71" t="s">
        <v>1411</v>
      </c>
      <c r="I471" s="16">
        <f>IF(@Table1[[#This Row],[Delivery Date]]="","NA",@Table1[[#This Row],[Delivery Date]]+30)</f>
        <v>46010.0</v>
      </c>
      <c r="J471" s="35" t="s">
        <f t="shared" si="5"/>
        <v>28</v>
      </c>
      <c r="K471" s="128"/>
      <c r="L471" s="89"/>
      <c r="M471" s="89"/>
      <c r="N471" s="89"/>
    </row>
    <row r="472" customHeight="1" ht="14.0">
      <c r="A472" s="64" t="s">
        <v>1412</v>
      </c>
      <c r="B472" s="22" t="s">
        <v>1413</v>
      </c>
      <c r="C472" s="64" t="s">
        <v>1414</v>
      </c>
      <c r="D472" s="65">
        <v>462.0</v>
      </c>
      <c r="E472" s="34">
        <v>45977</v>
      </c>
      <c r="F472" s="109" t="s">
        <v>1031</v>
      </c>
      <c r="G472" s="96">
        <v>2.76547093E8</v>
      </c>
      <c r="H472" s="71" t="s">
        <v>1415</v>
      </c>
      <c r="I472" s="16">
        <f>IF(@Table1[[#This Row],[Delivery Date]]="","NA",@Table1[[#This Row],[Delivery Date]]+30)</f>
        <v>46007.0</v>
      </c>
      <c r="J472" s="35" t="s">
        <f t="shared" si="5"/>
        <v>28</v>
      </c>
      <c r="K472" s="128"/>
      <c r="L472" s="89"/>
      <c r="M472" s="89"/>
      <c r="N472" s="89"/>
    </row>
    <row r="473" customHeight="1" ht="14.0">
      <c r="A473" s="64" t="s">
        <v>1416</v>
      </c>
      <c r="B473" s="22" t="s">
        <v>1417</v>
      </c>
      <c r="C473" s="64" t="s">
        <v>58</v>
      </c>
      <c r="D473" s="65">
        <v>1295.0</v>
      </c>
      <c r="E473" s="34">
        <v>45977</v>
      </c>
      <c r="F473" s="109" t="s">
        <v>1031</v>
      </c>
      <c r="G473" s="96">
        <v>2.76547095E8</v>
      </c>
      <c r="H473" s="71" t="s">
        <v>1418</v>
      </c>
      <c r="I473" s="16">
        <f>IF(@Table1[[#This Row],[Delivery Date]]="","NA",@Table1[[#This Row],[Delivery Date]]+30)</f>
        <v>46007.0</v>
      </c>
      <c r="J473" s="35" t="s">
        <f t="shared" si="5"/>
        <v>28</v>
      </c>
      <c r="K473" s="128"/>
      <c r="L473" s="89"/>
      <c r="M473" s="89"/>
      <c r="N473" s="89"/>
    </row>
    <row r="474" customHeight="1" ht="14.0">
      <c r="A474" s="64" t="s">
        <v>1419</v>
      </c>
      <c r="B474" s="22" t="s">
        <v>1420</v>
      </c>
      <c r="C474" s="64" t="s">
        <v>58</v>
      </c>
      <c r="D474" s="65">
        <v>686.0</v>
      </c>
      <c r="E474" s="34">
        <v>45977</v>
      </c>
      <c r="F474" s="109" t="s">
        <v>1031</v>
      </c>
      <c r="G474" s="96">
        <v>2.76547105E8</v>
      </c>
      <c r="H474" s="71" t="s">
        <v>1421</v>
      </c>
      <c r="I474" s="16">
        <f>IF(@Table1[[#This Row],[Delivery Date]]="","NA",@Table1[[#This Row],[Delivery Date]]+30)</f>
        <v>46007.0</v>
      </c>
      <c r="J474" s="35" t="s">
        <f t="shared" si="5"/>
        <v>28</v>
      </c>
      <c r="K474" s="128"/>
      <c r="L474" s="89"/>
      <c r="M474" s="89"/>
      <c r="N474" s="89"/>
    </row>
    <row r="475" customHeight="1" ht="14.0">
      <c r="A475" s="64" t="s">
        <v>1422</v>
      </c>
      <c r="B475" s="22" t="s">
        <v>1423</v>
      </c>
      <c r="C475" s="64" t="s">
        <v>1414</v>
      </c>
      <c r="D475" s="65">
        <v>512.0</v>
      </c>
      <c r="E475" s="34">
        <v>45977</v>
      </c>
      <c r="F475" s="109" t="s">
        <v>1031</v>
      </c>
      <c r="G475" s="96">
        <v>2.76547094E8</v>
      </c>
      <c r="H475" s="71" t="s">
        <v>1424</v>
      </c>
      <c r="I475" s="16">
        <f>IF(@Table1[[#This Row],[Delivery Date]]="","NA",@Table1[[#This Row],[Delivery Date]]+30)</f>
        <v>46007.0</v>
      </c>
      <c r="J475" s="35" t="s">
        <f t="shared" si="5"/>
        <v>28</v>
      </c>
      <c r="K475" s="128"/>
      <c r="L475" s="89"/>
      <c r="M475" s="89"/>
      <c r="N475" s="89"/>
    </row>
    <row r="476" customHeight="1" ht="14.0">
      <c r="A476" s="64" t="s">
        <v>1425</v>
      </c>
      <c r="B476" s="22" t="s">
        <v>1426</v>
      </c>
      <c r="C476" s="64" t="s">
        <v>1427</v>
      </c>
      <c r="D476" s="65">
        <v>857.0</v>
      </c>
      <c r="E476" s="34">
        <v>45977</v>
      </c>
      <c r="F476" s="109" t="s">
        <v>1031</v>
      </c>
      <c r="G476" s="96">
        <v>2.76547116E8</v>
      </c>
      <c r="H476" s="71" t="s">
        <v>1428</v>
      </c>
      <c r="I476" s="16">
        <f>IF(@Table1[[#This Row],[Delivery Date]]="","NA",@Table1[[#This Row],[Delivery Date]]+30)</f>
        <v>46007.0</v>
      </c>
      <c r="J476" s="35" t="s">
        <f t="shared" si="5"/>
        <v>28</v>
      </c>
      <c r="K476" s="128"/>
      <c r="L476" s="89"/>
      <c r="M476" s="89"/>
      <c r="N476" s="89"/>
    </row>
    <row r="477" customHeight="1" ht="14.0">
      <c r="A477" s="64" t="s">
        <v>1429</v>
      </c>
      <c r="B477" s="22" t="s">
        <v>1430</v>
      </c>
      <c r="C477" s="64" t="s">
        <v>1427</v>
      </c>
      <c r="D477" s="65">
        <v>419.0</v>
      </c>
      <c r="E477" s="34">
        <v>45977</v>
      </c>
      <c r="F477" s="109" t="s">
        <v>1031</v>
      </c>
      <c r="G477" s="96">
        <v>2.76547096E8</v>
      </c>
      <c r="H477" s="71" t="s">
        <v>1431</v>
      </c>
      <c r="I477" s="16">
        <f>IF(@Table1[[#This Row],[Delivery Date]]="","NA",@Table1[[#This Row],[Delivery Date]]+30)</f>
        <v>46007.0</v>
      </c>
      <c r="J477" s="35" t="s">
        <f t="shared" si="5"/>
        <v>28</v>
      </c>
      <c r="K477" s="128"/>
      <c r="L477" s="89"/>
      <c r="M477" s="89"/>
      <c r="N477" s="89"/>
    </row>
    <row r="478" customHeight="1" ht="14.0">
      <c r="A478" s="64" t="s">
        <v>1432</v>
      </c>
      <c r="B478" s="22" t="s">
        <v>1433</v>
      </c>
      <c r="C478" s="64" t="s">
        <v>26</v>
      </c>
      <c r="D478" s="65">
        <v>548.0</v>
      </c>
      <c r="E478" s="34">
        <v>45977</v>
      </c>
      <c r="F478" s="109" t="s">
        <v>1031</v>
      </c>
      <c r="G478" s="96">
        <v>2.76547104E8</v>
      </c>
      <c r="H478" s="71" t="s">
        <v>1434</v>
      </c>
      <c r="I478" s="16">
        <f>IF(@Table1[[#This Row],[Delivery Date]]="","NA",@Table1[[#This Row],[Delivery Date]]+30)</f>
        <v>46007.0</v>
      </c>
      <c r="J478" s="35" t="s">
        <f t="shared" si="5"/>
        <v>28</v>
      </c>
      <c r="K478" s="128"/>
      <c r="L478" s="89"/>
      <c r="M478" s="89"/>
      <c r="N478" s="89"/>
    </row>
    <row r="479" customHeight="1" ht="14.0">
      <c r="A479" s="64" t="s">
        <v>1435</v>
      </c>
      <c r="B479" s="22" t="s">
        <v>1436</v>
      </c>
      <c r="C479" s="64" t="s">
        <v>1437</v>
      </c>
      <c r="D479" s="65"/>
      <c r="E479" s="34">
        <v>45977</v>
      </c>
      <c r="F479" s="109" t="s">
        <v>1031</v>
      </c>
      <c r="G479" s="96">
        <v>2.76547097E8</v>
      </c>
      <c r="H479" s="71" t="s">
        <v>1438</v>
      </c>
      <c r="I479" s="16">
        <f>IF(@Table1[[#This Row],[Delivery Date]]="","NA",@Table1[[#This Row],[Delivery Date]]+30)</f>
        <v>46007.0</v>
      </c>
      <c r="J479" s="35" t="s">
        <f t="shared" si="5"/>
        <v>28</v>
      </c>
      <c r="K479" s="128"/>
      <c r="L479" s="89"/>
      <c r="M479" s="89"/>
      <c r="N479" s="89"/>
    </row>
    <row r="480" customHeight="1" ht="14.0">
      <c r="A480" s="64" t="s">
        <v>1439</v>
      </c>
      <c r="B480" s="22" t="s">
        <v>1440</v>
      </c>
      <c r="C480" s="64" t="s">
        <v>1441</v>
      </c>
      <c r="D480" s="65">
        <v>948.0</v>
      </c>
      <c r="E480" s="34">
        <v>45980</v>
      </c>
      <c r="F480" s="109" t="s">
        <v>1031</v>
      </c>
      <c r="G480" s="96">
        <v>2.76547098E8</v>
      </c>
      <c r="H480" s="71" t="s">
        <v>1442</v>
      </c>
      <c r="I480" s="16">
        <f>IF(@Table1[[#This Row],[Delivery Date]]="","NA",@Table1[[#This Row],[Delivery Date]]+30)</f>
        <v>46010.0</v>
      </c>
      <c r="J480" s="35" t="s">
        <f t="shared" si="5"/>
        <v>28</v>
      </c>
      <c r="K480" s="128"/>
      <c r="L480" s="89"/>
      <c r="M480" s="89"/>
      <c r="N480" s="89"/>
    </row>
    <row r="481" customHeight="1" ht="14.0">
      <c r="A481" s="64" t="s">
        <v>1443</v>
      </c>
      <c r="B481" s="22" t="s">
        <v>1444</v>
      </c>
      <c r="C481" s="64" t="s">
        <v>1414</v>
      </c>
      <c r="D481" s="65"/>
      <c r="E481" s="34">
        <v>45977</v>
      </c>
      <c r="F481" s="109" t="s">
        <v>1031</v>
      </c>
      <c r="G481" s="96">
        <v>2.76547102E8</v>
      </c>
      <c r="H481" s="71" t="s">
        <v>1445</v>
      </c>
      <c r="I481" s="16">
        <f>IF(@Table1[[#This Row],[Delivery Date]]="","NA",@Table1[[#This Row],[Delivery Date]]+30)</f>
        <v>46007.0</v>
      </c>
      <c r="J481" s="35" t="s">
        <f t="shared" si="5"/>
        <v>28</v>
      </c>
      <c r="K481" s="128"/>
      <c r="L481" s="89"/>
      <c r="M481" s="89"/>
      <c r="N481" s="89"/>
    </row>
    <row r="482" customHeight="1" ht="14.0">
      <c r="A482" s="64" t="s">
        <v>1446</v>
      </c>
      <c r="B482" s="22" t="s">
        <v>1447</v>
      </c>
      <c r="C482" s="64" t="s">
        <v>1448</v>
      </c>
      <c r="D482" s="65"/>
      <c r="E482" s="34">
        <v>45985</v>
      </c>
      <c r="F482" s="109" t="s">
        <v>1031</v>
      </c>
      <c r="G482" s="96">
        <v>2.76547109E8</v>
      </c>
      <c r="H482" s="71" t="s">
        <v>1449</v>
      </c>
      <c r="I482" s="16">
        <f>IF(@Table1[[#This Row],[Delivery Date]]="","NA",@Table1[[#This Row],[Delivery Date]]+30)</f>
        <v>46015.0</v>
      </c>
      <c r="J482" s="35" t="s">
        <f t="shared" si="5"/>
        <v>28</v>
      </c>
      <c r="K482" s="128"/>
      <c r="L482" s="89"/>
      <c r="M482" s="89"/>
      <c r="N482" s="89"/>
    </row>
    <row r="483" customHeight="1" ht="14.0">
      <c r="A483" s="64" t="s">
        <v>1450</v>
      </c>
      <c r="B483" s="22" t="s">
        <v>1451</v>
      </c>
      <c r="C483" s="64" t="s">
        <v>1039</v>
      </c>
      <c r="D483" s="65">
        <v>708.0</v>
      </c>
      <c r="E483" s="34">
        <v>45977</v>
      </c>
      <c r="F483" s="109" t="s">
        <v>1031</v>
      </c>
      <c r="G483" s="96">
        <v>2.76547106E8</v>
      </c>
      <c r="H483" s="71" t="s">
        <v>1452</v>
      </c>
      <c r="I483" s="16">
        <f>IF(@Table1[[#This Row],[Delivery Date]]="","NA",@Table1[[#This Row],[Delivery Date]]+30)</f>
        <v>46007.0</v>
      </c>
      <c r="J483" s="35" t="s">
        <f t="shared" si="5"/>
        <v>28</v>
      </c>
      <c r="K483" s="128"/>
      <c r="L483" s="89"/>
      <c r="M483" s="89"/>
      <c r="N483" s="89"/>
    </row>
    <row r="484" customHeight="1" ht="14.0">
      <c r="A484" s="64" t="s">
        <v>1453</v>
      </c>
      <c r="B484" s="22" t="s">
        <v>1454</v>
      </c>
      <c r="C484" s="64" t="s">
        <v>1224</v>
      </c>
      <c r="D484" s="65">
        <v>414.0</v>
      </c>
      <c r="E484" s="34">
        <v>46000</v>
      </c>
      <c r="F484" s="109" t="s">
        <v>1031</v>
      </c>
      <c r="G484" s="96">
        <v>2.76547072E8</v>
      </c>
      <c r="H484" s="71" t="s">
        <v>1455</v>
      </c>
      <c r="I484" s="16">
        <f>IF(@Table1[[#This Row],[Delivery Date]]="","NA",@Table1[[#This Row],[Delivery Date]]+30)</f>
        <v>46030.0</v>
      </c>
      <c r="J484" s="35" t="s">
        <f t="shared" si="5"/>
        <v>28</v>
      </c>
      <c r="K484" s="128"/>
      <c r="L484" s="89"/>
      <c r="M484" s="89"/>
      <c r="N484" s="89"/>
    </row>
    <row r="485" customHeight="1" ht="14.0">
      <c r="A485" s="64" t="s">
        <v>1456</v>
      </c>
      <c r="B485" s="22" t="s">
        <v>1457</v>
      </c>
      <c r="C485" s="64" t="s">
        <v>1458</v>
      </c>
      <c r="D485" s="65"/>
      <c r="E485" s="34">
        <v>45977</v>
      </c>
      <c r="F485" s="109" t="s">
        <v>1031</v>
      </c>
      <c r="G485" s="96">
        <v>2.76547147E8</v>
      </c>
      <c r="H485" s="71" t="s">
        <v>1459</v>
      </c>
      <c r="I485" s="16">
        <f>IF(@Table1[[#This Row],[Delivery Date]]="","NA",@Table1[[#This Row],[Delivery Date]]+30)</f>
        <v>46007.0</v>
      </c>
      <c r="J485" s="35" t="s">
        <f t="shared" si="5"/>
        <v>28</v>
      </c>
      <c r="K485" s="128"/>
      <c r="L485" s="89"/>
      <c r="M485" s="89"/>
      <c r="N485" s="89"/>
    </row>
    <row r="486" customHeight="1" ht="14.0">
      <c r="A486" s="64" t="s">
        <v>1460</v>
      </c>
      <c r="B486" s="22" t="s">
        <v>1461</v>
      </c>
      <c r="C486" s="64" t="s">
        <v>1039</v>
      </c>
      <c r="D486" s="65"/>
      <c r="E486" s="34">
        <v>45982</v>
      </c>
      <c r="F486" s="109" t="s">
        <v>1031</v>
      </c>
      <c r="G486" s="96">
        <v>2.76547185E8</v>
      </c>
      <c r="H486" s="71" t="s">
        <v>1462</v>
      </c>
      <c r="I486" s="16">
        <f>IF(@Table1[[#This Row],[Delivery Date]]="","NA",@Table1[[#This Row],[Delivery Date]]+30)</f>
        <v>46012.0</v>
      </c>
      <c r="J486" s="35" t="s">
        <f t="shared" si="5"/>
        <v>28</v>
      </c>
      <c r="K486" s="128"/>
      <c r="L486" s="89"/>
      <c r="M486" s="89"/>
      <c r="N486" s="89"/>
    </row>
    <row r="487" customHeight="1" ht="14.0">
      <c r="A487" s="64" t="s">
        <v>1463</v>
      </c>
      <c r="B487" s="22" t="s">
        <v>1464</v>
      </c>
      <c r="C487" s="64" t="s">
        <v>1241</v>
      </c>
      <c r="D487" s="65">
        <v>276.0</v>
      </c>
      <c r="E487" s="34">
        <v>45977</v>
      </c>
      <c r="F487" s="109" t="s">
        <v>1031</v>
      </c>
      <c r="G487" s="96">
        <v>2.76547075E8</v>
      </c>
      <c r="H487" s="71" t="s">
        <v>1465</v>
      </c>
      <c r="I487" s="16">
        <f>IF(@Table1[[#This Row],[Delivery Date]]="","NA",@Table1[[#This Row],[Delivery Date]]+30)</f>
        <v>46007.0</v>
      </c>
      <c r="J487" s="35" t="s">
        <f t="shared" si="5"/>
        <v>28</v>
      </c>
      <c r="K487" s="128"/>
      <c r="L487" s="89"/>
      <c r="M487" s="89"/>
      <c r="N487" s="89"/>
    </row>
    <row r="488" customHeight="1" ht="14.0">
      <c r="A488" s="64" t="s">
        <v>1466</v>
      </c>
      <c r="B488" s="22" t="s">
        <v>1467</v>
      </c>
      <c r="C488" s="64" t="s">
        <v>26</v>
      </c>
      <c r="D488" s="65"/>
      <c r="E488" s="34">
        <v>45977</v>
      </c>
      <c r="F488" s="109" t="s">
        <v>1031</v>
      </c>
      <c r="G488" s="96">
        <v>2.7654711E8</v>
      </c>
      <c r="H488" s="71" t="s">
        <v>1468</v>
      </c>
      <c r="I488" s="16">
        <f>IF(@Table1[[#This Row],[Delivery Date]]="","NA",@Table1[[#This Row],[Delivery Date]]+30)</f>
        <v>46007.0</v>
      </c>
      <c r="J488" s="35" t="s">
        <f t="shared" si="5"/>
        <v>28</v>
      </c>
      <c r="K488" s="128"/>
      <c r="L488" s="89"/>
      <c r="M488" s="89"/>
      <c r="N488" s="89"/>
    </row>
    <row r="489" customHeight="1" ht="14.0">
      <c r="A489" s="64" t="s">
        <v>1469</v>
      </c>
      <c r="B489" s="22" t="s">
        <v>1470</v>
      </c>
      <c r="C489" s="64" t="s">
        <v>1471</v>
      </c>
      <c r="D489" s="65"/>
      <c r="E489" s="34">
        <v>45977</v>
      </c>
      <c r="F489" s="109" t="s">
        <v>1031</v>
      </c>
      <c r="G489" s="96">
        <v>2.76547117E8</v>
      </c>
      <c r="H489" s="71" t="s">
        <v>1472</v>
      </c>
      <c r="I489" s="16">
        <f>IF(@Table1[[#This Row],[Delivery Date]]="","NA",@Table1[[#This Row],[Delivery Date]]+30)</f>
        <v>46007.0</v>
      </c>
      <c r="J489" s="35" t="s">
        <f t="shared" si="5"/>
        <v>28</v>
      </c>
      <c r="K489" s="128"/>
      <c r="L489" s="89"/>
      <c r="M489" s="89"/>
      <c r="N489" s="89"/>
    </row>
    <row r="490" customHeight="1" ht="14.0">
      <c r="A490" s="64" t="s">
        <v>1473</v>
      </c>
      <c r="B490" s="22" t="s">
        <v>1474</v>
      </c>
      <c r="C490" s="64" t="s">
        <v>1039</v>
      </c>
      <c r="D490" s="65">
        <v>432.0</v>
      </c>
      <c r="E490" s="34">
        <v>45986</v>
      </c>
      <c r="F490" s="109" t="s">
        <v>1031</v>
      </c>
      <c r="G490" s="96">
        <v>2.76547239E8</v>
      </c>
      <c r="H490" s="71" t="s">
        <v>1475</v>
      </c>
      <c r="I490" s="16">
        <f>IF(@Table1[[#This Row],[Delivery Date]]="","NA",@Table1[[#This Row],[Delivery Date]]+30)</f>
        <v>46016.0</v>
      </c>
      <c r="J490" s="35" t="s">
        <f t="shared" si="5"/>
        <v>28</v>
      </c>
      <c r="K490" s="128"/>
      <c r="L490" s="89"/>
      <c r="M490" s="89"/>
      <c r="N490" s="89"/>
    </row>
    <row r="491" customHeight="1" ht="14.0">
      <c r="A491" s="64" t="s">
        <v>1476</v>
      </c>
      <c r="B491" s="22" t="s">
        <v>1477</v>
      </c>
      <c r="C491" s="64" t="s">
        <v>1478</v>
      </c>
      <c r="D491" s="65">
        <v>906.0</v>
      </c>
      <c r="E491" s="34">
        <v>45987</v>
      </c>
      <c r="F491" s="109" t="s">
        <v>565</v>
      </c>
      <c r="G491" s="96">
        <v>2.7654729E8</v>
      </c>
      <c r="H491" s="71" t="s">
        <v>1479</v>
      </c>
      <c r="I491" s="16">
        <f>IF(@Table1[[#This Row],[Delivery Date]]="","NA",@Table1[[#This Row],[Delivery Date]]+30)</f>
        <v>46017.0</v>
      </c>
      <c r="J491" s="35" t="s">
        <f t="shared" si="5"/>
        <v>28</v>
      </c>
      <c r="K491" s="128"/>
      <c r="L491" s="89"/>
      <c r="M491" s="89"/>
      <c r="N491" s="89"/>
    </row>
    <row r="492" customHeight="1" ht="14.0">
      <c r="A492" s="64" t="s">
        <v>1480</v>
      </c>
      <c r="B492" s="22" t="s">
        <v>1481</v>
      </c>
      <c r="C492" s="64" t="s">
        <v>1482</v>
      </c>
      <c r="D492" s="65"/>
      <c r="E492" s="34">
        <v>45978</v>
      </c>
      <c r="F492" s="109" t="s">
        <v>1031</v>
      </c>
      <c r="G492" s="96">
        <v>2.76547103E8</v>
      </c>
      <c r="H492" s="71" t="s">
        <v>1483</v>
      </c>
      <c r="I492" s="16">
        <f>IF(@Table1[[#This Row],[Delivery Date]]="","NA",@Table1[[#This Row],[Delivery Date]]+30)</f>
        <v>46008.0</v>
      </c>
      <c r="J492" s="35" t="s">
        <f t="shared" si="5"/>
        <v>28</v>
      </c>
      <c r="K492" s="128"/>
      <c r="L492" s="89"/>
      <c r="M492" s="89"/>
      <c r="N492" s="89"/>
    </row>
    <row r="493" customHeight="1" ht="14.0">
      <c r="A493" s="64" t="s">
        <v>1484</v>
      </c>
      <c r="B493" s="22" t="s">
        <v>1485</v>
      </c>
      <c r="C493" s="64" t="s">
        <v>1448</v>
      </c>
      <c r="D493" s="65"/>
      <c r="E493" s="34">
        <v>45985</v>
      </c>
      <c r="F493" s="109" t="s">
        <v>1031</v>
      </c>
      <c r="G493" s="96">
        <v>2.7654715E8</v>
      </c>
      <c r="H493" s="71" t="s">
        <v>1486</v>
      </c>
      <c r="I493" s="16">
        <f>IF(@Table1[[#This Row],[Delivery Date]]="","NA",@Table1[[#This Row],[Delivery Date]]+30)</f>
        <v>46015.0</v>
      </c>
      <c r="J493" s="35" t="s">
        <f t="shared" si="5"/>
        <v>28</v>
      </c>
      <c r="K493" s="128"/>
      <c r="L493" s="89"/>
      <c r="M493" s="89"/>
      <c r="N493" s="89"/>
    </row>
    <row r="494" customHeight="1" ht="14.0">
      <c r="A494" s="64" t="s">
        <v>1487</v>
      </c>
      <c r="B494" s="22" t="s">
        <v>1488</v>
      </c>
      <c r="C494" s="64" t="s">
        <v>1241</v>
      </c>
      <c r="D494" s="65"/>
      <c r="E494" s="34">
        <v>45980</v>
      </c>
      <c r="F494" s="109" t="s">
        <v>1031</v>
      </c>
      <c r="G494" s="96">
        <v>2.7654716E8</v>
      </c>
      <c r="H494" s="71" t="s">
        <v>1489</v>
      </c>
      <c r="I494" s="16">
        <f>IF(@Table1[[#This Row],[Delivery Date]]="","NA",@Table1[[#This Row],[Delivery Date]]+30)</f>
        <v>46010.0</v>
      </c>
      <c r="J494" s="35" t="s">
        <f t="shared" si="5"/>
        <v>28</v>
      </c>
      <c r="K494" s="128"/>
      <c r="L494" s="89"/>
      <c r="M494" s="89"/>
      <c r="N494" s="89"/>
    </row>
    <row r="495" customHeight="1" ht="14.0">
      <c r="A495" s="64" t="s">
        <v>1490</v>
      </c>
      <c r="B495" s="22" t="s">
        <v>1491</v>
      </c>
      <c r="C495" s="64" t="s">
        <v>1492</v>
      </c>
      <c r="D495" s="65"/>
      <c r="E495" s="34">
        <v>45981</v>
      </c>
      <c r="F495" s="109" t="s">
        <v>1031</v>
      </c>
      <c r="G495" s="96">
        <v>2.76547164E8</v>
      </c>
      <c r="H495" s="71" t="s">
        <v>1493</v>
      </c>
      <c r="I495" s="16">
        <f>IF(@Table1[[#This Row],[Delivery Date]]="","NA",@Table1[[#This Row],[Delivery Date]]+30)</f>
        <v>46011.0</v>
      </c>
      <c r="J495" s="35" t="s">
        <f t="shared" si="5"/>
        <v>28</v>
      </c>
      <c r="K495" s="128"/>
      <c r="L495" s="89"/>
      <c r="M495" s="89"/>
      <c r="N495" s="89"/>
    </row>
    <row r="496" customHeight="1" ht="14.0">
      <c r="A496" s="64" t="s">
        <v>1494</v>
      </c>
      <c r="B496" s="22" t="s">
        <v>1495</v>
      </c>
      <c r="C496" s="64" t="s">
        <v>1043</v>
      </c>
      <c r="D496" s="65"/>
      <c r="E496" s="34">
        <v>45982</v>
      </c>
      <c r="F496" s="109" t="s">
        <v>1031</v>
      </c>
      <c r="G496" s="96">
        <v>2.76547163E8</v>
      </c>
      <c r="H496" s="71" t="s">
        <v>1496</v>
      </c>
      <c r="I496" s="16">
        <f>IF(@Table1[[#This Row],[Delivery Date]]="","NA",@Table1[[#This Row],[Delivery Date]]+30)</f>
        <v>46012.0</v>
      </c>
      <c r="J496" s="35" t="s">
        <f t="shared" si="5"/>
        <v>28</v>
      </c>
      <c r="K496" s="128"/>
      <c r="L496" s="89"/>
      <c r="M496" s="89"/>
      <c r="N496" s="89"/>
    </row>
    <row r="497" customHeight="1" ht="14.0">
      <c r="A497" s="64" t="s">
        <v>1497</v>
      </c>
      <c r="B497" s="22" t="s">
        <v>1498</v>
      </c>
      <c r="C497" s="64" t="s">
        <v>58</v>
      </c>
      <c r="D497" s="65"/>
      <c r="E497" s="34">
        <v>45992</v>
      </c>
      <c r="F497" s="109" t="s">
        <v>1031</v>
      </c>
      <c r="G497" s="96">
        <v>2.76547162E8</v>
      </c>
      <c r="H497" s="71" t="s">
        <v>1499</v>
      </c>
      <c r="I497" s="16">
        <f>IF(@Table1[[#This Row],[Delivery Date]]="","NA",@Table1[[#This Row],[Delivery Date]]+30)</f>
        <v>46022.0</v>
      </c>
      <c r="J497" s="35" t="s">
        <f t="shared" si="5"/>
        <v>28</v>
      </c>
      <c r="K497" s="128"/>
      <c r="L497" s="89"/>
      <c r="M497" s="89"/>
      <c r="N497" s="89"/>
    </row>
    <row r="498" customHeight="1" ht="14.0">
      <c r="A498" s="64" t="s">
        <v>1500</v>
      </c>
      <c r="B498" s="22" t="s">
        <v>1501</v>
      </c>
      <c r="C498" s="22" t="s">
        <v>1035</v>
      </c>
      <c r="D498" s="65"/>
      <c r="E498" s="34">
        <v>45982</v>
      </c>
      <c r="F498" s="109" t="s">
        <v>1031</v>
      </c>
      <c r="G498" s="96">
        <v>2.76547159E8</v>
      </c>
      <c r="H498" s="71" t="s">
        <v>1502</v>
      </c>
      <c r="I498" s="16">
        <f>IF(@Table1[[#This Row],[Delivery Date]]="","NA",@Table1[[#This Row],[Delivery Date]]+30)</f>
        <v>46012.0</v>
      </c>
      <c r="J498" s="35" t="s">
        <f t="shared" si="5"/>
        <v>28</v>
      </c>
      <c r="K498" s="128"/>
      <c r="L498" s="89"/>
      <c r="M498" s="89"/>
      <c r="N498" s="89"/>
    </row>
    <row r="499" customHeight="1" ht="14.0">
      <c r="A499" s="64" t="s">
        <v>1503</v>
      </c>
      <c r="B499" s="22" t="s">
        <v>1504</v>
      </c>
      <c r="C499" s="64" t="s">
        <v>1478</v>
      </c>
      <c r="D499" s="65"/>
      <c r="E499" s="34">
        <v>45983</v>
      </c>
      <c r="F499" s="109" t="s">
        <v>1031</v>
      </c>
      <c r="G499" s="96">
        <v>2.76547173E8</v>
      </c>
      <c r="H499" s="71" t="s">
        <v>1505</v>
      </c>
      <c r="I499" s="16">
        <f>IF(@Table1[[#This Row],[Delivery Date]]="","NA",@Table1[[#This Row],[Delivery Date]]+30)</f>
        <v>46013.0</v>
      </c>
      <c r="J499" s="35" t="s">
        <f t="shared" si="5"/>
        <v>28</v>
      </c>
      <c r="K499" s="128"/>
      <c r="L499" s="89"/>
      <c r="M499" s="89"/>
      <c r="N499" s="89"/>
    </row>
    <row r="500" customHeight="1" ht="14.0">
      <c r="A500" s="64" t="s">
        <v>1506</v>
      </c>
      <c r="B500" s="22" t="s">
        <v>1507</v>
      </c>
      <c r="C500" s="22" t="s">
        <v>1035</v>
      </c>
      <c r="D500" s="65"/>
      <c r="E500" s="34">
        <v>45982</v>
      </c>
      <c r="F500" s="109" t="s">
        <v>1031</v>
      </c>
      <c r="G500" s="96">
        <v>2.76547172E8</v>
      </c>
      <c r="H500" s="71" t="s">
        <v>1508</v>
      </c>
      <c r="I500" s="16">
        <f>IF(@Table1[[#This Row],[Delivery Date]]="","NA",@Table1[[#This Row],[Delivery Date]]+30)</f>
        <v>46012.0</v>
      </c>
      <c r="J500" s="35" t="s">
        <f t="shared" si="5"/>
        <v>28</v>
      </c>
      <c r="K500" s="128"/>
      <c r="L500" s="89"/>
      <c r="M500" s="89"/>
      <c r="N500" s="89"/>
    </row>
    <row r="501" customHeight="1" ht="14.0">
      <c r="A501" s="64" t="s">
        <v>1509</v>
      </c>
      <c r="B501" s="22" t="s">
        <v>1510</v>
      </c>
      <c r="C501" s="64" t="s">
        <v>1039</v>
      </c>
      <c r="D501" s="65">
        <v>1452.0</v>
      </c>
      <c r="E501" s="34">
        <v>45986</v>
      </c>
      <c r="F501" s="109" t="s">
        <v>1031</v>
      </c>
      <c r="G501" s="96">
        <v>2.76547186E8</v>
      </c>
      <c r="H501" s="71" t="s">
        <v>1511</v>
      </c>
      <c r="I501" s="16">
        <f>IF(@Table1[[#This Row],[Delivery Date]]="","NA",@Table1[[#This Row],[Delivery Date]]+30)</f>
        <v>46016.0</v>
      </c>
      <c r="J501" s="35" t="s">
        <f t="shared" si="5"/>
        <v>28</v>
      </c>
      <c r="K501" s="128"/>
      <c r="L501" s="89"/>
      <c r="M501" s="89"/>
      <c r="N501" s="89"/>
    </row>
    <row r="502" customHeight="1" ht="14.0">
      <c r="A502" s="64" t="s">
        <v>1512</v>
      </c>
      <c r="B502" s="22" t="s">
        <v>1513</v>
      </c>
      <c r="C502" s="64" t="s">
        <v>1514</v>
      </c>
      <c r="D502" s="65"/>
      <c r="E502" s="34">
        <v>45982</v>
      </c>
      <c r="F502" s="109" t="s">
        <v>1031</v>
      </c>
      <c r="G502" s="96">
        <v>2.76547187E8</v>
      </c>
      <c r="H502" s="71" t="s">
        <v>1515</v>
      </c>
      <c r="I502" s="16">
        <f>IF(@Table1[[#This Row],[Delivery Date]]="","NA",@Table1[[#This Row],[Delivery Date]]+30)</f>
        <v>46012.0</v>
      </c>
      <c r="J502" s="35" t="s">
        <f t="shared" si="5"/>
        <v>28</v>
      </c>
      <c r="K502" s="128"/>
      <c r="L502" s="89"/>
      <c r="M502" s="89"/>
      <c r="N502" s="89"/>
    </row>
    <row r="503" customHeight="1" ht="14.0">
      <c r="A503" s="64" t="s">
        <v>1516</v>
      </c>
      <c r="B503" s="22" t="s">
        <v>1517</v>
      </c>
      <c r="C503" s="64" t="s">
        <v>1043</v>
      </c>
      <c r="D503" s="65">
        <v>687.0</v>
      </c>
      <c r="E503" s="34">
        <v>45986</v>
      </c>
      <c r="F503" s="109" t="s">
        <v>1031</v>
      </c>
      <c r="G503" s="96">
        <v>2.76547289E8</v>
      </c>
      <c r="H503" s="71" t="s">
        <v>1518</v>
      </c>
      <c r="I503" s="16">
        <f>IF(@Table1[[#This Row],[Delivery Date]]="","NA",@Table1[[#This Row],[Delivery Date]]+30)</f>
        <v>46016.0</v>
      </c>
      <c r="J503" s="35" t="s">
        <f t="shared" si="5"/>
        <v>28</v>
      </c>
      <c r="K503" s="128"/>
      <c r="L503" s="89"/>
      <c r="M503" s="89"/>
      <c r="N503" s="89"/>
    </row>
    <row r="504" customHeight="1" ht="14.0">
      <c r="A504" s="64" t="s">
        <v>1519</v>
      </c>
      <c r="B504" s="22" t="s">
        <v>1520</v>
      </c>
      <c r="C504" s="64" t="s">
        <v>1427</v>
      </c>
      <c r="D504" s="65"/>
      <c r="E504" s="34">
        <v>45992</v>
      </c>
      <c r="F504" s="109" t="s">
        <v>1031</v>
      </c>
      <c r="G504" s="96">
        <v>2.7654724E8</v>
      </c>
      <c r="H504" s="71" t="s">
        <v>1521</v>
      </c>
      <c r="I504" s="16">
        <f>IF(@Table1[[#This Row],[Delivery Date]]="","NA",@Table1[[#This Row],[Delivery Date]]+30)</f>
        <v>46022.0</v>
      </c>
      <c r="J504" s="35" t="s">
        <f t="shared" si="5"/>
        <v>28</v>
      </c>
      <c r="K504" s="128"/>
      <c r="L504" s="89"/>
      <c r="M504" s="89"/>
      <c r="N504" s="89"/>
    </row>
    <row r="505" customHeight="1" ht="14.0">
      <c r="A505" s="64" t="s">
        <v>1522</v>
      </c>
      <c r="B505" s="22" t="s">
        <v>1523</v>
      </c>
      <c r="C505" s="64" t="s">
        <v>1039</v>
      </c>
      <c r="D505" s="65">
        <v>2544.0</v>
      </c>
      <c r="E505" s="34">
        <v>45992</v>
      </c>
      <c r="F505" s="109" t="s">
        <v>1031</v>
      </c>
      <c r="G505" s="96">
        <v>2.76547299E8</v>
      </c>
      <c r="H505" s="71" t="s">
        <v>1524</v>
      </c>
      <c r="I505" s="16">
        <f>IF(@Table1[[#This Row],[Delivery Date]]="","NA",@Table1[[#This Row],[Delivery Date]]+30)</f>
        <v>46022.0</v>
      </c>
      <c r="J505" s="35" t="s">
        <f t="shared" si="5"/>
        <v>28</v>
      </c>
      <c r="K505" s="128"/>
      <c r="L505" s="89"/>
      <c r="M505" s="89"/>
      <c r="N505" s="89"/>
    </row>
    <row r="506" customHeight="1" ht="14.0">
      <c r="A506" s="64" t="s">
        <v>1525</v>
      </c>
      <c r="B506" s="22" t="s">
        <v>1526</v>
      </c>
      <c r="C506" s="64" t="s">
        <v>1492</v>
      </c>
      <c r="D506" s="65"/>
      <c r="E506" s="34">
        <v>45986</v>
      </c>
      <c r="F506" s="109" t="s">
        <v>1031</v>
      </c>
      <c r="G506" s="96">
        <v>2.76547205E8</v>
      </c>
      <c r="H506" s="71" t="s">
        <v>1527</v>
      </c>
      <c r="I506" s="16">
        <f>IF(@Table1[[#This Row],[Delivery Date]]="","NA",@Table1[[#This Row],[Delivery Date]]+30)</f>
        <v>46016.0</v>
      </c>
      <c r="J506" s="35" t="s">
        <f t="shared" si="5"/>
        <v>28</v>
      </c>
      <c r="K506" s="128"/>
      <c r="L506" s="89"/>
      <c r="M506" s="89"/>
      <c r="N506" s="89"/>
    </row>
    <row r="507" customHeight="1" ht="14.0">
      <c r="A507" s="64" t="s">
        <v>1528</v>
      </c>
      <c r="B507" s="22" t="s">
        <v>1529</v>
      </c>
      <c r="C507" s="64" t="s">
        <v>1478</v>
      </c>
      <c r="D507" s="65"/>
      <c r="E507" s="34">
        <v>45983</v>
      </c>
      <c r="F507" s="109" t="s">
        <v>1031</v>
      </c>
      <c r="G507" s="96">
        <v>2.76547203E8</v>
      </c>
      <c r="H507" s="71" t="s">
        <v>1530</v>
      </c>
      <c r="I507" s="16">
        <f>IF(@Table1[[#This Row],[Delivery Date]]="","NA",@Table1[[#This Row],[Delivery Date]]+30)</f>
        <v>46013.0</v>
      </c>
      <c r="J507" s="35" t="s">
        <f t="shared" si="5"/>
        <v>28</v>
      </c>
      <c r="K507" s="128"/>
      <c r="L507" s="89"/>
      <c r="M507" s="89"/>
      <c r="N507" s="89"/>
    </row>
    <row r="508" customHeight="1" ht="14.0">
      <c r="A508" s="64" t="s">
        <v>1531</v>
      </c>
      <c r="B508" s="22" t="s">
        <v>1532</v>
      </c>
      <c r="C508" s="64" t="s">
        <v>141</v>
      </c>
      <c r="D508" s="65"/>
      <c r="E508" s="34">
        <v>45983</v>
      </c>
      <c r="F508" s="109" t="s">
        <v>1031</v>
      </c>
      <c r="G508" s="96">
        <v>2.76547204E8</v>
      </c>
      <c r="H508" s="71" t="s">
        <v>1533</v>
      </c>
      <c r="I508" s="16">
        <f>IF(@Table1[[#This Row],[Delivery Date]]="","NA",@Table1[[#This Row],[Delivery Date]]+30)</f>
        <v>46013.0</v>
      </c>
      <c r="J508" s="35" t="s">
        <f t="shared" si="5"/>
        <v>28</v>
      </c>
      <c r="K508" s="128"/>
      <c r="L508" s="89"/>
      <c r="M508" s="89"/>
      <c r="N508" s="89"/>
    </row>
    <row r="509" customHeight="1" ht="14.0">
      <c r="A509" s="64" t="s">
        <v>1534</v>
      </c>
      <c r="B509" s="22" t="s">
        <v>1535</v>
      </c>
      <c r="C509" s="64" t="s">
        <v>1441</v>
      </c>
      <c r="D509" s="65"/>
      <c r="E509" s="34">
        <v>45990</v>
      </c>
      <c r="F509" s="109" t="s">
        <v>1031</v>
      </c>
      <c r="G509" s="96">
        <v>2.76547241E8</v>
      </c>
      <c r="H509" s="71" t="s">
        <v>1536</v>
      </c>
      <c r="I509" s="16">
        <f>IF(@Table1[[#This Row],[Delivery Date]]="","NA",@Table1[[#This Row],[Delivery Date]]+30)</f>
        <v>46020.0</v>
      </c>
      <c r="J509" s="35" t="s">
        <f t="shared" si="5"/>
        <v>28</v>
      </c>
      <c r="K509" s="128"/>
      <c r="L509" s="89"/>
      <c r="M509" s="89"/>
      <c r="N509" s="89"/>
    </row>
    <row r="510" customHeight="1" ht="14.0">
      <c r="A510" s="64" t="s">
        <v>1537</v>
      </c>
      <c r="B510" s="22" t="s">
        <v>1538</v>
      </c>
      <c r="C510" s="64" t="s">
        <v>1539</v>
      </c>
      <c r="D510" s="65">
        <v>288.0</v>
      </c>
      <c r="E510" s="34">
        <v>45986</v>
      </c>
      <c r="F510" s="109" t="s">
        <v>1031</v>
      </c>
      <c r="G510" s="96">
        <v>2.76547242E8</v>
      </c>
      <c r="H510" s="71" t="s">
        <v>1540</v>
      </c>
      <c r="I510" s="16">
        <f>IF(@Table1[[#This Row],[Delivery Date]]="","NA",@Table1[[#This Row],[Delivery Date]]+30)</f>
        <v>46016.0</v>
      </c>
      <c r="J510" s="35" t="s">
        <f t="shared" si="5"/>
        <v>28</v>
      </c>
      <c r="K510" s="128"/>
      <c r="L510" s="89"/>
      <c r="M510" s="89"/>
      <c r="N510" s="89"/>
    </row>
    <row r="511" customHeight="1" ht="14.0">
      <c r="A511" s="64" t="s">
        <v>1541</v>
      </c>
      <c r="B511" s="22" t="s">
        <v>1542</v>
      </c>
      <c r="C511" s="64" t="s">
        <v>1231</v>
      </c>
      <c r="D511" s="65">
        <v>582.0</v>
      </c>
      <c r="E511" s="34">
        <v>45986</v>
      </c>
      <c r="F511" s="109" t="s">
        <v>1031</v>
      </c>
      <c r="G511" s="96">
        <v>2.76547285E8</v>
      </c>
      <c r="H511" s="71" t="s">
        <v>1543</v>
      </c>
      <c r="I511" s="16">
        <f>IF(@Table1[[#This Row],[Delivery Date]]="","NA",@Table1[[#This Row],[Delivery Date]]+30)</f>
        <v>46016.0</v>
      </c>
      <c r="J511" s="35" t="s">
        <f t="shared" si="5"/>
        <v>28</v>
      </c>
      <c r="K511" s="128"/>
      <c r="L511" s="89"/>
      <c r="M511" s="89"/>
      <c r="N511" s="89"/>
    </row>
    <row r="512" customHeight="1" ht="14.0">
      <c r="A512" s="64" t="s">
        <v>1544</v>
      </c>
      <c r="B512" s="22" t="s">
        <v>1545</v>
      </c>
      <c r="C512" s="64" t="s">
        <v>1448</v>
      </c>
      <c r="D512" s="65">
        <v>360.0</v>
      </c>
      <c r="E512" s="34">
        <v>45995</v>
      </c>
      <c r="F512" s="109" t="s">
        <v>1031</v>
      </c>
      <c r="G512" s="96">
        <v>2.76547286E8</v>
      </c>
      <c r="H512" s="71" t="s">
        <v>1546</v>
      </c>
      <c r="I512" s="16">
        <f>IF(@Table1[[#This Row],[Delivery Date]]="","NA",@Table1[[#This Row],[Delivery Date]]+30)</f>
        <v>46025.0</v>
      </c>
      <c r="J512" s="35" t="s">
        <f t="shared" si="5"/>
        <v>28</v>
      </c>
      <c r="K512" s="128"/>
      <c r="L512" s="89"/>
      <c r="M512" s="89"/>
      <c r="N512" s="89"/>
    </row>
    <row r="513" customHeight="1" ht="14.0">
      <c r="A513" s="64" t="s">
        <v>1547</v>
      </c>
      <c r="B513" s="22" t="s">
        <v>1548</v>
      </c>
      <c r="C513" s="64" t="s">
        <v>1043</v>
      </c>
      <c r="D513" s="65">
        <v>536.0</v>
      </c>
      <c r="E513" s="34">
        <v>45990</v>
      </c>
      <c r="F513" s="109" t="s">
        <v>1031</v>
      </c>
      <c r="G513" s="96">
        <v>2.76547287E8</v>
      </c>
      <c r="H513" s="71" t="s">
        <v>1549</v>
      </c>
      <c r="I513" s="16">
        <f>IF(@Table1[[#This Row],[Delivery Date]]="","NA",@Table1[[#This Row],[Delivery Date]]+30)</f>
        <v>46020.0</v>
      </c>
      <c r="J513" s="35" t="s">
        <f t="shared" si="5"/>
        <v>28</v>
      </c>
      <c r="K513" s="128"/>
      <c r="L513" s="89"/>
      <c r="M513" s="89"/>
      <c r="N513" s="89"/>
    </row>
    <row r="514" customHeight="1" ht="14.0">
      <c r="A514" s="64" t="s">
        <v>1550</v>
      </c>
      <c r="B514" s="22" t="s">
        <v>1551</v>
      </c>
      <c r="C514" s="64" t="s">
        <v>1284</v>
      </c>
      <c r="D514" s="65">
        <v>540.0</v>
      </c>
      <c r="E514" s="34">
        <v>45996</v>
      </c>
      <c r="F514" s="109" t="s">
        <v>1031</v>
      </c>
      <c r="G514" s="96">
        <v>2.76547288E8</v>
      </c>
      <c r="H514" s="71" t="s">
        <v>1552</v>
      </c>
      <c r="I514" s="16">
        <f>IF(@Table1[[#This Row],[Delivery Date]]="","NA",@Table1[[#This Row],[Delivery Date]]+30)</f>
        <v>46026.0</v>
      </c>
      <c r="J514" s="35" t="s">
        <f t="shared" si="5"/>
        <v>28</v>
      </c>
      <c r="K514" s="128"/>
      <c r="L514" s="89"/>
      <c r="M514" s="89"/>
      <c r="N514" s="89"/>
    </row>
    <row r="515" customHeight="1" ht="14.0">
      <c r="A515" s="64" t="s">
        <v>1553</v>
      </c>
      <c r="B515" s="22" t="s">
        <v>1554</v>
      </c>
      <c r="C515" s="64" t="s">
        <v>1414</v>
      </c>
      <c r="D515" s="65">
        <v>143.0</v>
      </c>
      <c r="E515" s="34">
        <v>45992</v>
      </c>
      <c r="F515" s="109" t="s">
        <v>1031</v>
      </c>
      <c r="G515" s="96">
        <v>2.76547298E8</v>
      </c>
      <c r="H515" s="71" t="s">
        <v>1555</v>
      </c>
      <c r="I515" s="16">
        <f>IF(@Table1[[#This Row],[Delivery Date]]="","NA",@Table1[[#This Row],[Delivery Date]]+30)</f>
        <v>46022.0</v>
      </c>
      <c r="J515" s="35" t="s">
        <f t="shared" si="5"/>
        <v>28</v>
      </c>
      <c r="K515" s="128"/>
      <c r="L515" s="89"/>
      <c r="M515" s="89"/>
      <c r="N515" s="89"/>
    </row>
    <row r="516" customHeight="1" ht="14.0">
      <c r="A516" s="64" t="s">
        <v>1556</v>
      </c>
      <c r="B516" s="22" t="s">
        <v>1557</v>
      </c>
      <c r="C516" s="64" t="s">
        <v>1043</v>
      </c>
      <c r="D516" s="65">
        <v>177.0</v>
      </c>
      <c r="E516" s="34">
        <v>45990</v>
      </c>
      <c r="F516" s="109" t="s">
        <v>1031</v>
      </c>
      <c r="G516" s="96">
        <v>2.765473E8</v>
      </c>
      <c r="H516" s="71" t="s">
        <v>1558</v>
      </c>
      <c r="I516" s="16">
        <f>IF(@Table1[[#This Row],[Delivery Date]]="","NA",@Table1[[#This Row],[Delivery Date]]+30)</f>
        <v>46020.0</v>
      </c>
      <c r="J516" s="35" t="s">
        <f t="shared" si="5"/>
        <v>28</v>
      </c>
      <c r="K516" s="128"/>
      <c r="L516" s="89"/>
      <c r="M516" s="89"/>
      <c r="N516" s="89"/>
    </row>
    <row r="517" customHeight="1" ht="14.0">
      <c r="A517" s="64" t="s">
        <v>1559</v>
      </c>
      <c r="B517" s="22" t="s">
        <v>1560</v>
      </c>
      <c r="C517" s="64" t="s">
        <v>1561</v>
      </c>
      <c r="D517" s="65">
        <v>216.0</v>
      </c>
      <c r="E517" s="34">
        <v>45996</v>
      </c>
      <c r="F517" s="109" t="s">
        <v>1031</v>
      </c>
      <c r="G517" s="96">
        <v>2.76547302E8</v>
      </c>
      <c r="H517" s="71" t="s">
        <v>1562</v>
      </c>
      <c r="I517" s="16">
        <f>IF(@Table1[[#This Row],[Delivery Date]]="","NA",@Table1[[#This Row],[Delivery Date]]+30)</f>
        <v>46026.0</v>
      </c>
      <c r="J517" s="35" t="s">
        <f t="shared" si="5"/>
        <v>28</v>
      </c>
      <c r="K517" s="128"/>
      <c r="L517" s="89"/>
      <c r="M517" s="89"/>
      <c r="N517" s="89"/>
    </row>
    <row r="518" customHeight="1" ht="14.0">
      <c r="A518" s="64" t="s">
        <v>1563</v>
      </c>
      <c r="B518" s="22" t="s">
        <v>1564</v>
      </c>
      <c r="C518" s="64" t="s">
        <v>1565</v>
      </c>
      <c r="D518" s="65">
        <v>180.0</v>
      </c>
      <c r="E518" s="34">
        <v>45990</v>
      </c>
      <c r="F518" s="109" t="s">
        <v>1031</v>
      </c>
      <c r="G518" s="96">
        <v>2.76547303E8</v>
      </c>
      <c r="H518" s="71" t="s">
        <v>1566</v>
      </c>
      <c r="I518" s="16">
        <f>IF(@Table1[[#This Row],[Delivery Date]]="","NA",@Table1[[#This Row],[Delivery Date]]+30)</f>
        <v>46020.0</v>
      </c>
      <c r="J518" s="35" t="s">
        <f t="shared" si="5"/>
        <v>28</v>
      </c>
      <c r="K518" s="128"/>
      <c r="L518" s="89"/>
      <c r="M518" s="89"/>
      <c r="N518" s="89"/>
    </row>
    <row r="519" customHeight="1" ht="14.0">
      <c r="A519" s="64" t="s">
        <v>1567</v>
      </c>
      <c r="B519" s="22" t="s">
        <v>1568</v>
      </c>
      <c r="C519" s="64" t="s">
        <v>1284</v>
      </c>
      <c r="D519" s="65">
        <v>453.0</v>
      </c>
      <c r="E519" s="34">
        <v>45997</v>
      </c>
      <c r="F519" s="109" t="s">
        <v>1031</v>
      </c>
      <c r="G519" s="96">
        <v>2.76547304E8</v>
      </c>
      <c r="H519" s="71" t="s">
        <v>1569</v>
      </c>
      <c r="I519" s="16">
        <f>IF(@Table1[[#This Row],[Delivery Date]]="","NA",@Table1[[#This Row],[Delivery Date]]+30)</f>
        <v>46027.0</v>
      </c>
      <c r="J519" s="35" t="s">
        <f t="shared" si="5"/>
        <v>28</v>
      </c>
      <c r="K519" s="128"/>
      <c r="L519" s="89"/>
      <c r="M519" s="89"/>
      <c r="N519" s="89"/>
    </row>
    <row r="520" customHeight="1" ht="14.0">
      <c r="A520" s="64" t="s">
        <v>1570</v>
      </c>
      <c r="B520" s="22" t="s">
        <v>1571</v>
      </c>
      <c r="C520" s="64" t="s">
        <v>1492</v>
      </c>
      <c r="D520" s="65">
        <v>315.0</v>
      </c>
      <c r="E520" s="34">
        <v>45990</v>
      </c>
      <c r="F520" s="109" t="s">
        <v>1031</v>
      </c>
      <c r="G520" s="96">
        <v>2.76547305E8</v>
      </c>
      <c r="H520" s="71" t="s">
        <v>1572</v>
      </c>
      <c r="I520" s="16">
        <f>IF(@Table1[[#This Row],[Delivery Date]]="","NA",@Table1[[#This Row],[Delivery Date]]+30)</f>
        <v>46020.0</v>
      </c>
      <c r="J520" s="35" t="s">
        <f t="shared" si="5"/>
        <v>28</v>
      </c>
      <c r="K520" s="128"/>
      <c r="L520" s="89"/>
      <c r="M520" s="89"/>
      <c r="N520" s="89"/>
    </row>
    <row r="521" customHeight="1" ht="14.0">
      <c r="A521" s="64" t="s">
        <v>1573</v>
      </c>
      <c r="B521" s="22" t="s">
        <v>1574</v>
      </c>
      <c r="C521" s="64" t="s">
        <v>1231</v>
      </c>
      <c r="D521" s="65">
        <v>210.0</v>
      </c>
      <c r="E521" s="34">
        <v>45993</v>
      </c>
      <c r="F521" s="109" t="s">
        <v>1575</v>
      </c>
      <c r="G521" s="96" t="s">
        <v>1576</v>
      </c>
      <c r="H521" s="71" t="s">
        <v>1577</v>
      </c>
      <c r="I521" s="16">
        <f>IF(@Table1[[#This Row],[Delivery Date]]="","NA",@Table1[[#This Row],[Delivery Date]]+30)</f>
        <v>46023.0</v>
      </c>
      <c r="J521" s="35" t="s">
        <f t="shared" si="5"/>
        <v>28</v>
      </c>
      <c r="K521" s="128"/>
      <c r="L521" s="89"/>
      <c r="M521" s="89"/>
      <c r="N521" s="89"/>
    </row>
    <row r="522" customHeight="1" ht="14.0">
      <c r="A522" s="64" t="s">
        <v>1578</v>
      </c>
      <c r="B522" s="22" t="s">
        <v>1579</v>
      </c>
      <c r="C522" s="64" t="s">
        <v>147</v>
      </c>
      <c r="D522" s="65">
        <v>504.0</v>
      </c>
      <c r="E522" s="34">
        <v>45991</v>
      </c>
      <c r="F522" s="109" t="s">
        <v>1031</v>
      </c>
      <c r="G522" s="96">
        <v>2.76547325E8</v>
      </c>
      <c r="H522" s="71" t="s">
        <v>1580</v>
      </c>
      <c r="I522" s="16">
        <f>IF(@Table1[[#This Row],[Delivery Date]]="","NA",@Table1[[#This Row],[Delivery Date]]+30)</f>
        <v>46021.0</v>
      </c>
      <c r="J522" s="35" t="s">
        <f t="shared" si="5"/>
        <v>28</v>
      </c>
      <c r="K522" s="128"/>
      <c r="L522" s="89"/>
      <c r="M522" s="89"/>
      <c r="N522" s="89"/>
    </row>
    <row r="523" customHeight="1" ht="14.0">
      <c r="A523" s="64" t="s">
        <v>1581</v>
      </c>
      <c r="B523" s="22" t="s">
        <v>1582</v>
      </c>
      <c r="C523" s="64" t="s">
        <v>147</v>
      </c>
      <c r="D523" s="65">
        <v>216.0</v>
      </c>
      <c r="E523" s="34">
        <v>45991</v>
      </c>
      <c r="F523" s="109" t="s">
        <v>1031</v>
      </c>
      <c r="G523" s="96">
        <v>2.76547326E8</v>
      </c>
      <c r="H523" s="71" t="s">
        <v>1583</v>
      </c>
      <c r="I523" s="16">
        <f>IF(@Table1[[#This Row],[Delivery Date]]="","NA",@Table1[[#This Row],[Delivery Date]]+30)</f>
        <v>46021.0</v>
      </c>
      <c r="J523" s="35" t="s">
        <f t="shared" si="5"/>
        <v>28</v>
      </c>
      <c r="K523" s="128"/>
      <c r="L523" s="89"/>
      <c r="M523" s="89"/>
      <c r="N523" s="89"/>
    </row>
    <row r="524" customHeight="1" ht="14.0">
      <c r="A524" s="64" t="s">
        <v>1584</v>
      </c>
      <c r="B524" s="22" t="s">
        <v>1585</v>
      </c>
      <c r="C524" s="64" t="s">
        <v>1586</v>
      </c>
      <c r="D524" s="65">
        <v>36.0</v>
      </c>
      <c r="E524" s="34">
        <v>45994</v>
      </c>
      <c r="F524" s="109" t="s">
        <v>1031</v>
      </c>
      <c r="G524" s="96">
        <v>2.76547327E8</v>
      </c>
      <c r="H524" s="71" t="s">
        <v>1587</v>
      </c>
      <c r="I524" s="16">
        <f>IF(@Table1[[#This Row],[Delivery Date]]="","NA",@Table1[[#This Row],[Delivery Date]]+30)</f>
        <v>46024.0</v>
      </c>
      <c r="J524" s="35" t="s">
        <f t="shared" si="5"/>
        <v>28</v>
      </c>
      <c r="K524" s="128"/>
      <c r="L524" s="89"/>
      <c r="M524" s="89"/>
      <c r="N524" s="89"/>
    </row>
    <row r="525" customHeight="1" ht="14.0">
      <c r="A525" s="64" t="s">
        <v>1588</v>
      </c>
      <c r="B525" s="22" t="s">
        <v>1589</v>
      </c>
      <c r="C525" s="64" t="s">
        <v>1565</v>
      </c>
      <c r="D525" s="65">
        <v>168.0</v>
      </c>
      <c r="E525" s="34">
        <v>45993</v>
      </c>
      <c r="F525" s="109" t="s">
        <v>1031</v>
      </c>
      <c r="G525" s="96">
        <v>2.76547328E8</v>
      </c>
      <c r="H525" s="71" t="s">
        <v>1590</v>
      </c>
      <c r="I525" s="16">
        <f>IF(@Table1[[#This Row],[Delivery Date]]="","NA",@Table1[[#This Row],[Delivery Date]]+30)</f>
        <v>46023.0</v>
      </c>
      <c r="J525" s="35" t="s">
        <f t="shared" si="5"/>
        <v>28</v>
      </c>
      <c r="K525" s="128"/>
      <c r="L525" s="89"/>
      <c r="M525" s="89"/>
      <c r="N525" s="89"/>
    </row>
    <row r="526" customHeight="1" ht="14.0">
      <c r="A526" s="64" t="s">
        <v>1591</v>
      </c>
      <c r="B526" s="22" t="s">
        <v>1592</v>
      </c>
      <c r="C526" s="64" t="s">
        <v>1414</v>
      </c>
      <c r="D526" s="65">
        <v>90.0</v>
      </c>
      <c r="E526" s="34">
        <v>45992</v>
      </c>
      <c r="F526" s="109" t="s">
        <v>1031</v>
      </c>
      <c r="G526" s="96">
        <v>2.76547329E8</v>
      </c>
      <c r="H526" s="71" t="s">
        <v>1593</v>
      </c>
      <c r="I526" s="16">
        <f>IF(@Table1[[#This Row],[Delivery Date]]="","NA",@Table1[[#This Row],[Delivery Date]]+30)</f>
        <v>46022.0</v>
      </c>
      <c r="J526" s="35" t="s">
        <f t="shared" si="5"/>
        <v>28</v>
      </c>
      <c r="K526" s="128"/>
      <c r="L526" s="89"/>
      <c r="M526" s="89"/>
      <c r="N526" s="89"/>
    </row>
    <row r="527" customHeight="1" ht="14.0">
      <c r="A527" s="64" t="s">
        <v>1594</v>
      </c>
      <c r="B527" s="22" t="s">
        <v>1595</v>
      </c>
      <c r="C527" s="64" t="s">
        <v>1224</v>
      </c>
      <c r="D527" s="65">
        <v>72.0</v>
      </c>
      <c r="E527" s="34">
        <v>45994</v>
      </c>
      <c r="F527" s="109" t="s">
        <v>1031</v>
      </c>
      <c r="G527" s="96">
        <v>2.7654733E8</v>
      </c>
      <c r="H527" s="71" t="s">
        <v>1596</v>
      </c>
      <c r="I527" s="16">
        <f>IF(@Table1[[#This Row],[Delivery Date]]="","NA",@Table1[[#This Row],[Delivery Date]]+30)</f>
        <v>46024.0</v>
      </c>
      <c r="J527" s="35" t="s">
        <f t="shared" si="5"/>
        <v>28</v>
      </c>
      <c r="K527" s="128"/>
      <c r="L527" s="89"/>
      <c r="M527" s="89"/>
      <c r="N527" s="89"/>
    </row>
    <row r="528" customHeight="1" ht="14.0">
      <c r="A528" s="64" t="s">
        <v>1597</v>
      </c>
      <c r="B528" s="22" t="s">
        <v>1598</v>
      </c>
      <c r="C528" s="64" t="s">
        <v>1039</v>
      </c>
      <c r="D528" s="65">
        <v>1860.0</v>
      </c>
      <c r="E528" s="34">
        <v>45995</v>
      </c>
      <c r="F528" s="109" t="s">
        <v>1031</v>
      </c>
      <c r="G528" s="96">
        <v>2.76547331E8</v>
      </c>
      <c r="H528" s="71" t="s">
        <v>1599</v>
      </c>
      <c r="I528" s="16">
        <f>IF(@Table1[[#This Row],[Delivery Date]]="","NA",@Table1[[#This Row],[Delivery Date]]+30)</f>
        <v>46025.0</v>
      </c>
      <c r="J528" s="35" t="s">
        <f t="shared" si="5"/>
        <v>28</v>
      </c>
      <c r="K528" s="128"/>
      <c r="L528" s="89"/>
      <c r="M528" s="89"/>
      <c r="N528" s="89"/>
    </row>
    <row r="529" customHeight="1" ht="14.0">
      <c r="A529" s="64" t="s">
        <v>1600</v>
      </c>
      <c r="B529" s="22" t="s">
        <v>1601</v>
      </c>
      <c r="C529" s="64" t="s">
        <v>30</v>
      </c>
      <c r="D529" s="65">
        <v>292.0</v>
      </c>
      <c r="E529" s="34">
        <v>45993</v>
      </c>
      <c r="F529" s="109" t="s">
        <v>1575</v>
      </c>
      <c r="G529" s="96" t="s">
        <v>1576</v>
      </c>
      <c r="H529" s="71" t="s">
        <v>1602</v>
      </c>
      <c r="I529" s="16">
        <f>IF(@Table1[[#This Row],[Delivery Date]]="","NA",@Table1[[#This Row],[Delivery Date]]+30)</f>
        <v>46023.0</v>
      </c>
      <c r="J529" s="35" t="s">
        <f t="shared" si="5"/>
        <v>28</v>
      </c>
      <c r="K529" s="128"/>
      <c r="L529" s="89"/>
      <c r="M529" s="89"/>
      <c r="N529" s="89"/>
    </row>
    <row r="530" customHeight="1" ht="14.0">
      <c r="A530" s="64" t="s">
        <v>1603</v>
      </c>
      <c r="B530" s="22" t="s">
        <v>1604</v>
      </c>
      <c r="C530" s="64" t="s">
        <v>141</v>
      </c>
      <c r="D530" s="65">
        <v>373.0</v>
      </c>
      <c r="E530" s="34">
        <v>45994</v>
      </c>
      <c r="F530" s="109" t="s">
        <v>1031</v>
      </c>
      <c r="G530" s="96">
        <v>2.7654736E8</v>
      </c>
      <c r="H530" s="71" t="s">
        <v>1605</v>
      </c>
      <c r="I530" s="16">
        <f>IF(@Table1[[#This Row],[Delivery Date]]="","NA",@Table1[[#This Row],[Delivery Date]]+30)</f>
        <v>46024.0</v>
      </c>
      <c r="J530" s="35" t="s">
        <f t="shared" si="5"/>
        <v>28</v>
      </c>
      <c r="K530" s="128"/>
      <c r="L530" s="89"/>
      <c r="M530" s="89"/>
      <c r="N530" s="89"/>
    </row>
    <row r="531" customHeight="1" ht="14.0">
      <c r="A531" s="64" t="s">
        <v>1606</v>
      </c>
      <c r="B531" s="22" t="s">
        <v>1607</v>
      </c>
      <c r="C531" s="64" t="s">
        <v>1284</v>
      </c>
      <c r="D531" s="65">
        <v>654.0</v>
      </c>
      <c r="E531" s="34">
        <v>45997</v>
      </c>
      <c r="F531" s="109" t="s">
        <v>1031</v>
      </c>
      <c r="G531" s="96">
        <v>2.76547373E8</v>
      </c>
      <c r="H531" s="71" t="s">
        <v>1608</v>
      </c>
      <c r="I531" s="16">
        <f>IF(@Table1[[#This Row],[Delivery Date]]="","NA",@Table1[[#This Row],[Delivery Date]]+30)</f>
        <v>46027.0</v>
      </c>
      <c r="J531" s="35" t="s">
        <f t="shared" si="5"/>
        <v>28</v>
      </c>
      <c r="K531" s="128"/>
      <c r="L531" s="89"/>
      <c r="M531" s="89"/>
      <c r="N531" s="89"/>
    </row>
    <row r="532" customHeight="1" ht="14.0">
      <c r="A532" s="64" t="s">
        <v>1609</v>
      </c>
      <c r="B532" s="22" t="s">
        <v>1610</v>
      </c>
      <c r="C532" s="64" t="s">
        <v>141</v>
      </c>
      <c r="D532" s="65">
        <v>401.0</v>
      </c>
      <c r="E532" s="34">
        <v>45993</v>
      </c>
      <c r="F532" s="109" t="s">
        <v>1031</v>
      </c>
      <c r="G532" s="96">
        <v>2.76547374E8</v>
      </c>
      <c r="H532" s="71" t="s">
        <v>1611</v>
      </c>
      <c r="I532" s="16">
        <f>IF(@Table1[[#This Row],[Delivery Date]]="","NA",@Table1[[#This Row],[Delivery Date]]+30)</f>
        <v>46023.0</v>
      </c>
      <c r="J532" s="35" t="s">
        <f t="shared" si="5"/>
        <v>28</v>
      </c>
      <c r="K532" s="128"/>
      <c r="L532" s="89"/>
      <c r="M532" s="89"/>
      <c r="N532" s="89"/>
    </row>
    <row r="533" customHeight="1" ht="14.0">
      <c r="A533" s="64" t="s">
        <v>1612</v>
      </c>
      <c r="B533" s="22" t="s">
        <v>1613</v>
      </c>
      <c r="C533" s="64" t="s">
        <v>1492</v>
      </c>
      <c r="D533" s="65">
        <v>234.0</v>
      </c>
      <c r="E533" s="34">
        <v>45996</v>
      </c>
      <c r="F533" s="109" t="s">
        <v>1031</v>
      </c>
      <c r="G533" s="96">
        <v>2.76547375E8</v>
      </c>
      <c r="H533" s="71" t="s">
        <v>1614</v>
      </c>
      <c r="I533" s="16">
        <f>IF(@Table1[[#This Row],[Delivery Date]]="","NA",@Table1[[#This Row],[Delivery Date]]+30)</f>
        <v>46026.0</v>
      </c>
      <c r="J533" s="35" t="s">
        <f t="shared" si="5"/>
        <v>28</v>
      </c>
      <c r="K533" s="128"/>
      <c r="L533" s="89"/>
      <c r="M533" s="89"/>
      <c r="N533" s="89"/>
    </row>
    <row r="534" customHeight="1" ht="14.0">
      <c r="A534" s="64" t="s">
        <v>1615</v>
      </c>
      <c r="B534" s="22" t="s">
        <v>1616</v>
      </c>
      <c r="C534" s="64" t="s">
        <v>1617</v>
      </c>
      <c r="D534" s="65">
        <v>484.0</v>
      </c>
      <c r="E534" s="34">
        <v>45994</v>
      </c>
      <c r="F534" s="109" t="s">
        <v>1031</v>
      </c>
      <c r="G534" s="96">
        <v>2.76547376E8</v>
      </c>
      <c r="H534" s="71" t="s">
        <v>1618</v>
      </c>
      <c r="I534" s="16">
        <f>IF(@Table1[[#This Row],[Delivery Date]]="","NA",@Table1[[#This Row],[Delivery Date]]+30)</f>
        <v>46024.0</v>
      </c>
      <c r="J534" s="35" t="s">
        <f t="shared" si="5"/>
        <v>28</v>
      </c>
      <c r="K534" s="128"/>
      <c r="L534" s="89"/>
      <c r="M534" s="89"/>
      <c r="N534" s="89"/>
    </row>
    <row r="535" customHeight="1" ht="14.0">
      <c r="A535" s="64" t="s">
        <v>1619</v>
      </c>
      <c r="B535" s="22" t="s">
        <v>1620</v>
      </c>
      <c r="C535" s="22" t="s">
        <v>1035</v>
      </c>
      <c r="D535" s="65">
        <v>463.0</v>
      </c>
      <c r="E535" s="34">
        <v>45994</v>
      </c>
      <c r="F535" s="109" t="s">
        <v>1031</v>
      </c>
      <c r="G535" s="96">
        <v>2.76547377E8</v>
      </c>
      <c r="H535" s="71" t="s">
        <v>1621</v>
      </c>
      <c r="I535" s="16">
        <f>IF(@Table1[[#This Row],[Delivery Date]]="","NA",@Table1[[#This Row],[Delivery Date]]+30)</f>
        <v>46024.0</v>
      </c>
      <c r="J535" s="35" t="s">
        <f t="shared" si="5"/>
        <v>28</v>
      </c>
      <c r="K535" s="128"/>
      <c r="L535" s="89"/>
      <c r="M535" s="89"/>
      <c r="N535" s="89"/>
    </row>
    <row r="536" customHeight="1" ht="14.0">
      <c r="A536" s="64" t="s">
        <v>1622</v>
      </c>
      <c r="B536" s="22" t="s">
        <v>1623</v>
      </c>
      <c r="C536" s="64" t="s">
        <v>30</v>
      </c>
      <c r="D536" s="65">
        <v>281.0</v>
      </c>
      <c r="E536" s="34">
        <v>45993</v>
      </c>
      <c r="F536" s="109" t="s">
        <v>1575</v>
      </c>
      <c r="G536" s="96" t="s">
        <v>1576</v>
      </c>
      <c r="H536" s="71" t="s">
        <v>1624</v>
      </c>
      <c r="I536" s="16">
        <f>IF(@Table1[[#This Row],[Delivery Date]]="","NA",@Table1[[#This Row],[Delivery Date]]+30)</f>
        <v>46023.0</v>
      </c>
      <c r="J536" s="35" t="s">
        <f t="shared" si="5"/>
        <v>28</v>
      </c>
      <c r="K536" s="128"/>
      <c r="L536" s="89"/>
      <c r="M536" s="89"/>
      <c r="N536" s="89"/>
    </row>
    <row r="537" customHeight="1" ht="14.0">
      <c r="A537" s="64" t="s">
        <v>1625</v>
      </c>
      <c r="B537" s="22" t="s">
        <v>1626</v>
      </c>
      <c r="C537" s="64" t="s">
        <v>1627</v>
      </c>
      <c r="D537" s="65">
        <v>487.0</v>
      </c>
      <c r="E537" s="34">
        <v>45994</v>
      </c>
      <c r="F537" s="109" t="s">
        <v>1031</v>
      </c>
      <c r="G537" s="96">
        <v>2.87236763E8</v>
      </c>
      <c r="H537" s="71" t="s">
        <v>1628</v>
      </c>
      <c r="I537" s="16">
        <f>IF(@Table1[[#This Row],[Delivery Date]]="","NA",@Table1[[#This Row],[Delivery Date]]+30)</f>
        <v>46024.0</v>
      </c>
      <c r="J537" s="35" t="s">
        <f t="shared" si="5"/>
        <v>28</v>
      </c>
      <c r="K537" s="128"/>
      <c r="L537" s="89"/>
      <c r="M537" s="89"/>
      <c r="N537" s="89"/>
    </row>
    <row r="538" customHeight="1" ht="14.0">
      <c r="A538" s="64" t="s">
        <v>1629</v>
      </c>
      <c r="B538" s="22" t="s">
        <v>1630</v>
      </c>
      <c r="C538" s="64" t="s">
        <v>1561</v>
      </c>
      <c r="D538" s="65">
        <v>180.0</v>
      </c>
      <c r="E538" s="34">
        <v>45995</v>
      </c>
      <c r="F538" s="109" t="s">
        <v>1031</v>
      </c>
      <c r="G538" s="96">
        <v>2.87236764E8</v>
      </c>
      <c r="H538" s="71" t="s">
        <v>1631</v>
      </c>
      <c r="I538" s="16">
        <f>IF(@Table1[[#This Row],[Delivery Date]]="","NA",@Table1[[#This Row],[Delivery Date]]+30)</f>
        <v>46025.0</v>
      </c>
      <c r="J538" s="35" t="s">
        <f t="shared" si="5"/>
        <v>28</v>
      </c>
      <c r="K538" s="128"/>
      <c r="L538" s="89"/>
      <c r="M538" s="89"/>
      <c r="N538" s="89"/>
    </row>
    <row r="539" customHeight="1" ht="14.0">
      <c r="A539" s="64" t="s">
        <v>1632</v>
      </c>
      <c r="B539" s="22" t="s">
        <v>1633</v>
      </c>
      <c r="C539" s="64" t="s">
        <v>1448</v>
      </c>
      <c r="D539" s="65">
        <v>156.0</v>
      </c>
      <c r="E539" s="34">
        <v>45995</v>
      </c>
      <c r="F539" s="109" t="s">
        <v>1031</v>
      </c>
      <c r="G539" s="96">
        <v>2.87236765E8</v>
      </c>
      <c r="H539" s="71" t="s">
        <v>1634</v>
      </c>
      <c r="I539" s="16">
        <f>IF(@Table1[[#This Row],[Delivery Date]]="","NA",@Table1[[#This Row],[Delivery Date]]+30)</f>
        <v>46025.0</v>
      </c>
      <c r="J539" s="35" t="s">
        <f t="shared" si="5"/>
        <v>28</v>
      </c>
      <c r="K539" s="128"/>
      <c r="L539" s="89"/>
      <c r="M539" s="89"/>
      <c r="N539" s="89"/>
    </row>
    <row r="540" customHeight="1" ht="14.0">
      <c r="A540" s="64" t="s">
        <v>1635</v>
      </c>
      <c r="B540" s="22" t="s">
        <v>1636</v>
      </c>
      <c r="C540" s="64" t="s">
        <v>141</v>
      </c>
      <c r="D540" s="65">
        <v>413.0</v>
      </c>
      <c r="E540" s="34">
        <v>45995</v>
      </c>
      <c r="F540" s="109" t="s">
        <v>1031</v>
      </c>
      <c r="G540" s="96">
        <v>2.87236766E8</v>
      </c>
      <c r="H540" s="71" t="s">
        <v>1637</v>
      </c>
      <c r="I540" s="16">
        <f>IF(@Table1[[#This Row],[Delivery Date]]="","NA",@Table1[[#This Row],[Delivery Date]]+30)</f>
        <v>46025.0</v>
      </c>
      <c r="J540" s="35" t="s">
        <f t="shared" si="5"/>
        <v>28</v>
      </c>
      <c r="K540" s="128"/>
      <c r="L540" s="89"/>
      <c r="M540" s="89"/>
      <c r="N540" s="89"/>
    </row>
    <row r="541" customHeight="1" ht="14.0">
      <c r="A541" s="64" t="s">
        <v>1638</v>
      </c>
      <c r="B541" s="22" t="s">
        <v>1639</v>
      </c>
      <c r="C541" s="64" t="s">
        <v>1586</v>
      </c>
      <c r="D541" s="65">
        <v>378.0</v>
      </c>
      <c r="E541" s="34">
        <v>45996</v>
      </c>
      <c r="F541" s="109" t="s">
        <v>1031</v>
      </c>
      <c r="G541" s="96">
        <v>2.87236767E8</v>
      </c>
      <c r="H541" s="71" t="s">
        <v>1640</v>
      </c>
      <c r="I541" s="16">
        <f>IF(@Table1[[#This Row],[Delivery Date]]="","NA",@Table1[[#This Row],[Delivery Date]]+30)</f>
        <v>46026.0</v>
      </c>
      <c r="J541" s="35" t="s">
        <f t="shared" si="5"/>
        <v>28</v>
      </c>
      <c r="K541" s="128"/>
      <c r="L541" s="89"/>
      <c r="M541" s="89"/>
      <c r="N541" s="89"/>
    </row>
    <row r="542" customHeight="1" ht="14.0">
      <c r="A542" s="64" t="s">
        <v>1641</v>
      </c>
      <c r="B542" s="22" t="s">
        <v>1642</v>
      </c>
      <c r="C542" s="64" t="s">
        <v>1643</v>
      </c>
      <c r="D542" s="65">
        <v>387.0</v>
      </c>
      <c r="E542" s="34">
        <v>45995</v>
      </c>
      <c r="F542" s="109" t="s">
        <v>1031</v>
      </c>
      <c r="G542" s="96">
        <v>2.87236768E8</v>
      </c>
      <c r="H542" s="71" t="s">
        <v>1644</v>
      </c>
      <c r="I542" s="16">
        <f>IF(@Table1[[#This Row],[Delivery Date]]="","NA",@Table1[[#This Row],[Delivery Date]]+30)</f>
        <v>46025.0</v>
      </c>
      <c r="J542" s="35" t="s">
        <f t="shared" si="5"/>
        <v>28</v>
      </c>
      <c r="K542" s="128"/>
      <c r="L542" s="89"/>
      <c r="M542" s="89"/>
      <c r="N542" s="89"/>
    </row>
    <row r="543" customHeight="1" ht="14.0">
      <c r="A543" s="64" t="s">
        <v>1645</v>
      </c>
      <c r="B543" s="22" t="s">
        <v>1646</v>
      </c>
      <c r="C543" s="64" t="s">
        <v>1284</v>
      </c>
      <c r="D543" s="65">
        <v>506.0</v>
      </c>
      <c r="E543" s="34">
        <v>45996</v>
      </c>
      <c r="F543" s="109" t="s">
        <v>1031</v>
      </c>
      <c r="G543" s="96">
        <v>2.87236769E8</v>
      </c>
      <c r="H543" s="71" t="s">
        <v>1647</v>
      </c>
      <c r="I543" s="16">
        <f>IF(@Table1[[#This Row],[Delivery Date]]="","NA",@Table1[[#This Row],[Delivery Date]]+30)</f>
        <v>46026.0</v>
      </c>
      <c r="J543" s="35" t="s">
        <f t="shared" si="5"/>
        <v>28</v>
      </c>
      <c r="K543" s="128"/>
      <c r="L543" s="89"/>
      <c r="M543" s="89"/>
      <c r="N543" s="89"/>
    </row>
    <row r="544" customHeight="1" ht="14.0">
      <c r="A544" s="64" t="s">
        <v>1648</v>
      </c>
      <c r="B544" s="22" t="s">
        <v>1649</v>
      </c>
      <c r="C544" s="64" t="s">
        <v>1650</v>
      </c>
      <c r="D544" s="65">
        <v>636.0</v>
      </c>
      <c r="E544" s="34">
        <v>45995</v>
      </c>
      <c r="F544" s="109" t="s">
        <v>1031</v>
      </c>
      <c r="G544" s="96">
        <v>2.8723677E8</v>
      </c>
      <c r="H544" s="71" t="s">
        <v>1651</v>
      </c>
      <c r="I544" s="16">
        <f>IF(@Table1[[#This Row],[Delivery Date]]="","NA",@Table1[[#This Row],[Delivery Date]]+30)</f>
        <v>46025.0</v>
      </c>
      <c r="J544" s="35" t="s">
        <f t="shared" si="5"/>
        <v>28</v>
      </c>
      <c r="K544" s="128"/>
      <c r="L544" s="89"/>
      <c r="M544" s="89"/>
      <c r="N544" s="89"/>
    </row>
    <row r="545" customHeight="1" ht="14.0">
      <c r="A545" s="64" t="s">
        <v>1652</v>
      </c>
      <c r="B545" s="22" t="s">
        <v>1653</v>
      </c>
      <c r="C545" s="64" t="s">
        <v>1565</v>
      </c>
      <c r="D545" s="65">
        <v>372.0</v>
      </c>
      <c r="E545" s="34">
        <v>45997</v>
      </c>
      <c r="F545" s="109" t="s">
        <v>1031</v>
      </c>
      <c r="G545" s="96">
        <v>2.87236771E8</v>
      </c>
      <c r="H545" s="71" t="s">
        <v>1654</v>
      </c>
      <c r="I545" s="16">
        <f>IF(@Table1[[#This Row],[Delivery Date]]="","NA",@Table1[[#This Row],[Delivery Date]]+30)</f>
        <v>46027.0</v>
      </c>
      <c r="J545" s="35" t="s">
        <f t="shared" si="5"/>
        <v>28</v>
      </c>
      <c r="K545" s="128"/>
      <c r="L545" s="89"/>
      <c r="M545" s="89"/>
      <c r="N545" s="89"/>
    </row>
    <row r="546" customHeight="1" ht="14.0">
      <c r="A546" s="64" t="s">
        <v>1655</v>
      </c>
      <c r="B546" s="22" t="s">
        <v>1656</v>
      </c>
      <c r="C546" s="64" t="s">
        <v>1224</v>
      </c>
      <c r="D546" s="65">
        <v>108.0</v>
      </c>
      <c r="E546" s="34">
        <v>45995</v>
      </c>
      <c r="F546" s="109" t="s">
        <v>1031</v>
      </c>
      <c r="G546" s="96">
        <v>2.87236772E8</v>
      </c>
      <c r="H546" s="71" t="s">
        <v>1657</v>
      </c>
      <c r="I546" s="16">
        <f>IF(@Table1[[#This Row],[Delivery Date]]="","NA",@Table1[[#This Row],[Delivery Date]]+30)</f>
        <v>46025.0</v>
      </c>
      <c r="J546" s="35" t="s">
        <f t="shared" si="5"/>
        <v>28</v>
      </c>
      <c r="K546" s="128"/>
      <c r="L546" s="89"/>
      <c r="M546" s="89"/>
      <c r="N546" s="89"/>
    </row>
    <row r="547" customHeight="1" ht="14.0">
      <c r="A547" s="64" t="s">
        <v>1658</v>
      </c>
      <c r="B547" s="22" t="s">
        <v>1659</v>
      </c>
      <c r="C547" s="64" t="s">
        <v>1427</v>
      </c>
      <c r="D547" s="65">
        <v>153.0</v>
      </c>
      <c r="E547" s="34">
        <v>46001</v>
      </c>
      <c r="F547" s="109" t="s">
        <v>1031</v>
      </c>
      <c r="G547" s="96">
        <v>2.87236785E8</v>
      </c>
      <c r="H547" s="71" t="s">
        <v>1660</v>
      </c>
      <c r="I547" s="16">
        <f>IF(@Table1[[#This Row],[Delivery Date]]="","NA",@Table1[[#This Row],[Delivery Date]]+30)</f>
        <v>46031.0</v>
      </c>
      <c r="J547" s="35" t="s">
        <f t="shared" si="5"/>
        <v>28</v>
      </c>
      <c r="K547" s="128"/>
      <c r="L547" s="89"/>
      <c r="M547" s="89"/>
      <c r="N547" s="89"/>
    </row>
    <row r="548" customHeight="1" ht="14.0">
      <c r="A548" s="64" t="s">
        <v>1661</v>
      </c>
      <c r="B548" s="22" t="s">
        <v>1662</v>
      </c>
      <c r="C548" s="64" t="s">
        <v>1492</v>
      </c>
      <c r="D548" s="65">
        <v>900.0</v>
      </c>
      <c r="E548" s="34">
        <v>46001</v>
      </c>
      <c r="F548" s="109" t="s">
        <v>1031</v>
      </c>
      <c r="G548" s="96">
        <v>2.87236786E8</v>
      </c>
      <c r="H548" s="71" t="s">
        <v>1663</v>
      </c>
      <c r="I548" s="16">
        <f>IF(@Table1[[#This Row],[Delivery Date]]="","NA",@Table1[[#This Row],[Delivery Date]]+30)</f>
        <v>46031.0</v>
      </c>
      <c r="J548" s="35" t="s">
        <f t="shared" si="5"/>
        <v>28</v>
      </c>
      <c r="K548" s="128"/>
      <c r="L548" s="89"/>
      <c r="M548" s="89"/>
      <c r="N548" s="89"/>
    </row>
    <row r="549" customHeight="1" ht="14.0">
      <c r="A549" s="64" t="s">
        <v>1664</v>
      </c>
      <c r="B549" s="22" t="s">
        <v>1665</v>
      </c>
      <c r="C549" s="22" t="s">
        <v>1035</v>
      </c>
      <c r="D549" s="65">
        <v>665.0</v>
      </c>
      <c r="E549" s="34">
        <v>45997</v>
      </c>
      <c r="F549" s="109" t="s">
        <v>1031</v>
      </c>
      <c r="G549" s="96">
        <v>2.87236787E8</v>
      </c>
      <c r="H549" s="71" t="s">
        <v>1666</v>
      </c>
      <c r="I549" s="16">
        <f>IF(@Table1[[#This Row],[Delivery Date]]="","NA",@Table1[[#This Row],[Delivery Date]]+30)</f>
        <v>46027.0</v>
      </c>
      <c r="J549" s="35" t="s">
        <f t="shared" si="5"/>
        <v>28</v>
      </c>
      <c r="K549" s="128"/>
      <c r="L549" s="89"/>
      <c r="M549" s="89"/>
      <c r="N549" s="89"/>
    </row>
    <row r="550" customHeight="1" ht="14.0">
      <c r="A550" s="64" t="s">
        <v>1667</v>
      </c>
      <c r="B550" s="22" t="s">
        <v>1668</v>
      </c>
      <c r="C550" s="64" t="s">
        <v>1669</v>
      </c>
      <c r="D550" s="65">
        <v>210.0</v>
      </c>
      <c r="E550" s="34">
        <v>45998</v>
      </c>
      <c r="F550" s="109" t="s">
        <v>1031</v>
      </c>
      <c r="G550" s="96">
        <v>2.87236788E8</v>
      </c>
      <c r="H550" s="71" t="s">
        <v>1670</v>
      </c>
      <c r="I550" s="16">
        <f>IF(@Table1[[#This Row],[Delivery Date]]="","NA",@Table1[[#This Row],[Delivery Date]]+30)</f>
        <v>46028.0</v>
      </c>
      <c r="J550" s="35" t="s">
        <f t="shared" si="5"/>
        <v>28</v>
      </c>
      <c r="K550" s="128"/>
      <c r="L550" s="89"/>
      <c r="M550" s="89"/>
      <c r="N550" s="89"/>
    </row>
    <row r="551" customHeight="1" ht="14.0">
      <c r="A551" s="64" t="s">
        <v>1671</v>
      </c>
      <c r="B551" s="22" t="s">
        <v>1672</v>
      </c>
      <c r="C551" s="64" t="s">
        <v>1231</v>
      </c>
      <c r="D551" s="65">
        <v>207.0</v>
      </c>
      <c r="E551" s="34">
        <v>45993</v>
      </c>
      <c r="F551" s="109" t="s">
        <v>1575</v>
      </c>
      <c r="G551" s="96" t="s">
        <v>1576</v>
      </c>
      <c r="H551" s="71" t="s">
        <v>1673</v>
      </c>
      <c r="I551" s="16">
        <f>IF(@Table1[[#This Row],[Delivery Date]]="","NA",@Table1[[#This Row],[Delivery Date]]+30)</f>
        <v>46023.0</v>
      </c>
      <c r="J551" s="35" t="s">
        <f t="shared" si="5"/>
        <v>28</v>
      </c>
      <c r="K551" s="128"/>
      <c r="L551" s="89"/>
      <c r="M551" s="89"/>
      <c r="N551" s="89"/>
    </row>
    <row r="552" customHeight="1" ht="14.0">
      <c r="A552" s="64" t="s">
        <v>1674</v>
      </c>
      <c r="B552" s="22" t="s">
        <v>1675</v>
      </c>
      <c r="C552" s="64" t="s">
        <v>1039</v>
      </c>
      <c r="D552" s="65">
        <v>672.0</v>
      </c>
      <c r="E552" s="34">
        <v>45997</v>
      </c>
      <c r="F552" s="109" t="s">
        <v>1031</v>
      </c>
      <c r="G552" s="96">
        <v>2.87236789E8</v>
      </c>
      <c r="H552" s="71" t="s">
        <v>1676</v>
      </c>
      <c r="I552" s="16">
        <f>IF(@Table1[[#This Row],[Delivery Date]]="","NA",@Table1[[#This Row],[Delivery Date]]+30)</f>
        <v>46027.0</v>
      </c>
      <c r="J552" s="35" t="s">
        <f t="shared" si="5"/>
        <v>28</v>
      </c>
      <c r="K552" s="128"/>
      <c r="L552" s="89"/>
      <c r="M552" s="89"/>
      <c r="N552" s="89"/>
    </row>
    <row r="553" customHeight="1" ht="14.0">
      <c r="A553" s="64" t="s">
        <v>1677</v>
      </c>
      <c r="B553" s="22" t="s">
        <v>1678</v>
      </c>
      <c r="C553" s="64" t="s">
        <v>1319</v>
      </c>
      <c r="D553" s="65">
        <v>474.0</v>
      </c>
      <c r="E553" s="34">
        <v>45998</v>
      </c>
      <c r="F553" s="109" t="s">
        <v>1031</v>
      </c>
      <c r="G553" s="96">
        <v>2.87236791E8</v>
      </c>
      <c r="H553" s="71" t="s">
        <v>1679</v>
      </c>
      <c r="I553" s="16">
        <f>IF(@Table1[[#This Row],[Delivery Date]]="","NA",@Table1[[#This Row],[Delivery Date]]+30)</f>
        <v>46028.0</v>
      </c>
      <c r="J553" s="35" t="s">
        <f t="shared" si="5"/>
        <v>28</v>
      </c>
      <c r="K553" s="128"/>
      <c r="L553" s="89"/>
      <c r="M553" s="89"/>
      <c r="N553" s="89"/>
    </row>
    <row r="554" customHeight="1" ht="14.0">
      <c r="A554" s="64" t="s">
        <v>1680</v>
      </c>
      <c r="B554" s="22" t="s">
        <v>1681</v>
      </c>
      <c r="C554" s="64" t="s">
        <v>1617</v>
      </c>
      <c r="D554" s="65">
        <v>763.0</v>
      </c>
      <c r="E554" s="34">
        <v>45997</v>
      </c>
      <c r="F554" s="109" t="s">
        <v>1031</v>
      </c>
      <c r="G554" s="96">
        <v>2.87236792E8</v>
      </c>
      <c r="H554" s="71" t="s">
        <v>1682</v>
      </c>
      <c r="I554" s="16">
        <f>IF(@Table1[[#This Row],[Delivery Date]]="","NA",@Table1[[#This Row],[Delivery Date]]+30)</f>
        <v>46027.0</v>
      </c>
      <c r="J554" s="35" t="s">
        <f t="shared" si="5"/>
        <v>28</v>
      </c>
      <c r="K554" s="128"/>
      <c r="L554" s="89"/>
      <c r="M554" s="89"/>
      <c r="N554" s="89"/>
    </row>
    <row r="555" customHeight="1" ht="14.0">
      <c r="A555" s="64" t="s">
        <v>1683</v>
      </c>
      <c r="B555" s="22" t="s">
        <v>1684</v>
      </c>
      <c r="C555" s="64" t="s">
        <v>1685</v>
      </c>
      <c r="D555" s="65">
        <v>408.0</v>
      </c>
      <c r="E555" s="34">
        <v>45998</v>
      </c>
      <c r="F555" s="109" t="s">
        <v>1031</v>
      </c>
      <c r="G555" s="96">
        <v>2.87236793E8</v>
      </c>
      <c r="H555" s="71" t="s">
        <v>1686</v>
      </c>
      <c r="I555" s="16">
        <f>IF(@Table1[[#This Row],[Delivery Date]]="","NA",@Table1[[#This Row],[Delivery Date]]+30)</f>
        <v>46028.0</v>
      </c>
      <c r="J555" s="35" t="s">
        <f t="shared" si="5"/>
        <v>28</v>
      </c>
      <c r="K555" s="128"/>
      <c r="L555" s="89"/>
      <c r="M555" s="89"/>
      <c r="N555" s="89"/>
    </row>
    <row r="556" customHeight="1" ht="14.0">
      <c r="A556" s="64" t="s">
        <v>1687</v>
      </c>
      <c r="B556" s="22" t="s">
        <v>1688</v>
      </c>
      <c r="C556" s="64" t="s">
        <v>1319</v>
      </c>
      <c r="D556" s="65"/>
      <c r="E556" s="34">
        <v>45998</v>
      </c>
      <c r="F556" s="109" t="s">
        <v>1031</v>
      </c>
      <c r="G556" s="96">
        <v>2.87236796E8</v>
      </c>
      <c r="H556" s="71" t="s">
        <v>1689</v>
      </c>
      <c r="I556" s="16">
        <f>IF(@Table1[[#This Row],[Delivery Date]]="","NA",@Table1[[#This Row],[Delivery Date]]+30)</f>
        <v>46028.0</v>
      </c>
      <c r="J556" s="35" t="s">
        <f t="shared" si="5"/>
        <v>28</v>
      </c>
      <c r="K556" s="128"/>
      <c r="L556" s="89"/>
      <c r="M556" s="89"/>
      <c r="N556" s="89"/>
    </row>
    <row r="557" customHeight="1" ht="14.0">
      <c r="A557" s="64" t="s">
        <v>1690</v>
      </c>
      <c r="B557" s="22" t="s">
        <v>1691</v>
      </c>
      <c r="C557" s="64" t="s">
        <v>1231</v>
      </c>
      <c r="D557" s="65"/>
      <c r="E557" s="34">
        <v>45993</v>
      </c>
      <c r="F557" s="109" t="s">
        <v>1575</v>
      </c>
      <c r="G557" s="96" t="s">
        <v>1576</v>
      </c>
      <c r="H557" s="71" t="s">
        <v>1692</v>
      </c>
      <c r="I557" s="16">
        <f>IF(@Table1[[#This Row],[Delivery Date]]="","NA",@Table1[[#This Row],[Delivery Date]]+30)</f>
        <v>46023.0</v>
      </c>
      <c r="J557" s="35" t="s">
        <f t="shared" si="5"/>
        <v>28</v>
      </c>
      <c r="K557" s="128"/>
      <c r="L557" s="89"/>
      <c r="M557" s="89"/>
      <c r="N557" s="89"/>
    </row>
    <row r="558" customHeight="1" ht="14.0">
      <c r="A558" s="64" t="s">
        <v>1693</v>
      </c>
      <c r="B558" s="22" t="s">
        <v>1694</v>
      </c>
      <c r="C558" s="64" t="s">
        <v>1039</v>
      </c>
      <c r="D558" s="65">
        <v>336.0</v>
      </c>
      <c r="E558" s="34">
        <v>46002</v>
      </c>
      <c r="F558" s="109" t="s">
        <v>1031</v>
      </c>
      <c r="G558" s="96">
        <v>2.87236797E8</v>
      </c>
      <c r="H558" s="71" t="s">
        <v>1695</v>
      </c>
      <c r="I558" s="16">
        <f>IF(@Table1[[#This Row],[Delivery Date]]="","NA",@Table1[[#This Row],[Delivery Date]]+30)</f>
        <v>46032.0</v>
      </c>
      <c r="J558" s="35" t="s">
        <f t="shared" si="5"/>
        <v>28</v>
      </c>
      <c r="K558" s="128"/>
      <c r="L558" s="89"/>
      <c r="M558" s="89"/>
      <c r="N558" s="89"/>
    </row>
    <row r="559" customHeight="1" ht="14.0">
      <c r="A559" s="64" t="s">
        <v>1696</v>
      </c>
      <c r="B559" s="22" t="s">
        <v>1697</v>
      </c>
      <c r="C559" s="64" t="s">
        <v>1231</v>
      </c>
      <c r="D559" s="65">
        <v>199.0</v>
      </c>
      <c r="E559" s="34">
        <v>46007</v>
      </c>
      <c r="F559" s="109" t="s">
        <v>1031</v>
      </c>
      <c r="G559" s="96" t="s">
        <v>1576</v>
      </c>
      <c r="H559" s="71" t="s">
        <v>1698</v>
      </c>
      <c r="I559" s="16">
        <f>IF(@Table1[[#This Row],[Delivery Date]]="","NA",@Table1[[#This Row],[Delivery Date]]+30)</f>
        <v>46037.0</v>
      </c>
      <c r="J559" s="35" t="s">
        <f t="shared" si="5"/>
        <v>28</v>
      </c>
      <c r="K559" s="128"/>
      <c r="L559" s="89"/>
      <c r="M559" s="89"/>
      <c r="N559" s="89"/>
    </row>
    <row r="560" customHeight="1" ht="14.0">
      <c r="A560" s="64" t="s">
        <v>1699</v>
      </c>
      <c r="B560" s="22" t="s">
        <v>1700</v>
      </c>
      <c r="C560" s="64" t="s">
        <v>141</v>
      </c>
      <c r="D560" s="65">
        <v>435.0</v>
      </c>
      <c r="E560" s="34">
        <v>46000</v>
      </c>
      <c r="F560" s="109" t="s">
        <v>1031</v>
      </c>
      <c r="G560" s="96">
        <v>2.87262813E8</v>
      </c>
      <c r="H560" s="71" t="s">
        <v>1701</v>
      </c>
      <c r="I560" s="16">
        <f>IF(@Table1[[#This Row],[Delivery Date]]="","NA",@Table1[[#This Row],[Delivery Date]]+30)</f>
        <v>46030.0</v>
      </c>
      <c r="J560" s="35" t="s">
        <f t="shared" si="5"/>
        <v>28</v>
      </c>
      <c r="K560" s="128"/>
      <c r="L560" s="89"/>
      <c r="M560" s="89"/>
      <c r="N560" s="89"/>
    </row>
    <row r="561" customHeight="1" ht="14.0">
      <c r="A561" s="64" t="s">
        <v>1702</v>
      </c>
      <c r="B561" s="22" t="s">
        <v>1703</v>
      </c>
      <c r="C561" s="64" t="s">
        <v>1650</v>
      </c>
      <c r="D561" s="65">
        <v>156.0</v>
      </c>
      <c r="E561" s="34">
        <v>46001</v>
      </c>
      <c r="F561" s="109" t="s">
        <v>1031</v>
      </c>
      <c r="G561" s="96">
        <v>2.87262814E8</v>
      </c>
      <c r="H561" s="71" t="s">
        <v>1704</v>
      </c>
      <c r="I561" s="16">
        <f>IF(@Table1[[#This Row],[Delivery Date]]="","NA",@Table1[[#This Row],[Delivery Date]]+30)</f>
        <v>46031.0</v>
      </c>
      <c r="J561" s="35" t="s">
        <f t="shared" si="5"/>
        <v>28</v>
      </c>
      <c r="K561" s="128"/>
      <c r="L561" s="89"/>
      <c r="M561" s="89"/>
      <c r="N561" s="89"/>
    </row>
    <row r="562" customHeight="1" ht="14.0">
      <c r="A562" s="64" t="s">
        <v>1705</v>
      </c>
      <c r="B562" s="22" t="s">
        <v>1706</v>
      </c>
      <c r="C562" s="64" t="s">
        <v>1492</v>
      </c>
      <c r="D562" s="65">
        <v>231.0</v>
      </c>
      <c r="E562" s="34">
        <v>46001</v>
      </c>
      <c r="F562" s="109" t="s">
        <v>1031</v>
      </c>
      <c r="G562" s="96">
        <v>2.87262815E8</v>
      </c>
      <c r="H562" s="71" t="s">
        <v>1707</v>
      </c>
      <c r="I562" s="16">
        <f>IF(@Table1[[#This Row],[Delivery Date]]="","NA",@Table1[[#This Row],[Delivery Date]]+30)</f>
        <v>46031.0</v>
      </c>
      <c r="J562" s="35" t="s">
        <f t="shared" si="5"/>
        <v>28</v>
      </c>
      <c r="K562" s="128"/>
      <c r="L562" s="89"/>
      <c r="M562" s="89"/>
      <c r="N562" s="89"/>
    </row>
    <row r="563" customHeight="1" ht="14.0">
      <c r="A563" s="64" t="s">
        <v>1708</v>
      </c>
      <c r="B563" s="22" t="s">
        <v>1709</v>
      </c>
      <c r="C563" s="64" t="s">
        <v>1710</v>
      </c>
      <c r="D563" s="65">
        <v>204.0</v>
      </c>
      <c r="E563" s="34">
        <v>46001</v>
      </c>
      <c r="F563" s="109" t="s">
        <v>1031</v>
      </c>
      <c r="G563" s="96">
        <v>2.87262816E8</v>
      </c>
      <c r="H563" s="71" t="s">
        <v>1711</v>
      </c>
      <c r="I563" s="16">
        <f>IF(@Table1[[#This Row],[Delivery Date]]="","NA",@Table1[[#This Row],[Delivery Date]]+30)</f>
        <v>46031.0</v>
      </c>
      <c r="J563" s="35" t="s">
        <f t="shared" si="5"/>
        <v>28</v>
      </c>
      <c r="K563" s="128"/>
      <c r="L563" s="89"/>
      <c r="M563" s="89"/>
      <c r="N563" s="89"/>
    </row>
    <row r="564" customHeight="1" ht="14.0">
      <c r="A564" s="64" t="s">
        <v>1712</v>
      </c>
      <c r="B564" s="22" t="s">
        <v>1713</v>
      </c>
      <c r="C564" s="64" t="s">
        <v>1617</v>
      </c>
      <c r="D564" s="65">
        <v>696.0</v>
      </c>
      <c r="E564" s="34">
        <v>46000</v>
      </c>
      <c r="F564" s="109" t="s">
        <v>1031</v>
      </c>
      <c r="G564" s="96">
        <v>2.87262817E8</v>
      </c>
      <c r="H564" s="71" t="s">
        <v>1714</v>
      </c>
      <c r="I564" s="16">
        <f>IF(@Table1[[#This Row],[Delivery Date]]="","NA",@Table1[[#This Row],[Delivery Date]]+30)</f>
        <v>46030.0</v>
      </c>
      <c r="J564" s="35" t="s">
        <f t="shared" si="5"/>
        <v>28</v>
      </c>
      <c r="K564" s="128"/>
      <c r="L564" s="89"/>
      <c r="M564" s="89"/>
      <c r="N564" s="89"/>
    </row>
    <row r="565" customHeight="1" ht="14.0">
      <c r="A565" s="64" t="s">
        <v>1715</v>
      </c>
      <c r="B565" s="22" t="s">
        <v>1716</v>
      </c>
      <c r="C565" s="64" t="s">
        <v>1717</v>
      </c>
      <c r="D565" s="65">
        <v>981.0</v>
      </c>
      <c r="E565" s="34">
        <v>46004</v>
      </c>
      <c r="F565" s="109" t="s">
        <v>1031</v>
      </c>
      <c r="G565" s="96">
        <v>2.87262855E8</v>
      </c>
      <c r="H565" s="71" t="s">
        <v>1718</v>
      </c>
      <c r="I565" s="16">
        <f>IF(@Table1[[#This Row],[Delivery Date]]="","NA",@Table1[[#This Row],[Delivery Date]]+30)</f>
        <v>46034.0</v>
      </c>
      <c r="J565" s="35" t="s">
        <f t="shared" si="5"/>
        <v>28</v>
      </c>
      <c r="K565" s="128"/>
      <c r="L565" s="89"/>
      <c r="M565" s="89"/>
      <c r="N565" s="89"/>
    </row>
    <row r="566" customHeight="1" ht="14.0">
      <c r="A566" s="64" t="s">
        <v>1719</v>
      </c>
      <c r="B566" s="22" t="s">
        <v>1720</v>
      </c>
      <c r="C566" s="64" t="s">
        <v>1492</v>
      </c>
      <c r="D566" s="65">
        <v>423.0</v>
      </c>
      <c r="E566" s="34">
        <v>46009</v>
      </c>
      <c r="F566" s="109" t="s">
        <v>1031</v>
      </c>
      <c r="G566" s="96">
        <v>2.87262856E8</v>
      </c>
      <c r="H566" s="71" t="s">
        <v>1721</v>
      </c>
      <c r="I566" s="16">
        <f>IF(@Table1[[#This Row],[Delivery Date]]="","NA",@Table1[[#This Row],[Delivery Date]]+30)</f>
        <v>46039.0</v>
      </c>
      <c r="J566" s="35" t="s">
        <f t="shared" si="5"/>
        <v>28</v>
      </c>
      <c r="K566" s="128"/>
      <c r="L566" s="89"/>
      <c r="M566" s="89"/>
      <c r="N566" s="89"/>
    </row>
    <row r="567" customHeight="1" ht="14.0">
      <c r="A567" s="64" t="s">
        <v>1722</v>
      </c>
      <c r="B567" s="22" t="s">
        <v>1723</v>
      </c>
      <c r="C567" s="64" t="s">
        <v>1724</v>
      </c>
      <c r="D567" s="65">
        <v>201.0</v>
      </c>
      <c r="E567" s="34">
        <v>46005</v>
      </c>
      <c r="F567" s="109" t="s">
        <v>1031</v>
      </c>
      <c r="G567" s="96">
        <v>2.87262857E8</v>
      </c>
      <c r="H567" s="71" t="s">
        <v>1725</v>
      </c>
      <c r="I567" s="16">
        <f>IF(@Table1[[#This Row],[Delivery Date]]="","NA",@Table1[[#This Row],[Delivery Date]]+30)</f>
        <v>46035.0</v>
      </c>
      <c r="J567" s="35" t="s">
        <f t="shared" si="5"/>
        <v>28</v>
      </c>
      <c r="K567" s="128"/>
      <c r="L567" s="89"/>
      <c r="M567" s="89"/>
      <c r="N567" s="89"/>
    </row>
    <row r="568" customHeight="1" ht="14.0">
      <c r="A568" s="64" t="s">
        <v>1726</v>
      </c>
      <c r="B568" s="22" t="s">
        <v>1727</v>
      </c>
      <c r="C568" s="64" t="s">
        <v>1728</v>
      </c>
      <c r="D568" s="65">
        <v>252.0</v>
      </c>
      <c r="E568" s="75">
        <v>46006</v>
      </c>
      <c r="F568" s="109" t="s">
        <v>1031</v>
      </c>
      <c r="G568" s="96">
        <v>2.87262858E8</v>
      </c>
      <c r="H568" s="71" t="s">
        <v>1729</v>
      </c>
      <c r="I568" s="16">
        <f>IF(@Table1[[#This Row],[Delivery Date]]="","NA",@Table1[[#This Row],[Delivery Date]]+30)</f>
        <v>46036.0</v>
      </c>
      <c r="J568" s="35" t="s">
        <f t="shared" si="5"/>
        <v>28</v>
      </c>
      <c r="K568" s="128"/>
      <c r="L568" s="89"/>
      <c r="M568" s="89"/>
      <c r="N568" s="89"/>
    </row>
    <row r="569" customHeight="1" ht="14.0">
      <c r="A569" s="64" t="s">
        <v>1730</v>
      </c>
      <c r="B569" s="22" t="s">
        <v>1731</v>
      </c>
      <c r="C569" s="64" t="s">
        <v>1710</v>
      </c>
      <c r="D569" s="131">
        <v>540.0</v>
      </c>
      <c r="E569" s="75">
        <v>46006</v>
      </c>
      <c r="F569" s="132" t="s">
        <v>1031</v>
      </c>
      <c r="G569" s="96">
        <v>2.87262859E8</v>
      </c>
      <c r="H569" s="71" t="s">
        <v>1732</v>
      </c>
      <c r="I569" s="16">
        <f>IF(@Table1[[#This Row],[Delivery Date]]="","NA",@Table1[[#This Row],[Delivery Date]]+30)</f>
        <v>46036.0</v>
      </c>
      <c r="J569" s="35" t="s">
        <f t="shared" si="5"/>
        <v>28</v>
      </c>
      <c r="K569" s="128"/>
      <c r="L569" s="89"/>
      <c r="M569" s="89"/>
      <c r="N569" s="89"/>
    </row>
    <row r="570" customHeight="1" ht="14.0">
      <c r="A570" s="64" t="s">
        <v>1733</v>
      </c>
      <c r="B570" s="22" t="s">
        <v>1734</v>
      </c>
      <c r="C570" s="64" t="s">
        <v>1427</v>
      </c>
      <c r="D570" s="65">
        <v>206.0</v>
      </c>
      <c r="E570" s="75">
        <v>46004</v>
      </c>
      <c r="F570" s="109" t="s">
        <v>1031</v>
      </c>
      <c r="G570" s="96">
        <v>2.8726286E8</v>
      </c>
      <c r="H570" s="71" t="s">
        <v>1735</v>
      </c>
      <c r="I570" s="16">
        <f>IF(@Table1[[#This Row],[Delivery Date]]="","NA",@Table1[[#This Row],[Delivery Date]]+30)</f>
        <v>46034.0</v>
      </c>
      <c r="J570" s="35" t="s">
        <f t="shared" si="5"/>
        <v>28</v>
      </c>
      <c r="K570" s="128"/>
      <c r="L570" s="89"/>
      <c r="M570" s="89"/>
      <c r="N570" s="89"/>
    </row>
    <row r="571" customHeight="1" ht="14.0">
      <c r="A571" s="64" t="s">
        <v>1736</v>
      </c>
      <c r="B571" s="22" t="s">
        <v>1737</v>
      </c>
      <c r="C571" s="64" t="s">
        <v>1669</v>
      </c>
      <c r="D571" s="65">
        <v>192.0</v>
      </c>
      <c r="E571" s="34">
        <v>46005</v>
      </c>
      <c r="F571" s="109" t="s">
        <v>1031</v>
      </c>
      <c r="G571" s="96">
        <v>2.87262861E8</v>
      </c>
      <c r="H571" s="71" t="s">
        <v>1738</v>
      </c>
      <c r="I571" s="16">
        <f>IF(@Table1[[#This Row],[Delivery Date]]="","NA",@Table1[[#This Row],[Delivery Date]]+30)</f>
        <v>46035.0</v>
      </c>
      <c r="J571" s="35" t="s">
        <f t="shared" si="5"/>
        <v>28</v>
      </c>
      <c r="K571" s="128"/>
      <c r="L571" s="89"/>
      <c r="M571" s="89"/>
      <c r="N571" s="89"/>
    </row>
    <row r="572" customHeight="1" ht="14.0">
      <c r="A572" s="64" t="s">
        <v>1739</v>
      </c>
      <c r="B572" s="22" t="s">
        <v>1740</v>
      </c>
      <c r="C572" s="64" t="s">
        <v>1724</v>
      </c>
      <c r="D572" s="65">
        <v>234.0</v>
      </c>
      <c r="E572" s="34">
        <v>46005</v>
      </c>
      <c r="F572" s="109" t="s">
        <v>1031</v>
      </c>
      <c r="G572" s="96">
        <v>2.87262862E8</v>
      </c>
      <c r="H572" s="71" t="s">
        <v>1741</v>
      </c>
      <c r="I572" s="16">
        <f>IF(@Table1[[#This Row],[Delivery Date]]="","NA",@Table1[[#This Row],[Delivery Date]]+30)</f>
        <v>46035.0</v>
      </c>
      <c r="J572" s="35" t="s">
        <f t="shared" si="5"/>
        <v>28</v>
      </c>
      <c r="K572" s="128"/>
      <c r="L572" s="89"/>
      <c r="M572" s="89"/>
      <c r="N572" s="89"/>
    </row>
    <row r="573" customHeight="1" ht="14.0">
      <c r="A573" s="64" t="s">
        <v>1742</v>
      </c>
      <c r="B573" s="22" t="s">
        <v>1743</v>
      </c>
      <c r="C573" s="64" t="s">
        <v>1744</v>
      </c>
      <c r="D573" s="65">
        <v>412.0</v>
      </c>
      <c r="E573" s="34">
        <v>46012</v>
      </c>
      <c r="F573" s="109" t="s">
        <v>1031</v>
      </c>
      <c r="G573" s="96">
        <v>2.87262895E8</v>
      </c>
      <c r="H573" s="71" t="s">
        <v>1745</v>
      </c>
      <c r="I573" s="16">
        <f>IF(@Table1[[#This Row],[Delivery Date]]="","NA",@Table1[[#This Row],[Delivery Date]]+30)</f>
        <v>46042.0</v>
      </c>
      <c r="J573" s="35" t="s">
        <f t="shared" si="5"/>
        <v>28</v>
      </c>
      <c r="K573" s="128"/>
      <c r="L573" s="89"/>
      <c r="M573" s="89"/>
      <c r="N573" s="89"/>
    </row>
    <row r="574" customHeight="1" ht="14.0">
      <c r="A574" s="64" t="s">
        <v>1746</v>
      </c>
      <c r="B574" s="22" t="s">
        <v>1747</v>
      </c>
      <c r="C574" s="64" t="s">
        <v>1066</v>
      </c>
      <c r="D574" s="65">
        <v>198.0</v>
      </c>
      <c r="E574" s="34">
        <v>46008</v>
      </c>
      <c r="F574" s="109" t="s">
        <v>1031</v>
      </c>
      <c r="G574" s="96">
        <v>2.87262896E8</v>
      </c>
      <c r="H574" s="71" t="s">
        <v>1748</v>
      </c>
      <c r="I574" s="16">
        <f>IF(@Table1[[#This Row],[Delivery Date]]="","NA",@Table1[[#This Row],[Delivery Date]]+30)</f>
        <v>46038.0</v>
      </c>
      <c r="J574" s="35" t="s">
        <f t="shared" si="5"/>
        <v>28</v>
      </c>
      <c r="K574" s="128"/>
      <c r="L574" s="89"/>
      <c r="M574" s="89"/>
      <c r="N574" s="89"/>
    </row>
    <row r="575" customHeight="1" ht="14.0">
      <c r="A575" s="64" t="s">
        <v>1749</v>
      </c>
      <c r="B575" s="22" t="s">
        <v>1750</v>
      </c>
      <c r="C575" s="64" t="s">
        <v>1669</v>
      </c>
      <c r="D575" s="65">
        <v>330.0</v>
      </c>
      <c r="E575" s="34">
        <v>46011</v>
      </c>
      <c r="F575" s="109" t="s">
        <v>1031</v>
      </c>
      <c r="G575" s="96">
        <v>2.87262897E8</v>
      </c>
      <c r="H575" s="71" t="s">
        <v>1751</v>
      </c>
      <c r="I575" s="16">
        <f>IF(@Table1[[#This Row],[Delivery Date]]="","NA",@Table1[[#This Row],[Delivery Date]]+30)</f>
        <v>46041.0</v>
      </c>
      <c r="J575" s="35" t="s">
        <f t="shared" si="5"/>
        <v>28</v>
      </c>
      <c r="K575" s="128"/>
      <c r="L575" s="89"/>
      <c r="M575" s="89"/>
      <c r="N575" s="89"/>
    </row>
    <row r="576" customHeight="1" ht="14.0">
      <c r="A576" s="64" t="s">
        <v>1752</v>
      </c>
      <c r="B576" s="22" t="s">
        <v>1753</v>
      </c>
      <c r="C576" s="64" t="s">
        <v>1724</v>
      </c>
      <c r="D576" s="65">
        <v>216.0</v>
      </c>
      <c r="E576" s="34">
        <v>46007</v>
      </c>
      <c r="F576" s="109" t="s">
        <v>1031</v>
      </c>
      <c r="G576" s="96">
        <v>2.87262898E8</v>
      </c>
      <c r="H576" s="71" t="s">
        <v>1754</v>
      </c>
      <c r="I576" s="16">
        <f>IF(@Table1[[#This Row],[Delivery Date]]="","NA",@Table1[[#This Row],[Delivery Date]]+30)</f>
        <v>46037.0</v>
      </c>
      <c r="J576" s="35" t="s">
        <f t="shared" si="5"/>
        <v>28</v>
      </c>
      <c r="K576" s="128"/>
      <c r="L576" s="89"/>
      <c r="M576" s="89"/>
      <c r="N576" s="89"/>
    </row>
    <row r="577" customHeight="1" ht="14.0">
      <c r="A577" s="64" t="s">
        <v>1755</v>
      </c>
      <c r="B577" s="22" t="s">
        <v>1756</v>
      </c>
      <c r="C577" s="64" t="s">
        <v>1757</v>
      </c>
      <c r="D577" s="65">
        <v>480.0</v>
      </c>
      <c r="E577" s="34">
        <v>46008</v>
      </c>
      <c r="F577" s="109" t="s">
        <v>565</v>
      </c>
      <c r="G577" s="96">
        <v>2.87262907E8</v>
      </c>
      <c r="H577" s="71" t="s">
        <v>1758</v>
      </c>
      <c r="I577" s="16">
        <f>IF(@Table1[[#This Row],[Delivery Date]]="","NA",@Table1[[#This Row],[Delivery Date]]+30)</f>
        <v>46038.0</v>
      </c>
      <c r="J577" s="35" t="s">
        <f t="shared" si="5"/>
        <v>28</v>
      </c>
      <c r="K577" s="128"/>
      <c r="L577" s="89"/>
      <c r="M577" s="89"/>
      <c r="N577" s="89"/>
    </row>
    <row r="578" customHeight="1" ht="14.0">
      <c r="A578" s="64" t="s">
        <v>1759</v>
      </c>
      <c r="B578" s="22" t="s">
        <v>1760</v>
      </c>
      <c r="C578" s="64" t="s">
        <v>1761</v>
      </c>
      <c r="D578" s="65">
        <v>480.0</v>
      </c>
      <c r="E578" s="34">
        <v>46007</v>
      </c>
      <c r="F578" s="109" t="s">
        <v>565</v>
      </c>
      <c r="G578" s="96">
        <v>2.87262908E8</v>
      </c>
      <c r="H578" s="71" t="s">
        <v>1762</v>
      </c>
      <c r="I578" s="16">
        <f>IF(@Table1[[#This Row],[Delivery Date]]="","NA",@Table1[[#This Row],[Delivery Date]]+30)</f>
        <v>46037.0</v>
      </c>
      <c r="J578" s="35" t="s">
        <f t="shared" si="5"/>
        <v>28</v>
      </c>
      <c r="K578" s="128"/>
      <c r="L578" s="89"/>
      <c r="M578" s="89"/>
      <c r="N578" s="89"/>
    </row>
    <row r="579" customHeight="1" ht="14.0">
      <c r="A579" s="64" t="s">
        <v>1763</v>
      </c>
      <c r="B579" s="22" t="s">
        <v>1764</v>
      </c>
      <c r="C579" s="64" t="s">
        <v>420</v>
      </c>
      <c r="D579" s="65">
        <v>480.0</v>
      </c>
      <c r="E579" s="34">
        <v>46008</v>
      </c>
      <c r="F579" s="109" t="s">
        <v>565</v>
      </c>
      <c r="G579" s="96">
        <v>2.87262909E8</v>
      </c>
      <c r="H579" s="71" t="s">
        <v>1765</v>
      </c>
      <c r="I579" s="16">
        <f>IF(@Table1[[#This Row],[Delivery Date]]="","NA",@Table1[[#This Row],[Delivery Date]]+30)</f>
        <v>46038.0</v>
      </c>
      <c r="J579" s="35" t="s">
        <f t="shared" si="5"/>
        <v>28</v>
      </c>
      <c r="K579" s="128"/>
      <c r="L579" s="89"/>
      <c r="M579" s="89"/>
      <c r="N579" s="89"/>
    </row>
    <row r="580" customHeight="1" ht="14.0">
      <c r="A580" s="64" t="s">
        <v>1766</v>
      </c>
      <c r="B580" s="22" t="s">
        <v>1767</v>
      </c>
      <c r="C580" s="64" t="s">
        <v>1650</v>
      </c>
      <c r="D580" s="65">
        <v>480.0</v>
      </c>
      <c r="E580" s="34">
        <v>46008</v>
      </c>
      <c r="F580" s="109" t="s">
        <v>565</v>
      </c>
      <c r="G580" s="96">
        <v>2.8726291E8</v>
      </c>
      <c r="H580" s="71" t="s">
        <v>1768</v>
      </c>
      <c r="I580" s="16">
        <f>IF(@Table1[[#This Row],[Delivery Date]]="","NA",@Table1[[#This Row],[Delivery Date]]+30)</f>
        <v>46038.0</v>
      </c>
      <c r="J580" s="35" t="s">
        <f t="shared" si="5"/>
        <v>28</v>
      </c>
      <c r="K580" s="128"/>
      <c r="L580" s="89"/>
      <c r="M580" s="89"/>
      <c r="N580" s="89"/>
    </row>
    <row r="581" customHeight="1" ht="14.0">
      <c r="A581" s="64" t="s">
        <v>1769</v>
      </c>
      <c r="B581" s="22" t="s">
        <v>1770</v>
      </c>
      <c r="C581" s="64" t="s">
        <v>1284</v>
      </c>
      <c r="D581" s="65">
        <v>511.0</v>
      </c>
      <c r="E581" s="34">
        <v>46013</v>
      </c>
      <c r="F581" s="109" t="s">
        <v>1031</v>
      </c>
      <c r="G581" s="96">
        <v>2.87262944E8</v>
      </c>
      <c r="H581" s="71" t="s">
        <v>1771</v>
      </c>
      <c r="I581" s="16">
        <f>IF(@Table1[[#This Row],[Delivery Date]]="","NA",@Table1[[#This Row],[Delivery Date]]+30)</f>
        <v>46043.0</v>
      </c>
      <c r="J581" s="35" t="s">
        <f t="shared" si="5"/>
        <v>28</v>
      </c>
      <c r="K581" s="128"/>
      <c r="L581" s="89"/>
      <c r="M581" s="89"/>
      <c r="N581" s="89"/>
    </row>
    <row r="582" customHeight="1" ht="14.0">
      <c r="A582" s="64" t="s">
        <v>1772</v>
      </c>
      <c r="B582" s="22" t="s">
        <v>1773</v>
      </c>
      <c r="C582" s="64" t="s">
        <v>1319</v>
      </c>
      <c r="D582" s="65">
        <v>948.0</v>
      </c>
      <c r="E582" s="34">
        <v>46014</v>
      </c>
      <c r="F582" s="109" t="s">
        <v>1031</v>
      </c>
      <c r="G582" s="96">
        <v>2.87262957E8</v>
      </c>
      <c r="H582" s="71" t="s">
        <v>1774</v>
      </c>
      <c r="I582" s="16">
        <f>IF(@Table1[[#This Row],[Delivery Date]]="","NA",@Table1[[#This Row],[Delivery Date]]+30)</f>
        <v>46044.0</v>
      </c>
      <c r="J582" s="35" t="s">
        <f t="shared" si="5"/>
        <v>28</v>
      </c>
      <c r="K582" s="128"/>
      <c r="L582" s="89"/>
      <c r="M582" s="89"/>
      <c r="N582" s="89"/>
    </row>
    <row r="583" customHeight="1" ht="14.0">
      <c r="A583" s="64" t="s">
        <v>1775</v>
      </c>
      <c r="B583" s="22" t="s">
        <v>1776</v>
      </c>
      <c r="C583" s="64" t="s">
        <v>1231</v>
      </c>
      <c r="D583" s="65">
        <v>326.0</v>
      </c>
      <c r="E583" s="34">
        <v>46007</v>
      </c>
      <c r="F583" s="109" t="s">
        <v>1031</v>
      </c>
      <c r="G583" s="96" t="s">
        <v>1576</v>
      </c>
      <c r="H583" s="71" t="s">
        <v>1777</v>
      </c>
      <c r="I583" s="16">
        <f>IF(@Table1[[#This Row],[Delivery Date]]="","NA",@Table1[[#This Row],[Delivery Date]]+30)</f>
        <v>46037.0</v>
      </c>
      <c r="J583" s="35" t="s">
        <f t="shared" si="5"/>
        <v>28</v>
      </c>
      <c r="K583" s="128"/>
      <c r="L583" s="89"/>
      <c r="M583" s="89"/>
      <c r="N583" s="89"/>
    </row>
    <row r="584" customHeight="1" ht="14.0">
      <c r="A584" s="64" t="s">
        <v>1778</v>
      </c>
      <c r="B584" s="22" t="s">
        <v>1779</v>
      </c>
      <c r="C584" s="64" t="s">
        <v>1617</v>
      </c>
      <c r="D584" s="65">
        <v>599.0</v>
      </c>
      <c r="E584" s="34">
        <v>46010</v>
      </c>
      <c r="F584" s="109" t="s">
        <v>1031</v>
      </c>
      <c r="G584" s="96">
        <v>2.87262958E8</v>
      </c>
      <c r="H584" s="71" t="s">
        <v>1780</v>
      </c>
      <c r="I584" s="16">
        <f>IF(@Table1[[#This Row],[Delivery Date]]="","NA",@Table1[[#This Row],[Delivery Date]]+30)</f>
        <v>46040.0</v>
      </c>
      <c r="J584" s="35" t="s">
        <f t="shared" si="5"/>
        <v>28</v>
      </c>
      <c r="K584" s="128"/>
      <c r="L584" s="89"/>
      <c r="M584" s="89"/>
      <c r="N584" s="89"/>
    </row>
    <row r="585" customHeight="1" ht="14.0">
      <c r="A585" s="64" t="s">
        <v>1781</v>
      </c>
      <c r="B585" s="22" t="s">
        <v>1782</v>
      </c>
      <c r="C585" s="64" t="s">
        <v>1650</v>
      </c>
      <c r="D585" s="65">
        <v>792.0</v>
      </c>
      <c r="E585" s="34">
        <v>46014</v>
      </c>
      <c r="F585" s="109" t="s">
        <v>1031</v>
      </c>
      <c r="G585" s="96">
        <v>2.87262974E8</v>
      </c>
      <c r="H585" s="71" t="s">
        <v>1783</v>
      </c>
      <c r="I585" s="16">
        <f>IF(@Table1[[#This Row],[Delivery Date]]="","NA",@Table1[[#This Row],[Delivery Date]]+30)</f>
        <v>46044.0</v>
      </c>
      <c r="J585" s="35" t="s">
        <f t="shared" si="5"/>
        <v>28</v>
      </c>
      <c r="K585" s="128"/>
      <c r="L585" s="89"/>
      <c r="M585" s="89"/>
      <c r="N585" s="89"/>
    </row>
    <row r="586" customHeight="1" ht="14.0">
      <c r="A586" s="64" t="s">
        <v>1784</v>
      </c>
      <c r="B586" s="22" t="s">
        <v>1785</v>
      </c>
      <c r="C586" s="64" t="s">
        <v>1288</v>
      </c>
      <c r="D586" s="65">
        <v>1129.0</v>
      </c>
      <c r="E586" s="34">
        <v>46010</v>
      </c>
      <c r="F586" s="109" t="s">
        <v>1031</v>
      </c>
      <c r="G586" s="96">
        <v>2.8726296E8</v>
      </c>
      <c r="H586" s="71" t="s">
        <v>1786</v>
      </c>
      <c r="I586" s="16">
        <f>IF(@Table1[[#This Row],[Delivery Date]]="","NA",@Table1[[#This Row],[Delivery Date]]+30)</f>
        <v>46040.0</v>
      </c>
      <c r="J586" s="35" t="s">
        <f t="shared" si="5"/>
        <v>28</v>
      </c>
      <c r="K586" s="128"/>
      <c r="L586" s="89"/>
      <c r="M586" s="89"/>
      <c r="N586" s="89"/>
    </row>
    <row r="587" customHeight="1" ht="14.0">
      <c r="A587" s="64" t="s">
        <v>1787</v>
      </c>
      <c r="B587" s="22" t="s">
        <v>1788</v>
      </c>
      <c r="C587" s="64" t="s">
        <v>1039</v>
      </c>
      <c r="D587" s="65">
        <v>1056.0</v>
      </c>
      <c r="E587" s="34">
        <v>46014</v>
      </c>
      <c r="F587" s="109" t="s">
        <v>1031</v>
      </c>
      <c r="G587" s="96">
        <v>2.87262963E8</v>
      </c>
      <c r="H587" s="71" t="s">
        <v>1789</v>
      </c>
      <c r="I587" s="16">
        <f>IF(@Table1[[#This Row],[Delivery Date]]="","NA",@Table1[[#This Row],[Delivery Date]]+30)</f>
        <v>46044.0</v>
      </c>
      <c r="J587" s="35" t="s">
        <f t="shared" si="5"/>
        <v>28</v>
      </c>
      <c r="K587" s="128"/>
      <c r="L587" s="89"/>
      <c r="M587" s="89"/>
      <c r="N587" s="89"/>
    </row>
    <row r="588" customHeight="1" ht="14.0">
      <c r="A588" s="64" t="s">
        <v>1790</v>
      </c>
      <c r="B588" s="22" t="s">
        <v>1791</v>
      </c>
      <c r="C588" s="64" t="s">
        <v>1650</v>
      </c>
      <c r="D588" s="65">
        <v>468.0</v>
      </c>
      <c r="E588" s="34">
        <v>46014</v>
      </c>
      <c r="F588" s="109" t="s">
        <v>1031</v>
      </c>
      <c r="G588" s="96">
        <v>2.87262961E8</v>
      </c>
      <c r="H588" s="71" t="s">
        <v>1792</v>
      </c>
      <c r="I588" s="16">
        <f>IF(@Table1[[#This Row],[Delivery Date]]="","NA",@Table1[[#This Row],[Delivery Date]]+30)</f>
        <v>46044.0</v>
      </c>
      <c r="J588" s="35" t="s">
        <f t="shared" si="5"/>
        <v>28</v>
      </c>
      <c r="K588" s="128"/>
      <c r="L588" s="89"/>
      <c r="M588" s="89"/>
      <c r="N588" s="89"/>
    </row>
    <row r="589" customHeight="1" ht="14.0">
      <c r="A589" s="64" t="s">
        <v>1793</v>
      </c>
      <c r="B589" s="22" t="s">
        <v>1794</v>
      </c>
      <c r="C589" s="64" t="s">
        <v>1288</v>
      </c>
      <c r="D589" s="65">
        <v>1098.0</v>
      </c>
      <c r="E589" s="34">
        <v>46017</v>
      </c>
      <c r="F589" s="109" t="s">
        <v>1031</v>
      </c>
      <c r="G589" s="96">
        <v>2.87262962E8</v>
      </c>
      <c r="H589" s="71" t="s">
        <v>1795</v>
      </c>
      <c r="I589" s="16">
        <f>IF(@Table1[[#This Row],[Delivery Date]]="","NA",@Table1[[#This Row],[Delivery Date]]+30)</f>
        <v>46047.0</v>
      </c>
      <c r="J589" s="35" t="s">
        <v>17</v>
      </c>
      <c r="K589" s="128"/>
      <c r="L589" s="89" t="s">
        <v>17</v>
      </c>
      <c r="M589" s="89"/>
      <c r="N589" s="89"/>
    </row>
    <row r="590" customHeight="1" ht="14.0">
      <c r="A590" s="64" t="s">
        <v>1796</v>
      </c>
      <c r="B590" s="22" t="s">
        <v>1797</v>
      </c>
      <c r="C590" s="64" t="s">
        <v>1617</v>
      </c>
      <c r="D590" s="65">
        <v>1223.0</v>
      </c>
      <c r="E590" s="34">
        <v>46010</v>
      </c>
      <c r="F590" s="109" t="s">
        <v>1031</v>
      </c>
      <c r="G590" s="96">
        <v>2.87262971E8</v>
      </c>
      <c r="H590" s="71" t="s">
        <v>1798</v>
      </c>
      <c r="I590" s="16">
        <f>IF(@Table1[[#This Row],[Delivery Date]]="","NA",@Table1[[#This Row],[Delivery Date]]+30)</f>
        <v>46040.0</v>
      </c>
      <c r="J590" s="35" t="s">
        <f t="shared" ref="J590:J603" si="7">IF(I590&lt;$Q$1,"Overdue","Pending")</f>
        <v>28</v>
      </c>
      <c r="K590" s="128"/>
      <c r="L590" s="89"/>
      <c r="M590" s="89"/>
      <c r="N590" s="89"/>
    </row>
    <row r="591" customHeight="1" ht="14.0">
      <c r="A591" s="64" t="s">
        <v>1799</v>
      </c>
      <c r="B591" s="22" t="s">
        <v>1800</v>
      </c>
      <c r="C591" s="64" t="s">
        <v>1231</v>
      </c>
      <c r="D591" s="65">
        <v>527.0</v>
      </c>
      <c r="E591" s="34">
        <v>46007</v>
      </c>
      <c r="F591" s="109" t="s">
        <v>1031</v>
      </c>
      <c r="G591" s="96" t="s">
        <v>1576</v>
      </c>
      <c r="H591" s="71" t="s">
        <v>1801</v>
      </c>
      <c r="I591" s="16">
        <f>IF(@Table1[[#This Row],[Delivery Date]]="","NA",@Table1[[#This Row],[Delivery Date]]+30)</f>
        <v>46037.0</v>
      </c>
      <c r="J591" s="35" t="s">
        <f t="shared" si="7"/>
        <v>28</v>
      </c>
      <c r="K591" s="128"/>
      <c r="L591" s="89"/>
      <c r="M591" s="89"/>
      <c r="N591" s="89"/>
    </row>
    <row r="592" customHeight="1" ht="14.0">
      <c r="A592" s="64" t="s">
        <v>1802</v>
      </c>
      <c r="B592" s="22" t="s">
        <v>1803</v>
      </c>
      <c r="C592" s="64" t="s">
        <v>1231</v>
      </c>
      <c r="D592" s="65">
        <v>376.0</v>
      </c>
      <c r="E592" s="34">
        <v>46007</v>
      </c>
      <c r="F592" s="109" t="s">
        <v>1031</v>
      </c>
      <c r="G592" s="96" t="s">
        <v>1576</v>
      </c>
      <c r="H592" s="71" t="s">
        <v>1804</v>
      </c>
      <c r="I592" s="16">
        <f>IF(@Table1[[#This Row],[Delivery Date]]="","NA",@Table1[[#This Row],[Delivery Date]]+30)</f>
        <v>46037.0</v>
      </c>
      <c r="J592" s="35" t="s">
        <f t="shared" si="7"/>
        <v>28</v>
      </c>
      <c r="K592" s="128"/>
      <c r="L592" s="89"/>
      <c r="M592" s="89"/>
      <c r="N592" s="89"/>
    </row>
    <row r="593" customHeight="1" ht="14.0">
      <c r="A593" s="64" t="s">
        <v>1805</v>
      </c>
      <c r="B593" s="22" t="s">
        <v>1806</v>
      </c>
      <c r="C593" s="64" t="s">
        <v>1231</v>
      </c>
      <c r="D593" s="65">
        <v>874.0</v>
      </c>
      <c r="E593" s="34">
        <v>46007</v>
      </c>
      <c r="F593" s="109" t="s">
        <v>1031</v>
      </c>
      <c r="G593" s="96" t="s">
        <v>1576</v>
      </c>
      <c r="H593" s="71" t="s">
        <v>1807</v>
      </c>
      <c r="I593" s="16">
        <f>IF(@Table1[[#This Row],[Delivery Date]]="","NA",@Table1[[#This Row],[Delivery Date]]+30)</f>
        <v>46037.0</v>
      </c>
      <c r="J593" s="35" t="s">
        <f t="shared" si="7"/>
        <v>28</v>
      </c>
      <c r="K593" s="128"/>
      <c r="L593" s="89"/>
      <c r="M593" s="89"/>
      <c r="N593" s="89"/>
    </row>
    <row r="594" customHeight="1" ht="14.0">
      <c r="A594" s="64" t="s">
        <v>1808</v>
      </c>
      <c r="B594" s="22" t="s">
        <v>1809</v>
      </c>
      <c r="C594" s="64" t="s">
        <v>1039</v>
      </c>
      <c r="D594" s="65">
        <v>2676.0</v>
      </c>
      <c r="E594" s="34">
        <v>46014</v>
      </c>
      <c r="F594" s="109" t="s">
        <v>1031</v>
      </c>
      <c r="G594" s="96">
        <v>2.87262968E8</v>
      </c>
      <c r="H594" s="71" t="s">
        <v>1810</v>
      </c>
      <c r="I594" s="16">
        <f>IF(@Table1[[#This Row],[Delivery Date]]="","NA",@Table1[[#This Row],[Delivery Date]]+30)</f>
        <v>46044.0</v>
      </c>
      <c r="J594" s="35" t="s">
        <f t="shared" si="7"/>
        <v>28</v>
      </c>
      <c r="K594" s="128"/>
      <c r="L594" s="89"/>
      <c r="M594" s="89"/>
      <c r="N594" s="89"/>
    </row>
    <row r="595" customHeight="1" ht="14.0">
      <c r="A595" s="64" t="s">
        <v>1811</v>
      </c>
      <c r="B595" s="22" t="s">
        <v>1812</v>
      </c>
      <c r="C595" s="64" t="s">
        <v>1669</v>
      </c>
      <c r="D595" s="65">
        <v>390.0</v>
      </c>
      <c r="E595" s="34">
        <v>46015</v>
      </c>
      <c r="F595" s="109" t="s">
        <v>1031</v>
      </c>
      <c r="G595" s="96">
        <v>2.87262969E8</v>
      </c>
      <c r="H595" s="71" t="s">
        <v>1813</v>
      </c>
      <c r="I595" s="16">
        <f>IF(@Table1[[#This Row],[Delivery Date]]="","NA",@Table1[[#This Row],[Delivery Date]]+30)</f>
        <v>46045.0</v>
      </c>
      <c r="J595" s="35" t="s">
        <f t="shared" si="7"/>
        <v>28</v>
      </c>
      <c r="K595" s="128"/>
      <c r="L595" s="89"/>
      <c r="M595" s="89"/>
      <c r="N595" s="89"/>
    </row>
    <row r="596" customHeight="1" ht="14.0">
      <c r="A596" s="64" t="s">
        <v>1814</v>
      </c>
      <c r="B596" s="22" t="s">
        <v>1815</v>
      </c>
      <c r="C596" s="64" t="s">
        <v>1669</v>
      </c>
      <c r="D596" s="65">
        <v>174.0</v>
      </c>
      <c r="E596" s="34">
        <v>46014</v>
      </c>
      <c r="F596" s="109" t="s">
        <v>1031</v>
      </c>
      <c r="G596" s="96">
        <v>2.87262972E8</v>
      </c>
      <c r="H596" s="71" t="s">
        <v>1816</v>
      </c>
      <c r="I596" s="16">
        <f>IF(@Table1[[#This Row],[Delivery Date]]="","NA",@Table1[[#This Row],[Delivery Date]]+30)</f>
        <v>46044.0</v>
      </c>
      <c r="J596" s="35" t="s">
        <f t="shared" si="7"/>
        <v>28</v>
      </c>
      <c r="K596" s="128"/>
      <c r="L596" s="89"/>
      <c r="M596" s="89"/>
      <c r="N596" s="89"/>
    </row>
    <row r="597" customHeight="1" ht="14.0">
      <c r="A597" s="64" t="s">
        <v>1817</v>
      </c>
      <c r="B597" s="22" t="s">
        <v>1818</v>
      </c>
      <c r="C597" s="64" t="s">
        <v>1617</v>
      </c>
      <c r="D597" s="65">
        <v>425.0</v>
      </c>
      <c r="E597" s="34">
        <v>46011</v>
      </c>
      <c r="F597" s="109" t="s">
        <v>1031</v>
      </c>
      <c r="G597" s="96">
        <v>2.87262977E8</v>
      </c>
      <c r="H597" s="71" t="s">
        <v>1819</v>
      </c>
      <c r="I597" s="16">
        <f>IF(@Table1[[#This Row],[Delivery Date]]="","NA",@Table1[[#This Row],[Delivery Date]]+30)</f>
        <v>46041.0</v>
      </c>
      <c r="J597" s="35" t="s">
        <f t="shared" si="7"/>
        <v>28</v>
      </c>
      <c r="K597" s="128"/>
      <c r="L597" s="89"/>
      <c r="M597" s="89"/>
      <c r="N597" s="89"/>
    </row>
    <row r="598" customHeight="1" ht="14.0">
      <c r="A598" s="64" t="s">
        <v>1820</v>
      </c>
      <c r="B598" s="22" t="s">
        <v>1821</v>
      </c>
      <c r="C598" s="64" t="s">
        <v>1561</v>
      </c>
      <c r="D598" s="65">
        <v>324.0</v>
      </c>
      <c r="E598" s="34">
        <v>46012</v>
      </c>
      <c r="F598" s="109" t="s">
        <v>1031</v>
      </c>
      <c r="G598" s="96">
        <v>2.87262976E8</v>
      </c>
      <c r="H598" s="71" t="s">
        <v>1822</v>
      </c>
      <c r="I598" s="16">
        <f>IF(@Table1[[#This Row],[Delivery Date]]="","NA",@Table1[[#This Row],[Delivery Date]]+30)</f>
        <v>46042.0</v>
      </c>
      <c r="J598" s="35" t="s">
        <f t="shared" si="7"/>
        <v>28</v>
      </c>
      <c r="K598" s="128"/>
      <c r="L598" s="89"/>
      <c r="M598" s="89"/>
      <c r="N598" s="89"/>
    </row>
    <row r="599" customHeight="1" ht="14.0">
      <c r="A599" s="64" t="s">
        <v>1823</v>
      </c>
      <c r="B599" s="22" t="s">
        <v>1824</v>
      </c>
      <c r="C599" s="64" t="s">
        <v>1728</v>
      </c>
      <c r="D599" s="65">
        <v>420.0</v>
      </c>
      <c r="E599" s="34">
        <v>46014</v>
      </c>
      <c r="F599" s="109" t="s">
        <v>1031</v>
      </c>
      <c r="G599" s="96">
        <v>2.87262978E8</v>
      </c>
      <c r="H599" s="71" t="s">
        <v>1825</v>
      </c>
      <c r="I599" s="16">
        <f>IF(@Table1[[#This Row],[Delivery Date]]="","NA",@Table1[[#This Row],[Delivery Date]]+30)</f>
        <v>46044.0</v>
      </c>
      <c r="J599" s="35" t="s">
        <f t="shared" si="7"/>
        <v>28</v>
      </c>
      <c r="K599" s="128"/>
      <c r="L599" s="89"/>
      <c r="M599" s="89"/>
      <c r="N599" s="89"/>
    </row>
    <row r="600" customHeight="1" ht="14.0">
      <c r="A600" s="64" t="s">
        <v>1826</v>
      </c>
      <c r="B600" s="22" t="s">
        <v>1827</v>
      </c>
      <c r="C600" s="64" t="s">
        <v>1319</v>
      </c>
      <c r="D600" s="65">
        <v>441.0</v>
      </c>
      <c r="E600" s="34">
        <v>46014</v>
      </c>
      <c r="F600" s="109" t="s">
        <v>1031</v>
      </c>
      <c r="G600" s="96">
        <v>2.87262979E8</v>
      </c>
      <c r="H600" s="71" t="s">
        <v>1828</v>
      </c>
      <c r="I600" s="16">
        <f>IF(@Table1[[#This Row],[Delivery Date]]="","NA",@Table1[[#This Row],[Delivery Date]]+30)</f>
        <v>46044.0</v>
      </c>
      <c r="J600" s="35" t="s">
        <f t="shared" si="7"/>
        <v>28</v>
      </c>
      <c r="K600" s="128"/>
      <c r="L600" s="89"/>
      <c r="M600" s="89"/>
      <c r="N600" s="89"/>
    </row>
    <row r="601" customHeight="1" ht="14.0">
      <c r="A601" s="64" t="s">
        <v>1829</v>
      </c>
      <c r="B601" s="22" t="s">
        <v>1830</v>
      </c>
      <c r="C601" s="64" t="s">
        <v>1724</v>
      </c>
      <c r="D601" s="65">
        <v>154.0</v>
      </c>
      <c r="E601" s="34">
        <v>46014</v>
      </c>
      <c r="F601" s="109" t="s">
        <v>1031</v>
      </c>
      <c r="G601" s="96">
        <v>2.8726298E8</v>
      </c>
      <c r="H601" s="71" t="s">
        <v>1831</v>
      </c>
      <c r="I601" s="16">
        <f>IF(@Table1[[#This Row],[Delivery Date]]="","NA",@Table1[[#This Row],[Delivery Date]]+30)</f>
        <v>46044.0</v>
      </c>
      <c r="J601" s="35" t="s">
        <f t="shared" si="7"/>
        <v>28</v>
      </c>
      <c r="K601" s="128"/>
      <c r="L601" s="89"/>
      <c r="M601" s="89"/>
      <c r="N601" s="89"/>
    </row>
    <row r="602" customHeight="1" ht="14.0">
      <c r="A602" s="64" t="s">
        <v>1832</v>
      </c>
      <c r="B602" s="22" t="s">
        <v>1833</v>
      </c>
      <c r="C602" s="64" t="s">
        <v>141</v>
      </c>
      <c r="D602" s="65">
        <v>1001.0</v>
      </c>
      <c r="E602" s="34">
        <v>46012</v>
      </c>
      <c r="F602" s="109" t="s">
        <v>1031</v>
      </c>
      <c r="G602" s="96">
        <v>2.87262981E8</v>
      </c>
      <c r="H602" s="71" t="s">
        <v>1834</v>
      </c>
      <c r="I602" s="16">
        <f>IF(@Table1[[#This Row],[Delivery Date]]="","NA",@Table1[[#This Row],[Delivery Date]]+30)</f>
        <v>46042.0</v>
      </c>
      <c r="J602" s="35" t="s">
        <f t="shared" si="7"/>
        <v>28</v>
      </c>
      <c r="K602" s="128"/>
      <c r="L602" s="89"/>
      <c r="M602" s="89"/>
      <c r="N602" s="89"/>
    </row>
    <row r="603" customHeight="1" ht="14.0">
      <c r="A603" s="64" t="s">
        <v>1835</v>
      </c>
      <c r="B603" s="22" t="s">
        <v>1836</v>
      </c>
      <c r="C603" s="64" t="s">
        <v>1319</v>
      </c>
      <c r="D603" s="65">
        <v>993.0</v>
      </c>
      <c r="E603" s="34">
        <v>46014</v>
      </c>
      <c r="F603" s="109" t="s">
        <v>1031</v>
      </c>
      <c r="G603" s="96">
        <v>2.87262982E8</v>
      </c>
      <c r="H603" s="71" t="s">
        <v>1837</v>
      </c>
      <c r="I603" s="16">
        <f>IF(@Table1[[#This Row],[Delivery Date]]="","NA",@Table1[[#This Row],[Delivery Date]]+30)</f>
        <v>46044.0</v>
      </c>
      <c r="J603" s="35" t="s">
        <f t="shared" si="7"/>
        <v>28</v>
      </c>
      <c r="K603" s="128"/>
      <c r="L603" s="89"/>
      <c r="M603" s="89"/>
      <c r="N603" s="89"/>
    </row>
    <row r="604" customHeight="1" ht="14.0">
      <c r="A604" s="64" t="s">
        <v>1838</v>
      </c>
      <c r="B604" s="22" t="s">
        <v>1839</v>
      </c>
      <c r="C604" s="64" t="s">
        <v>1427</v>
      </c>
      <c r="D604" s="65">
        <v>739.0</v>
      </c>
      <c r="E604" s="34">
        <v>46018</v>
      </c>
      <c r="F604" s="109" t="s">
        <v>1031</v>
      </c>
      <c r="G604" s="96">
        <v>2.87264061E8</v>
      </c>
      <c r="H604" s="64" t="s">
        <v>1840</v>
      </c>
      <c r="I604" s="16">
        <f>IF(@Table1[[#This Row],[Delivery Date]]="","NA",@Table1[[#This Row],[Delivery Date]]+30)</f>
        <v>46048.0</v>
      </c>
      <c r="J604" s="35" t="s">
        <v>17</v>
      </c>
      <c r="K604" s="87"/>
      <c r="L604" s="89" t="s">
        <v>17</v>
      </c>
      <c r="M604" s="89"/>
      <c r="N604" s="89"/>
    </row>
    <row r="605" customHeight="1" ht="14.0">
      <c r="A605" s="64" t="s">
        <v>1841</v>
      </c>
      <c r="B605" s="22" t="s">
        <v>1842</v>
      </c>
      <c r="C605" s="64" t="s">
        <v>1047</v>
      </c>
      <c r="D605" s="65">
        <v>564.0</v>
      </c>
      <c r="E605" s="34">
        <v>46014</v>
      </c>
      <c r="F605" s="109" t="s">
        <v>1031</v>
      </c>
      <c r="G605" s="96">
        <v>2.87264063E8</v>
      </c>
      <c r="H605" s="71" t="s">
        <v>1843</v>
      </c>
      <c r="I605" s="16">
        <f>IF(@Table1[[#This Row],[Delivery Date]]="","NA",@Table1[[#This Row],[Delivery Date]]+30)</f>
        <v>46044.0</v>
      </c>
      <c r="J605" s="35" t="s">
        <f t="shared" ref="J605:J607" si="8">IF(I605&lt;$Q$1,"Overdue","Pending")</f>
        <v>28</v>
      </c>
      <c r="K605" s="87"/>
      <c r="L605" s="89"/>
      <c r="M605" s="89"/>
      <c r="N605" s="89"/>
    </row>
    <row r="606" customHeight="1" ht="14.0">
      <c r="A606" s="64" t="s">
        <v>1844</v>
      </c>
      <c r="B606" s="22" t="s">
        <v>1845</v>
      </c>
      <c r="C606" s="64" t="s">
        <v>1728</v>
      </c>
      <c r="D606" s="65">
        <v>360.0</v>
      </c>
      <c r="E606" s="34">
        <v>46014</v>
      </c>
      <c r="F606" s="109" t="s">
        <v>1031</v>
      </c>
      <c r="G606" s="96">
        <v>2.87264064E8</v>
      </c>
      <c r="H606" s="71" t="s">
        <v>1846</v>
      </c>
      <c r="I606" s="16">
        <f>IF(@Table1[[#This Row],[Delivery Date]]="","NA",@Table1[[#This Row],[Delivery Date]]+30)</f>
        <v>46044.0</v>
      </c>
      <c r="J606" s="35" t="s">
        <f t="shared" si="8"/>
        <v>28</v>
      </c>
      <c r="K606" s="87"/>
      <c r="L606" s="89"/>
      <c r="M606" s="89"/>
      <c r="N606" s="89"/>
    </row>
    <row r="607" customHeight="1" ht="14.0">
      <c r="A607" s="64" t="s">
        <v>1847</v>
      </c>
      <c r="B607" s="22" t="s">
        <v>1848</v>
      </c>
      <c r="C607" s="22" t="s">
        <v>1035</v>
      </c>
      <c r="D607" s="65">
        <v>1305.0</v>
      </c>
      <c r="E607" s="34">
        <v>46014</v>
      </c>
      <c r="F607" s="109" t="s">
        <v>1031</v>
      </c>
      <c r="G607" s="96">
        <v>2.87264074E8</v>
      </c>
      <c r="H607" s="64" t="s">
        <v>1849</v>
      </c>
      <c r="I607" s="16">
        <f>IF(@Table1[[#This Row],[Delivery Date]]="","NA",@Table1[[#This Row],[Delivery Date]]+30)</f>
        <v>46044.0</v>
      </c>
      <c r="J607" s="35" t="s">
        <f t="shared" si="8"/>
        <v>28</v>
      </c>
      <c r="K607" s="87"/>
      <c r="L607" s="89"/>
      <c r="M607" s="89"/>
      <c r="N607" s="89"/>
    </row>
    <row r="608" customHeight="1" ht="14.0">
      <c r="A608" s="64" t="s">
        <v>1850</v>
      </c>
      <c r="B608" s="22" t="s">
        <v>1851</v>
      </c>
      <c r="C608" s="64" t="s">
        <v>1717</v>
      </c>
      <c r="D608" s="65">
        <v>200.0</v>
      </c>
      <c r="E608" s="34">
        <v>46020</v>
      </c>
      <c r="F608" s="109" t="s">
        <v>1031</v>
      </c>
      <c r="G608" s="96">
        <v>2.99815562E8</v>
      </c>
      <c r="H608" s="64" t="s">
        <v>1852</v>
      </c>
      <c r="I608" s="16">
        <f>IF(@Table1[[#This Row],[Delivery Date]]="","NA",@Table1[[#This Row],[Delivery Date]]+30)</f>
        <v>46050.0</v>
      </c>
      <c r="J608" s="35" t="s">
        <v>17</v>
      </c>
      <c r="K608" s="87"/>
      <c r="L608" s="89" t="s">
        <v>17</v>
      </c>
      <c r="M608" s="89"/>
      <c r="N608" s="89"/>
    </row>
    <row r="609" customHeight="1" ht="14.0">
      <c r="A609" s="64" t="s">
        <v>1853</v>
      </c>
      <c r="B609" s="22" t="s">
        <v>1854</v>
      </c>
      <c r="C609" s="64" t="s">
        <v>1717</v>
      </c>
      <c r="D609" s="65">
        <v>1136.0</v>
      </c>
      <c r="E609" s="34">
        <v>46020</v>
      </c>
      <c r="F609" s="109" t="s">
        <v>1031</v>
      </c>
      <c r="G609" s="96">
        <v>2.99815562E8</v>
      </c>
      <c r="H609" s="64" t="s">
        <v>1855</v>
      </c>
      <c r="I609" s="16">
        <f>IF(@Table1[[#This Row],[Delivery Date]]="","NA",@Table1[[#This Row],[Delivery Date]]+30)</f>
        <v>46050.0</v>
      </c>
      <c r="J609" s="35" t="s">
        <v>17</v>
      </c>
      <c r="K609" s="87"/>
      <c r="L609" s="89" t="s">
        <v>17</v>
      </c>
      <c r="M609" s="89"/>
      <c r="N609" s="89"/>
    </row>
    <row r="610" customHeight="1" ht="14.0">
      <c r="A610" s="64" t="s">
        <v>1856</v>
      </c>
      <c r="B610" s="22" t="s">
        <v>1857</v>
      </c>
      <c r="C610" s="64" t="s">
        <v>1724</v>
      </c>
      <c r="D610" s="65">
        <v>333.0</v>
      </c>
      <c r="E610" s="34">
        <v>45993</v>
      </c>
      <c r="F610" s="109" t="s">
        <v>1031</v>
      </c>
      <c r="G610" s="96">
        <v>2.99815563E8</v>
      </c>
      <c r="H610" s="64" t="s">
        <v>1858</v>
      </c>
      <c r="I610" s="16">
        <f>IF(@Table1[[#This Row],[Delivery Date]]="","NA",@Table1[[#This Row],[Delivery Date]]+30)</f>
        <v>46023.0</v>
      </c>
      <c r="J610" s="35" t="s">
        <v>17</v>
      </c>
      <c r="K610" s="87"/>
      <c r="L610" s="89" t="s">
        <v>17</v>
      </c>
      <c r="M610" s="89"/>
      <c r="N610" s="89"/>
    </row>
    <row r="611" customHeight="1" ht="14.0">
      <c r="A611" s="64" t="s">
        <v>1859</v>
      </c>
      <c r="B611" s="22" t="s">
        <v>1860</v>
      </c>
      <c r="C611" s="64" t="s">
        <v>1047</v>
      </c>
      <c r="D611" s="65">
        <v>564.0</v>
      </c>
      <c r="E611" s="34">
        <v>46019</v>
      </c>
      <c r="F611" s="109" t="s">
        <v>1031</v>
      </c>
      <c r="G611" s="96">
        <v>2.99815564E8</v>
      </c>
      <c r="H611" s="71" t="s">
        <v>1861</v>
      </c>
      <c r="I611" s="16">
        <f>IF(@Table1[[#This Row],[Delivery Date]]="","NA",@Table1[[#This Row],[Delivery Date]]+30)</f>
        <v>46049.0</v>
      </c>
      <c r="J611" s="35" t="s">
        <v>17</v>
      </c>
      <c r="K611" s="87"/>
      <c r="L611" s="89" t="s">
        <v>17</v>
      </c>
      <c r="M611" s="89"/>
      <c r="N611" s="89"/>
    </row>
    <row r="612" customHeight="1" ht="14.0">
      <c r="A612" s="64" t="s">
        <v>1862</v>
      </c>
      <c r="B612" s="22" t="s">
        <v>1863</v>
      </c>
      <c r="C612" s="64" t="s">
        <v>1319</v>
      </c>
      <c r="D612" s="65">
        <v>1098.0</v>
      </c>
      <c r="E612" s="34">
        <v>46024</v>
      </c>
      <c r="F612" s="109" t="s">
        <v>1031</v>
      </c>
      <c r="G612" s="96">
        <v>2.99815642E8</v>
      </c>
      <c r="H612" s="64" t="s">
        <v>1864</v>
      </c>
      <c r="I612" s="16">
        <f>IF(@Table1[[#This Row],[Delivery Date]]="","NA",@Table1[[#This Row],[Delivery Date]]+30)</f>
        <v>46054.0</v>
      </c>
      <c r="J612" s="35" t="s">
        <v>17</v>
      </c>
      <c r="K612" s="87"/>
      <c r="L612" s="89" t="s">
        <v>17</v>
      </c>
      <c r="M612" s="89"/>
      <c r="N612" s="89"/>
    </row>
    <row r="613" customHeight="1" ht="14.0">
      <c r="A613" s="64" t="s">
        <v>1865</v>
      </c>
      <c r="B613" s="22" t="s">
        <v>1866</v>
      </c>
      <c r="C613" s="64" t="s">
        <v>1669</v>
      </c>
      <c r="D613" s="65">
        <v>1152.0</v>
      </c>
      <c r="E613" s="34">
        <v>46020</v>
      </c>
      <c r="F613" s="109" t="s">
        <v>1031</v>
      </c>
      <c r="G613" s="96">
        <v>2.99815566E8</v>
      </c>
      <c r="H613" s="64" t="s">
        <v>1867</v>
      </c>
      <c r="I613" s="16">
        <f>IF(@Table1[[#This Row],[Delivery Date]]="","NA",@Table1[[#This Row],[Delivery Date]]+30)</f>
        <v>46050.0</v>
      </c>
      <c r="J613" s="35" t="s">
        <v>17</v>
      </c>
      <c r="K613" s="87"/>
      <c r="L613" s="89" t="s">
        <v>738</v>
      </c>
      <c r="M613" s="89"/>
      <c r="N613" s="89"/>
    </row>
    <row r="614" customHeight="1" ht="14.0">
      <c r="A614" s="64" t="s">
        <v>1868</v>
      </c>
      <c r="B614" s="22" t="s">
        <v>1869</v>
      </c>
      <c r="C614" s="64" t="s">
        <v>1669</v>
      </c>
      <c r="D614" s="65">
        <v>234.0</v>
      </c>
      <c r="E614" s="34">
        <v>46020</v>
      </c>
      <c r="F614" s="109" t="s">
        <v>1031</v>
      </c>
      <c r="G614" s="96">
        <v>2.99815566E8</v>
      </c>
      <c r="H614" s="64" t="s">
        <v>1870</v>
      </c>
      <c r="I614" s="16">
        <f>IF(@Table1[[#This Row],[Delivery Date]]="","NA",@Table1[[#This Row],[Delivery Date]]+30)</f>
        <v>46050.0</v>
      </c>
      <c r="J614" s="35" t="s">
        <v>17</v>
      </c>
      <c r="K614" s="87"/>
      <c r="L614" s="89" t="s">
        <v>17</v>
      </c>
      <c r="M614" s="89"/>
      <c r="N614" s="89"/>
    </row>
    <row r="615" customHeight="1" ht="14.0">
      <c r="A615" s="64" t="s">
        <v>1871</v>
      </c>
      <c r="B615" s="22" t="s">
        <v>1872</v>
      </c>
      <c r="C615" s="64" t="s">
        <v>1561</v>
      </c>
      <c r="D615" s="65">
        <v>324.0</v>
      </c>
      <c r="E615" s="34">
        <v>46020</v>
      </c>
      <c r="F615" s="109" t="s">
        <v>1031</v>
      </c>
      <c r="G615" s="96">
        <v>2.99815568E8</v>
      </c>
      <c r="H615" s="64" t="s">
        <v>1873</v>
      </c>
      <c r="I615" s="16">
        <f>IF(@Table1[[#This Row],[Delivery Date]]="","NA",@Table1[[#This Row],[Delivery Date]]+30)</f>
        <v>46050.0</v>
      </c>
      <c r="J615" s="35" t="s">
        <f>IF(I615&lt;$Q$1,"Overdue","Pending")</f>
        <v>28</v>
      </c>
      <c r="K615" s="87"/>
      <c r="L615" s="89"/>
      <c r="M615" s="89"/>
      <c r="N615" s="89"/>
    </row>
    <row r="616" customHeight="1" ht="14.0">
      <c r="A616" s="64" t="s">
        <v>1874</v>
      </c>
      <c r="B616" s="22" t="s">
        <v>1875</v>
      </c>
      <c r="C616" s="64" t="s">
        <v>1561</v>
      </c>
      <c r="D616" s="65">
        <v>216.0</v>
      </c>
      <c r="E616" s="34">
        <v>46020</v>
      </c>
      <c r="F616" s="109" t="s">
        <v>1031</v>
      </c>
      <c r="G616" s="96">
        <v>2.99815568E8</v>
      </c>
      <c r="H616" s="64" t="s">
        <v>1876</v>
      </c>
      <c r="I616" s="16">
        <f>IF(@Table1[[#This Row],[Delivery Date]]="","NA",@Table1[[#This Row],[Delivery Date]]+30)</f>
        <v>46050.0</v>
      </c>
      <c r="J616" s="35" t="s">
        <v>17</v>
      </c>
      <c r="K616" s="87"/>
      <c r="L616" s="89" t="s">
        <v>17</v>
      </c>
      <c r="M616" s="89"/>
      <c r="N616" s="89"/>
    </row>
    <row r="617" customHeight="1" ht="14.0">
      <c r="A617" s="64" t="s">
        <v>1877</v>
      </c>
      <c r="B617" s="22" t="s">
        <v>1878</v>
      </c>
      <c r="C617" s="64" t="s">
        <v>1492</v>
      </c>
      <c r="D617" s="65">
        <v>2037.0</v>
      </c>
      <c r="E617" s="34">
        <v>46023</v>
      </c>
      <c r="F617" s="109" t="s">
        <v>1031</v>
      </c>
      <c r="G617" s="96">
        <v>2.99815572E8</v>
      </c>
      <c r="H617" s="64" t="s">
        <v>1879</v>
      </c>
      <c r="I617" s="16">
        <f>IF(@Table1[[#This Row],[Delivery Date]]="","NA",@Table1[[#This Row],[Delivery Date]]+30)</f>
        <v>46053.0</v>
      </c>
      <c r="J617" s="35" t="s">
        <v>17</v>
      </c>
      <c r="K617" s="87"/>
      <c r="L617" s="89" t="s">
        <v>17</v>
      </c>
      <c r="M617" s="89"/>
      <c r="N617" s="89"/>
    </row>
    <row r="618" customHeight="1" ht="14.0">
      <c r="A618" s="64" t="s">
        <v>1880</v>
      </c>
      <c r="B618" s="22" t="s">
        <v>1881</v>
      </c>
      <c r="C618" s="64" t="s">
        <v>1492</v>
      </c>
      <c r="D618" s="65">
        <v>765.0</v>
      </c>
      <c r="E618" s="34">
        <v>46023</v>
      </c>
      <c r="F618" s="109" t="s">
        <v>1031</v>
      </c>
      <c r="G618" s="96">
        <v>2.99815572E8</v>
      </c>
      <c r="H618" s="64" t="s">
        <v>1882</v>
      </c>
      <c r="I618" s="16">
        <f>IF(@Table1[[#This Row],[Delivery Date]]="","NA",@Table1[[#This Row],[Delivery Date]]+30)</f>
        <v>46053.0</v>
      </c>
      <c r="J618" s="35" t="s">
        <v>17</v>
      </c>
      <c r="K618" s="87"/>
      <c r="L618" s="89" t="s">
        <v>17</v>
      </c>
      <c r="M618" s="89"/>
      <c r="N618" s="89"/>
    </row>
    <row r="619" customHeight="1" ht="14.0">
      <c r="A619" s="64" t="s">
        <v>1883</v>
      </c>
      <c r="B619" s="22" t="s">
        <v>1884</v>
      </c>
      <c r="C619" s="64" t="s">
        <v>141</v>
      </c>
      <c r="D619" s="65">
        <v>1467.0</v>
      </c>
      <c r="E619" s="34">
        <v>46019</v>
      </c>
      <c r="F619" s="109" t="s">
        <v>1031</v>
      </c>
      <c r="G619" s="96">
        <v>2.99815574E8</v>
      </c>
      <c r="H619" s="64" t="s">
        <v>1885</v>
      </c>
      <c r="I619" s="16">
        <f>IF(@Table1[[#This Row],[Delivery Date]]="","NA",@Table1[[#This Row],[Delivery Date]]+30)</f>
        <v>46049.0</v>
      </c>
      <c r="J619" s="35" t="s">
        <v>17</v>
      </c>
      <c r="K619" s="87"/>
      <c r="L619" s="89" t="s">
        <v>17</v>
      </c>
      <c r="M619" s="89"/>
      <c r="N619" s="89"/>
    </row>
    <row r="620" customHeight="1" ht="14.0">
      <c r="A620" s="64" t="s">
        <v>1886</v>
      </c>
      <c r="B620" s="22" t="s">
        <v>1887</v>
      </c>
      <c r="C620" s="64" t="s">
        <v>1617</v>
      </c>
      <c r="D620" s="65">
        <v>436.0</v>
      </c>
      <c r="E620" s="34">
        <v>46023</v>
      </c>
      <c r="F620" s="109" t="s">
        <v>1031</v>
      </c>
      <c r="G620" s="96">
        <v>2.99815573E8</v>
      </c>
      <c r="H620" s="64" t="s">
        <v>1888</v>
      </c>
      <c r="I620" s="16">
        <f>IF(@Table1[[#This Row],[Delivery Date]]="","NA",@Table1[[#This Row],[Delivery Date]]+30)</f>
        <v>46053.0</v>
      </c>
      <c r="J620" s="35" t="s">
        <v>17</v>
      </c>
      <c r="K620" s="87"/>
      <c r="L620" s="89" t="s">
        <v>17</v>
      </c>
      <c r="M620" s="89"/>
      <c r="N620" s="89"/>
    </row>
    <row r="621" customHeight="1" ht="14.0">
      <c r="A621" s="64" t="s">
        <v>1889</v>
      </c>
      <c r="B621" s="22" t="s">
        <v>1890</v>
      </c>
      <c r="C621" s="64" t="s">
        <v>1617</v>
      </c>
      <c r="D621" s="65">
        <v>2017.0</v>
      </c>
      <c r="E621" s="34">
        <v>46023</v>
      </c>
      <c r="F621" s="109" t="s">
        <v>1031</v>
      </c>
      <c r="G621" s="96">
        <v>2.99815573E8</v>
      </c>
      <c r="H621" s="64" t="s">
        <v>1891</v>
      </c>
      <c r="I621" s="16">
        <f>IF(@Table1[[#This Row],[Delivery Date]]="","NA",@Table1[[#This Row],[Delivery Date]]+30)</f>
        <v>46053.0</v>
      </c>
      <c r="J621" s="35" t="s">
        <v>17</v>
      </c>
      <c r="K621" s="87"/>
      <c r="L621" s="89" t="s">
        <v>17</v>
      </c>
      <c r="M621" s="89"/>
      <c r="N621" s="89"/>
    </row>
    <row r="622" customHeight="1" ht="14.0">
      <c r="A622" s="64" t="s">
        <v>1892</v>
      </c>
      <c r="B622" s="22" t="s">
        <v>1893</v>
      </c>
      <c r="C622" s="64" t="s">
        <v>1617</v>
      </c>
      <c r="D622" s="65">
        <v>74.0</v>
      </c>
      <c r="E622" s="34">
        <v>46023</v>
      </c>
      <c r="F622" s="109" t="s">
        <v>1031</v>
      </c>
      <c r="G622" s="96">
        <v>2.99815573E8</v>
      </c>
      <c r="H622" s="64" t="s">
        <v>1894</v>
      </c>
      <c r="I622" s="16">
        <f>IF(@Table1[[#This Row],[Delivery Date]]="","NA",@Table1[[#This Row],[Delivery Date]]+30)</f>
        <v>46053.0</v>
      </c>
      <c r="J622" s="35" t="s">
        <f>IF(I622&lt;$Q$1,"Overdue","Pending")</f>
        <v>28</v>
      </c>
      <c r="K622" s="87"/>
      <c r="L622" s="89"/>
      <c r="M622" s="89"/>
      <c r="N622" s="89"/>
    </row>
    <row r="623" customHeight="1" ht="14.0">
      <c r="A623" s="64" t="s">
        <v>1895</v>
      </c>
      <c r="B623" s="22" t="s">
        <v>1896</v>
      </c>
      <c r="C623" s="64" t="s">
        <v>1288</v>
      </c>
      <c r="D623" s="65">
        <v>1378.0</v>
      </c>
      <c r="E623" s="34">
        <v>46023</v>
      </c>
      <c r="F623" s="109" t="s">
        <v>1031</v>
      </c>
      <c r="G623" s="96">
        <v>2.99815575E8</v>
      </c>
      <c r="H623" s="64" t="s">
        <v>1897</v>
      </c>
      <c r="I623" s="16">
        <f>IF(@Table1[[#This Row],[Delivery Date]]="","NA",@Table1[[#This Row],[Delivery Date]]+30)</f>
        <v>46053.0</v>
      </c>
      <c r="J623" s="35" t="s">
        <v>17</v>
      </c>
      <c r="K623" s="87"/>
      <c r="L623" s="89" t="s">
        <v>17</v>
      </c>
      <c r="M623" s="89"/>
      <c r="N623" s="89"/>
    </row>
    <row r="624" customHeight="1" ht="14.0">
      <c r="A624" s="64" t="s">
        <v>1898</v>
      </c>
      <c r="B624" s="22" t="s">
        <v>1899</v>
      </c>
      <c r="C624" s="64" t="s">
        <v>1427</v>
      </c>
      <c r="D624" s="65">
        <v>504.0</v>
      </c>
      <c r="E624" s="34">
        <v>46020</v>
      </c>
      <c r="F624" s="109" t="s">
        <v>1031</v>
      </c>
      <c r="G624" s="96">
        <v>2.99815577E8</v>
      </c>
      <c r="H624" s="64" t="s">
        <v>1900</v>
      </c>
      <c r="I624" s="16">
        <f>IF(@Table1[[#This Row],[Delivery Date]]="","NA",@Table1[[#This Row],[Delivery Date]]+30)</f>
        <v>46050.0</v>
      </c>
      <c r="J624" s="35" t="s">
        <v>17</v>
      </c>
      <c r="K624" s="87"/>
      <c r="L624" s="89" t="s">
        <v>17</v>
      </c>
      <c r="M624" s="89"/>
      <c r="N624" s="89"/>
    </row>
    <row r="625" customHeight="1" ht="14.0">
      <c r="A625" s="64" t="s">
        <v>1901</v>
      </c>
      <c r="B625" s="22" t="s">
        <v>1902</v>
      </c>
      <c r="C625" s="64" t="s">
        <v>1427</v>
      </c>
      <c r="D625" s="65">
        <v>548.0</v>
      </c>
      <c r="E625" s="34">
        <v>46020</v>
      </c>
      <c r="F625" s="109" t="s">
        <v>1031</v>
      </c>
      <c r="G625" s="96">
        <v>2.99815577E8</v>
      </c>
      <c r="H625" s="64" t="s">
        <v>1903</v>
      </c>
      <c r="I625" s="16">
        <f>IF(@Table1[[#This Row],[Delivery Date]]="","NA",@Table1[[#This Row],[Delivery Date]]+30)</f>
        <v>46050.0</v>
      </c>
      <c r="J625" s="35" t="s">
        <v>17</v>
      </c>
      <c r="K625" s="133" t="s">
        <v>1904</v>
      </c>
      <c r="L625" s="89" t="s">
        <v>17</v>
      </c>
      <c r="M625" s="89"/>
      <c r="N625" s="89"/>
    </row>
    <row r="626" customHeight="1" ht="14.0">
      <c r="A626" s="64" t="s">
        <v>1905</v>
      </c>
      <c r="B626" s="22" t="s">
        <v>1906</v>
      </c>
      <c r="C626" s="64" t="s">
        <v>1047</v>
      </c>
      <c r="D626" s="65">
        <v>600.0</v>
      </c>
      <c r="E626" s="34">
        <v>46019</v>
      </c>
      <c r="F626" s="109" t="s">
        <v>1031</v>
      </c>
      <c r="G626" s="96">
        <v>2.99815578E8</v>
      </c>
      <c r="H626" s="64" t="s">
        <v>1907</v>
      </c>
      <c r="I626" s="16">
        <f>IF(@Table1[[#This Row],[Delivery Date]]="","NA",@Table1[[#This Row],[Delivery Date]]+30)</f>
        <v>46049.0</v>
      </c>
      <c r="J626" s="35" t="s">
        <v>17</v>
      </c>
      <c r="K626" s="87"/>
      <c r="L626" s="89" t="s">
        <v>17</v>
      </c>
      <c r="M626" s="89"/>
      <c r="N626" s="89"/>
    </row>
    <row r="627" customHeight="1" ht="14.0">
      <c r="A627" s="64" t="s">
        <v>1908</v>
      </c>
      <c r="B627" s="22" t="s">
        <v>1909</v>
      </c>
      <c r="C627" s="64" t="s">
        <v>1728</v>
      </c>
      <c r="D627" s="65">
        <v>684.0</v>
      </c>
      <c r="E627" s="34">
        <v>46023</v>
      </c>
      <c r="F627" s="109" t="s">
        <v>1031</v>
      </c>
      <c r="G627" s="96">
        <v>2.99815598E8</v>
      </c>
      <c r="H627" s="64" t="s">
        <v>1910</v>
      </c>
      <c r="I627" s="16">
        <f>IF(@Table1[[#This Row],[Delivery Date]]="","NA",@Table1[[#This Row],[Delivery Date]]+30)</f>
        <v>46053.0</v>
      </c>
      <c r="J627" s="35" t="s">
        <v>17</v>
      </c>
      <c r="K627" s="87"/>
      <c r="L627" s="89" t="s">
        <v>17</v>
      </c>
      <c r="M627" s="89"/>
      <c r="N627" s="89"/>
    </row>
    <row r="628" customHeight="1" ht="14.0">
      <c r="A628" s="64" t="s">
        <v>1911</v>
      </c>
      <c r="B628" s="22" t="s">
        <v>1912</v>
      </c>
      <c r="C628" s="64" t="s">
        <v>1039</v>
      </c>
      <c r="D628" s="65">
        <v>180.0</v>
      </c>
      <c r="E628" s="34">
        <v>46021</v>
      </c>
      <c r="F628" s="109" t="s">
        <v>1031</v>
      </c>
      <c r="G628" s="96">
        <v>2.99815599E8</v>
      </c>
      <c r="H628" s="64" t="s">
        <v>1913</v>
      </c>
      <c r="I628" s="16">
        <f>IF(@Table1[[#This Row],[Delivery Date]]="","NA",@Table1[[#This Row],[Delivery Date]]+30)</f>
        <v>46051.0</v>
      </c>
      <c r="J628" s="35" t="s">
        <v>17</v>
      </c>
      <c r="K628" s="87"/>
      <c r="L628" s="89" t="s">
        <v>17</v>
      </c>
      <c r="M628" s="89"/>
      <c r="N628" s="89"/>
    </row>
    <row r="629" customHeight="1" ht="14.0">
      <c r="A629" s="64" t="s">
        <v>1914</v>
      </c>
      <c r="B629" s="22" t="s">
        <v>1915</v>
      </c>
      <c r="C629" s="64" t="s">
        <v>1492</v>
      </c>
      <c r="D629" s="65">
        <v>720.0</v>
      </c>
      <c r="E629" s="34">
        <v>46026</v>
      </c>
      <c r="F629" s="109" t="s">
        <v>1031</v>
      </c>
      <c r="G629" s="96">
        <v>2.99815645E8</v>
      </c>
      <c r="H629" s="64" t="s">
        <v>1916</v>
      </c>
      <c r="I629" s="16">
        <f>IF(@Table1[[#This Row],[Delivery Date]]="","NA",@Table1[[#This Row],[Delivery Date]]+30)</f>
        <v>46056.0</v>
      </c>
      <c r="J629" s="35" t="s">
        <v>17</v>
      </c>
      <c r="K629" s="87"/>
      <c r="L629" s="89" t="s">
        <v>738</v>
      </c>
      <c r="M629" s="89"/>
      <c r="N629" s="89"/>
    </row>
    <row r="630" customHeight="1" ht="14.0">
      <c r="A630" s="64" t="s">
        <v>1917</v>
      </c>
      <c r="B630" s="22" t="s">
        <v>1918</v>
      </c>
      <c r="C630" s="64" t="s">
        <v>1231</v>
      </c>
      <c r="D630" s="65">
        <v>467.0</v>
      </c>
      <c r="E630" s="34">
        <v>46022</v>
      </c>
      <c r="F630" s="109" t="s">
        <v>1031</v>
      </c>
      <c r="G630" s="96" t="s">
        <v>1919</v>
      </c>
      <c r="H630" s="134" t="s">
        <v>1920</v>
      </c>
      <c r="I630" s="16">
        <f>IF(@Table1[[#This Row],[Delivery Date]]="","NA",@Table1[[#This Row],[Delivery Date]]+30)</f>
        <v>46052.0</v>
      </c>
      <c r="J630" s="35" t="s">
        <v>17</v>
      </c>
      <c r="K630" s="87"/>
      <c r="L630" s="89" t="s">
        <v>17</v>
      </c>
      <c r="M630" s="89"/>
      <c r="N630" s="89"/>
    </row>
    <row r="631" customHeight="1" ht="14.0">
      <c r="A631" s="64" t="s">
        <v>1921</v>
      </c>
      <c r="B631" s="22" t="s">
        <v>1922</v>
      </c>
      <c r="C631" s="64" t="s">
        <v>1047</v>
      </c>
      <c r="D631" s="65">
        <v>1668.0</v>
      </c>
      <c r="E631" s="34">
        <v>46023</v>
      </c>
      <c r="F631" s="109" t="s">
        <v>1031</v>
      </c>
      <c r="G631" s="96">
        <v>2.86911151E8</v>
      </c>
      <c r="H631" s="64" t="s">
        <v>1923</v>
      </c>
      <c r="I631" s="16">
        <f>IF(@Table1[[#This Row],[Delivery Date]]="","NA",@Table1[[#This Row],[Delivery Date]]+30)</f>
        <v>46053.0</v>
      </c>
      <c r="J631" s="35" t="s">
        <v>17</v>
      </c>
      <c r="K631" s="87"/>
      <c r="L631" s="89" t="s">
        <v>17</v>
      </c>
      <c r="M631" s="89"/>
      <c r="N631" s="89"/>
    </row>
    <row r="632" customHeight="1" ht="14.0">
      <c r="A632" s="64" t="s">
        <v>1924</v>
      </c>
      <c r="B632" s="22" t="s">
        <v>1925</v>
      </c>
      <c r="C632" s="64" t="s">
        <v>1650</v>
      </c>
      <c r="D632" s="65">
        <v>1260.0</v>
      </c>
      <c r="E632" s="34">
        <v>46025</v>
      </c>
      <c r="F632" s="109" t="s">
        <v>1031</v>
      </c>
      <c r="G632" s="96">
        <v>2.99815644E8</v>
      </c>
      <c r="H632" s="64" t="s">
        <v>1926</v>
      </c>
      <c r="I632" s="16">
        <f>IF(@Table1[[#This Row],[Delivery Date]]="","NA",@Table1[[#This Row],[Delivery Date]]+30)</f>
        <v>46055.0</v>
      </c>
      <c r="J632" s="35" t="s">
        <v>17</v>
      </c>
      <c r="K632" s="87"/>
      <c r="L632" s="89" t="s">
        <v>17</v>
      </c>
      <c r="M632" s="89"/>
      <c r="N632" s="89"/>
    </row>
    <row r="633" customHeight="1" ht="14.0">
      <c r="A633" s="64" t="s">
        <v>1927</v>
      </c>
      <c r="B633" s="22" t="s">
        <v>1928</v>
      </c>
      <c r="C633" s="64" t="s">
        <v>1284</v>
      </c>
      <c r="D633" s="65">
        <v>2103.0</v>
      </c>
      <c r="E633" s="34">
        <v>46024</v>
      </c>
      <c r="F633" s="109" t="s">
        <v>1031</v>
      </c>
      <c r="G633" s="96">
        <v>2.86911153E8</v>
      </c>
      <c r="H633" s="64" t="s">
        <v>1929</v>
      </c>
      <c r="I633" s="16">
        <f>IF(@Table1[[#This Row],[Delivery Date]]="","NA",@Table1[[#This Row],[Delivery Date]]+30)</f>
        <v>46054.0</v>
      </c>
      <c r="J633" s="35" t="s">
        <v>17</v>
      </c>
      <c r="K633" s="87"/>
      <c r="L633" s="89" t="s">
        <v>738</v>
      </c>
      <c r="M633" s="89"/>
      <c r="N633" s="89"/>
    </row>
    <row r="634" customHeight="1" ht="14.0">
      <c r="A634" s="64" t="s">
        <v>1930</v>
      </c>
      <c r="B634" s="22" t="s">
        <v>1931</v>
      </c>
      <c r="C634" s="64" t="s">
        <v>1492</v>
      </c>
      <c r="D634" s="65">
        <v>672.0</v>
      </c>
      <c r="E634" s="34">
        <v>45661</v>
      </c>
      <c r="F634" s="109" t="s">
        <v>1031</v>
      </c>
      <c r="G634" s="96">
        <v>2.99815645E8</v>
      </c>
      <c r="H634" s="64" t="s">
        <v>1932</v>
      </c>
      <c r="I634" s="16">
        <f>IF(@Table1[[#This Row],[Delivery Date]]="","NA",@Table1[[#This Row],[Delivery Date]]+30)</f>
        <v>45691.0</v>
      </c>
      <c r="J634" s="35" t="s">
        <v>17</v>
      </c>
      <c r="K634" s="87" t="s">
        <v>1933</v>
      </c>
      <c r="L634" s="135" t="s">
        <v>1916</v>
      </c>
      <c r="M634" s="89" t="s">
        <v>738</v>
      </c>
      <c r="N634" s="89"/>
    </row>
    <row r="635" customHeight="1" ht="14.0">
      <c r="A635" s="64" t="s">
        <v>1934</v>
      </c>
      <c r="B635" s="22" t="s">
        <v>1935</v>
      </c>
      <c r="C635" s="64" t="s">
        <v>1561</v>
      </c>
      <c r="D635" s="65">
        <v>360.0</v>
      </c>
      <c r="E635" s="34">
        <v>46028</v>
      </c>
      <c r="F635" s="109" t="s">
        <v>1031</v>
      </c>
      <c r="G635" s="96">
        <v>2.9981565E8</v>
      </c>
      <c r="H635" s="64" t="s">
        <v>1936</v>
      </c>
      <c r="I635" s="16">
        <f>IF(@Table1[[#This Row],[Delivery Date]]="","NA",@Table1[[#This Row],[Delivery Date]]+30)</f>
        <v>46058.0</v>
      </c>
      <c r="J635" s="35" t="s">
        <v>17</v>
      </c>
      <c r="K635" s="87"/>
      <c r="L635" s="89" t="s">
        <v>738</v>
      </c>
      <c r="M635" s="89"/>
      <c r="N635" s="89"/>
    </row>
    <row r="636" customHeight="1" ht="14.0">
      <c r="A636" s="64" t="s">
        <v>1937</v>
      </c>
      <c r="B636" s="22" t="s">
        <v>1938</v>
      </c>
      <c r="C636" s="64" t="s">
        <v>1047</v>
      </c>
      <c r="D636" s="65">
        <v>624.0</v>
      </c>
      <c r="E636" s="34">
        <v>46023</v>
      </c>
      <c r="F636" s="109" t="s">
        <v>1031</v>
      </c>
      <c r="G636" s="96">
        <v>2.86911151E8</v>
      </c>
      <c r="H636" s="64" t="s">
        <v>1939</v>
      </c>
      <c r="I636" s="16">
        <f>IF(@Table1[[#This Row],[Delivery Date]]="","NA",@Table1[[#This Row],[Delivery Date]]+30)</f>
        <v>46053.0</v>
      </c>
      <c r="J636" s="35" t="s">
        <v>17</v>
      </c>
      <c r="K636" s="87"/>
      <c r="L636" s="89" t="s">
        <v>17</v>
      </c>
      <c r="M636" s="89"/>
      <c r="N636" s="89"/>
    </row>
    <row r="637" customHeight="1" ht="14.0">
      <c r="A637" s="64" t="s">
        <v>1940</v>
      </c>
      <c r="B637" s="22" t="s">
        <v>1941</v>
      </c>
      <c r="C637" s="64" t="s">
        <v>1427</v>
      </c>
      <c r="D637" s="65">
        <v>1098.0</v>
      </c>
      <c r="E637" s="34">
        <v>46024</v>
      </c>
      <c r="F637" s="109" t="s">
        <v>1031</v>
      </c>
      <c r="G637" s="96">
        <v>2.86911152E8</v>
      </c>
      <c r="H637" s="64" t="s">
        <v>1942</v>
      </c>
      <c r="I637" s="16">
        <f>IF(@Table1[[#This Row],[Delivery Date]]="","NA",@Table1[[#This Row],[Delivery Date]]+30)</f>
        <v>46054.0</v>
      </c>
      <c r="J637" s="35" t="s">
        <v>17</v>
      </c>
      <c r="K637" s="87"/>
      <c r="L637" s="89" t="s">
        <v>17</v>
      </c>
      <c r="M637" s="89"/>
      <c r="N637" s="89"/>
    </row>
    <row r="638" customHeight="1" ht="14.0">
      <c r="A638" s="64" t="s">
        <v>1943</v>
      </c>
      <c r="B638" s="22" t="s">
        <v>1944</v>
      </c>
      <c r="C638" s="64" t="s">
        <v>1724</v>
      </c>
      <c r="D638" s="65">
        <v>470.0</v>
      </c>
      <c r="E638" s="34">
        <v>46025</v>
      </c>
      <c r="F638" s="109" t="s">
        <v>1031</v>
      </c>
      <c r="G638" s="96">
        <v>2.99815649E8</v>
      </c>
      <c r="H638" s="64" t="s">
        <v>1945</v>
      </c>
      <c r="I638" s="16">
        <f>IF(@Table1[[#This Row],[Delivery Date]]="","NA",@Table1[[#This Row],[Delivery Date]]+30)</f>
        <v>46055.0</v>
      </c>
      <c r="J638" s="35" t="s">
        <v>17</v>
      </c>
      <c r="K638" s="87"/>
      <c r="L638" s="89" t="s">
        <v>738</v>
      </c>
      <c r="M638" s="89"/>
      <c r="N638" s="89"/>
    </row>
    <row r="639" customHeight="1" ht="14.0">
      <c r="A639" s="64" t="s">
        <v>1946</v>
      </c>
      <c r="B639" s="22" t="s">
        <v>1947</v>
      </c>
      <c r="C639" s="64" t="s">
        <v>1231</v>
      </c>
      <c r="D639" s="65">
        <v>1729.0</v>
      </c>
      <c r="E639" s="34">
        <v>46022</v>
      </c>
      <c r="F639" s="109" t="s">
        <v>1031</v>
      </c>
      <c r="G639" s="96" t="s">
        <v>1919</v>
      </c>
      <c r="H639" s="64" t="s">
        <v>1948</v>
      </c>
      <c r="I639" s="16">
        <f>IF(@Table1[[#This Row],[Delivery Date]]="","NA",@Table1[[#This Row],[Delivery Date]]+30)</f>
        <v>46052.0</v>
      </c>
      <c r="J639" s="35" t="s">
        <v>17</v>
      </c>
      <c r="K639" s="87"/>
      <c r="L639" s="89" t="s">
        <v>17</v>
      </c>
      <c r="M639" s="89"/>
      <c r="N639" s="89"/>
    </row>
    <row r="640" customHeight="1" ht="14.0">
      <c r="A640" s="64" t="s">
        <v>1949</v>
      </c>
      <c r="B640" s="22" t="s">
        <v>1950</v>
      </c>
      <c r="C640" s="64" t="s">
        <v>1231</v>
      </c>
      <c r="D640" s="65">
        <v>233.0</v>
      </c>
      <c r="E640" s="34">
        <v>46022</v>
      </c>
      <c r="F640" s="109" t="s">
        <v>1031</v>
      </c>
      <c r="G640" s="96" t="s">
        <v>1919</v>
      </c>
      <c r="H640" s="64" t="s">
        <v>1951</v>
      </c>
      <c r="I640" s="16">
        <f>IF(@Table1[[#This Row],[Delivery Date]]="","NA",@Table1[[#This Row],[Delivery Date]]+30)</f>
        <v>46052.0</v>
      </c>
      <c r="J640" s="35" t="s">
        <v>17</v>
      </c>
      <c r="K640" s="87"/>
      <c r="L640" s="89" t="s">
        <v>17</v>
      </c>
      <c r="M640" s="89"/>
      <c r="N640" s="89"/>
    </row>
    <row r="641" customHeight="1" ht="14.0">
      <c r="A641" s="64" t="s">
        <v>1952</v>
      </c>
      <c r="B641" s="22" t="s">
        <v>1953</v>
      </c>
      <c r="C641" s="64" t="s">
        <v>1039</v>
      </c>
      <c r="D641" s="65">
        <v>4500.0</v>
      </c>
      <c r="E641" s="34">
        <v>46025</v>
      </c>
      <c r="F641" s="109" t="s">
        <v>1031</v>
      </c>
      <c r="G641" s="96">
        <v>2.86911163E8</v>
      </c>
      <c r="H641" s="64" t="s">
        <v>1954</v>
      </c>
      <c r="I641" s="16">
        <f>IF(@Table1[[#This Row],[Delivery Date]]="","NA",@Table1[[#This Row],[Delivery Date]]+30)</f>
        <v>46055.0</v>
      </c>
      <c r="J641" s="35" t="s">
        <v>17</v>
      </c>
      <c r="K641" s="87"/>
      <c r="L641" s="89" t="s">
        <v>17</v>
      </c>
      <c r="M641" s="89"/>
      <c r="N641" s="89"/>
    </row>
    <row r="642" customHeight="1" ht="14.0">
      <c r="A642" s="64" t="s">
        <v>1955</v>
      </c>
      <c r="B642" s="22" t="s">
        <v>1956</v>
      </c>
      <c r="C642" s="64" t="s">
        <v>1039</v>
      </c>
      <c r="D642" s="65">
        <v>3072.0</v>
      </c>
      <c r="E642" s="34">
        <v>46025</v>
      </c>
      <c r="F642" s="109" t="s">
        <v>1031</v>
      </c>
      <c r="G642" s="96">
        <v>2.86911163E8</v>
      </c>
      <c r="H642" s="64" t="s">
        <v>1957</v>
      </c>
      <c r="I642" s="16">
        <f>IF(@Table1[[#This Row],[Delivery Date]]="","NA",@Table1[[#This Row],[Delivery Date]]+30)</f>
        <v>46055.0</v>
      </c>
      <c r="J642" s="35" t="s">
        <v>17</v>
      </c>
      <c r="K642" s="87"/>
      <c r="L642" s="89" t="s">
        <v>17</v>
      </c>
      <c r="M642" s="89"/>
      <c r="N642" s="89"/>
    </row>
    <row r="643" customHeight="1" ht="14.0">
      <c r="A643" s="64" t="s">
        <v>1958</v>
      </c>
      <c r="B643" s="22" t="s">
        <v>1959</v>
      </c>
      <c r="C643" s="64" t="s">
        <v>1717</v>
      </c>
      <c r="D643" s="65">
        <v>1293.0</v>
      </c>
      <c r="E643" s="34">
        <v>45661</v>
      </c>
      <c r="F643" s="109" t="s">
        <v>1031</v>
      </c>
      <c r="G643" s="96">
        <v>2.86911161E8</v>
      </c>
      <c r="H643" s="64" t="s">
        <v>1960</v>
      </c>
      <c r="I643" s="16">
        <f>IF(@Table1[[#This Row],[Delivery Date]]="","NA",@Table1[[#This Row],[Delivery Date]]+30)</f>
        <v>45691.0</v>
      </c>
      <c r="J643" s="35" t="s">
        <v>17</v>
      </c>
      <c r="K643" s="87"/>
      <c r="L643" s="89" t="s">
        <v>738</v>
      </c>
      <c r="M643" s="89"/>
      <c r="N643" s="89"/>
    </row>
    <row r="644" customHeight="1" ht="14.0">
      <c r="A644" s="64" t="s">
        <v>1961</v>
      </c>
      <c r="B644" s="22" t="s">
        <v>1962</v>
      </c>
      <c r="C644" s="64" t="s">
        <v>1650</v>
      </c>
      <c r="D644" s="65">
        <v>1284.0</v>
      </c>
      <c r="E644" s="34">
        <v>46026</v>
      </c>
      <c r="F644" s="109" t="s">
        <v>1031</v>
      </c>
      <c r="G644" s="96">
        <v>2.86911164E8</v>
      </c>
      <c r="H644" s="64" t="s">
        <v>1963</v>
      </c>
      <c r="I644" s="16">
        <f>IF(@Table1[[#This Row],[Delivery Date]]="","NA",@Table1[[#This Row],[Delivery Date]]+30)</f>
        <v>46056.0</v>
      </c>
      <c r="J644" s="35" t="s">
        <v>17</v>
      </c>
      <c r="K644" s="87"/>
      <c r="L644" s="89" t="s">
        <v>738</v>
      </c>
      <c r="M644" s="89"/>
      <c r="N644" s="89"/>
    </row>
    <row r="645" customHeight="1" ht="14.0">
      <c r="A645" s="64" t="s">
        <v>1964</v>
      </c>
      <c r="B645" s="22" t="s">
        <v>1965</v>
      </c>
      <c r="C645" s="22" t="s">
        <v>1035</v>
      </c>
      <c r="D645" s="65">
        <v>1572.0</v>
      </c>
      <c r="E645" s="34">
        <v>46024</v>
      </c>
      <c r="F645" s="109" t="s">
        <v>1031</v>
      </c>
      <c r="G645" s="96">
        <v>2.8691117E8</v>
      </c>
      <c r="H645" s="64" t="s">
        <v>1966</v>
      </c>
      <c r="I645" s="16">
        <f>IF(@Table1[[#This Row],[Delivery Date]]="","NA",@Table1[[#This Row],[Delivery Date]]+30)</f>
        <v>46054.0</v>
      </c>
      <c r="J645" s="35" t="s">
        <v>17</v>
      </c>
      <c r="K645" s="87"/>
      <c r="L645" s="89" t="s">
        <v>17</v>
      </c>
      <c r="M645" s="89"/>
      <c r="N645" s="89"/>
    </row>
    <row r="646" customHeight="1" ht="14.0">
      <c r="A646" s="64" t="s">
        <v>1967</v>
      </c>
      <c r="B646" s="22" t="s">
        <v>1968</v>
      </c>
      <c r="C646" s="64" t="s">
        <v>1617</v>
      </c>
      <c r="D646" s="65">
        <v>1769.0</v>
      </c>
      <c r="E646" s="34">
        <v>46027</v>
      </c>
      <c r="F646" s="109" t="s">
        <v>1031</v>
      </c>
      <c r="G646" s="96">
        <v>2.86911194E8</v>
      </c>
      <c r="H646" s="64" t="s">
        <v>1969</v>
      </c>
      <c r="I646" s="16">
        <f>IF(@Table1[[#This Row],[Delivery Date]]="","NA",@Table1[[#This Row],[Delivery Date]]+30)</f>
        <v>46057.0</v>
      </c>
      <c r="J646" s="35" t="s">
        <v>17</v>
      </c>
      <c r="K646" s="87"/>
      <c r="L646" s="89" t="s">
        <v>738</v>
      </c>
      <c r="M646" s="89"/>
      <c r="N646" s="89"/>
    </row>
    <row r="647" customHeight="1" ht="14.0">
      <c r="A647" s="64" t="s">
        <v>1970</v>
      </c>
      <c r="B647" s="22" t="s">
        <v>1971</v>
      </c>
      <c r="C647" s="64" t="s">
        <v>1284</v>
      </c>
      <c r="D647" s="65">
        <v>1281.0</v>
      </c>
      <c r="E647" s="34">
        <v>46025</v>
      </c>
      <c r="F647" s="109" t="s">
        <v>1031</v>
      </c>
      <c r="G647" s="96">
        <v>2.86911169E8</v>
      </c>
      <c r="H647" s="64" t="s">
        <v>1972</v>
      </c>
      <c r="I647" s="16">
        <f>IF(@Table1[[#This Row],[Delivery Date]]="","NA",@Table1[[#This Row],[Delivery Date]]+30)</f>
        <v>46055.0</v>
      </c>
      <c r="J647" s="35" t="s">
        <v>17</v>
      </c>
      <c r="K647" s="87"/>
      <c r="L647" s="89" t="s">
        <v>738</v>
      </c>
      <c r="M647" s="89"/>
      <c r="N647" s="89"/>
    </row>
    <row r="648" customHeight="1" ht="14.0">
      <c r="A648" s="64" t="s">
        <v>1973</v>
      </c>
      <c r="B648" s="22" t="s">
        <v>1974</v>
      </c>
      <c r="C648" s="64" t="s">
        <v>1724</v>
      </c>
      <c r="D648" s="65">
        <v>884.0</v>
      </c>
      <c r="E648" s="34">
        <v>46028</v>
      </c>
      <c r="F648" s="109" t="s">
        <v>1031</v>
      </c>
      <c r="G648" s="96">
        <v>2.86911205E8</v>
      </c>
      <c r="H648" s="64" t="s">
        <v>1975</v>
      </c>
      <c r="I648" s="16">
        <f>IF(@Table1[[#This Row],[Delivery Date]]="","NA",@Table1[[#This Row],[Delivery Date]]+30)</f>
        <v>46058.0</v>
      </c>
      <c r="J648" s="35" t="s">
        <v>17</v>
      </c>
      <c r="K648" s="87"/>
      <c r="L648" s="89" t="s">
        <v>738</v>
      </c>
      <c r="M648" s="89"/>
      <c r="N648" s="89"/>
    </row>
    <row r="649" customHeight="1" ht="14.0">
      <c r="A649" s="64" t="s">
        <v>1976</v>
      </c>
      <c r="B649" s="22" t="s">
        <v>1977</v>
      </c>
      <c r="C649" s="64" t="s">
        <v>1728</v>
      </c>
      <c r="D649" s="65">
        <v>36.0</v>
      </c>
      <c r="E649" s="34">
        <v>46035</v>
      </c>
      <c r="F649" s="109" t="s">
        <v>1031</v>
      </c>
      <c r="G649" s="96">
        <v>2.86911287E8</v>
      </c>
      <c r="H649" s="64" t="s">
        <v>1978</v>
      </c>
      <c r="I649" s="16">
        <f>IF(@Table1[[#This Row],[Delivery Date]]="","NA",@Table1[[#This Row],[Delivery Date]]+30)</f>
        <v>46065.0</v>
      </c>
      <c r="J649" s="35" t="s">
        <v>17</v>
      </c>
      <c r="K649" s="87"/>
      <c r="L649" s="89" t="s">
        <v>738</v>
      </c>
      <c r="M649" s="89"/>
      <c r="N649" s="89"/>
    </row>
    <row r="650" customHeight="1" ht="14.0">
      <c r="A650" s="64" t="s">
        <v>1979</v>
      </c>
      <c r="B650" s="22" t="s">
        <v>1980</v>
      </c>
      <c r="C650" s="64" t="s">
        <v>1717</v>
      </c>
      <c r="D650" s="65">
        <v>144.0</v>
      </c>
      <c r="E650" s="34">
        <v>46028</v>
      </c>
      <c r="F650" s="109" t="s">
        <v>1031</v>
      </c>
      <c r="G650" s="96">
        <v>2.86911197E8</v>
      </c>
      <c r="H650" s="64" t="s">
        <v>1981</v>
      </c>
      <c r="I650" s="16">
        <f>IF(@Table1[[#This Row],[Delivery Date]]="","NA",@Table1[[#This Row],[Delivery Date]]+30)</f>
        <v>46058.0</v>
      </c>
      <c r="J650" s="35" t="s">
        <v>17</v>
      </c>
      <c r="K650" s="87"/>
      <c r="L650" s="89" t="s">
        <v>738</v>
      </c>
      <c r="M650" s="89"/>
      <c r="N650" s="89"/>
    </row>
    <row r="651" customHeight="1" ht="14.0">
      <c r="A651" s="64" t="s">
        <v>1982</v>
      </c>
      <c r="B651" s="22" t="s">
        <v>1983</v>
      </c>
      <c r="C651" s="64" t="s">
        <v>1724</v>
      </c>
      <c r="D651" s="65">
        <v>27.0</v>
      </c>
      <c r="E651" s="34">
        <v>46028</v>
      </c>
      <c r="F651" s="109" t="s">
        <v>1031</v>
      </c>
      <c r="G651" s="96">
        <v>2.86911205E8</v>
      </c>
      <c r="H651" s="64" t="s">
        <v>1984</v>
      </c>
      <c r="I651" s="16">
        <f>IF(@Table1[[#This Row],[Delivery Date]]="","NA",@Table1[[#This Row],[Delivery Date]]+30)</f>
        <v>46058.0</v>
      </c>
      <c r="J651" s="35" t="s">
        <v>17</v>
      </c>
      <c r="K651" s="87"/>
      <c r="L651" s="89" t="s">
        <v>738</v>
      </c>
      <c r="M651" s="89"/>
      <c r="N651" s="89"/>
    </row>
    <row r="652" customHeight="1" ht="14.0">
      <c r="A652" s="64" t="s">
        <v>1985</v>
      </c>
      <c r="B652" s="22" t="s">
        <v>1986</v>
      </c>
      <c r="C652" s="64" t="s">
        <v>1717</v>
      </c>
      <c r="D652" s="65">
        <v>57.0</v>
      </c>
      <c r="E652" s="34">
        <v>46028</v>
      </c>
      <c r="F652" s="109" t="s">
        <v>1031</v>
      </c>
      <c r="G652" s="96">
        <v>2.86911197E8</v>
      </c>
      <c r="H652" s="64" t="s">
        <v>1987</v>
      </c>
      <c r="I652" s="16">
        <f>IF(@Table1[[#This Row],[Delivery Date]]="","NA",@Table1[[#This Row],[Delivery Date]]+30)</f>
        <v>46058.0</v>
      </c>
      <c r="J652" s="35" t="s">
        <v>17</v>
      </c>
      <c r="K652" s="87"/>
      <c r="L652" s="89" t="s">
        <v>738</v>
      </c>
      <c r="M652" s="89"/>
      <c r="N652" s="89"/>
    </row>
    <row r="653" customHeight="1" ht="14.0">
      <c r="A653" s="64" t="s">
        <v>1988</v>
      </c>
      <c r="B653" s="22" t="s">
        <v>1989</v>
      </c>
      <c r="C653" s="64" t="s">
        <v>1319</v>
      </c>
      <c r="D653" s="65">
        <v>36.0</v>
      </c>
      <c r="E653" s="136">
        <v>46028</v>
      </c>
      <c r="F653" s="109" t="s">
        <v>1031</v>
      </c>
      <c r="G653" s="96">
        <v>2.86911206E8</v>
      </c>
      <c r="H653" s="64" t="s">
        <v>1990</v>
      </c>
      <c r="I653" s="16">
        <f>IF(@Table1[[#This Row],[Delivery Date]]="","NA",@Table1[[#This Row],[Delivery Date]]+30)</f>
        <v>46058.0</v>
      </c>
      <c r="J653" s="35" t="s">
        <v>17</v>
      </c>
      <c r="K653" s="87"/>
      <c r="L653" s="89" t="s">
        <v>738</v>
      </c>
      <c r="M653" s="89"/>
      <c r="N653" s="89"/>
    </row>
    <row r="654" customHeight="1" ht="14.0">
      <c r="A654" s="64" t="s">
        <v>1991</v>
      </c>
      <c r="B654" s="22" t="s">
        <v>1992</v>
      </c>
      <c r="C654" s="64" t="s">
        <v>1319</v>
      </c>
      <c r="D654" s="65">
        <v>36.0</v>
      </c>
      <c r="E654" s="34">
        <v>46028</v>
      </c>
      <c r="F654" s="109" t="s">
        <v>1031</v>
      </c>
      <c r="G654" s="96">
        <v>2.86911206E8</v>
      </c>
      <c r="H654" s="64" t="s">
        <v>1993</v>
      </c>
      <c r="I654" s="16">
        <f>IF(@Table1[[#This Row],[Delivery Date]]="","NA",@Table1[[#This Row],[Delivery Date]]+30)</f>
        <v>46058.0</v>
      </c>
      <c r="J654" s="35" t="s">
        <v>17</v>
      </c>
      <c r="K654" s="87"/>
      <c r="L654" s="89" t="s">
        <v>738</v>
      </c>
      <c r="M654" s="89"/>
      <c r="N654" s="89"/>
    </row>
    <row r="655" customHeight="1" ht="14.0">
      <c r="A655" s="64" t="s">
        <v>1994</v>
      </c>
      <c r="B655" s="22" t="s">
        <v>1995</v>
      </c>
      <c r="C655" s="64" t="s">
        <v>1617</v>
      </c>
      <c r="D655" s="65">
        <v>907.0</v>
      </c>
      <c r="E655" s="34">
        <v>46027</v>
      </c>
      <c r="F655" s="109" t="s">
        <v>1031</v>
      </c>
      <c r="G655" s="96">
        <v>2.86911208E8</v>
      </c>
      <c r="H655" s="64" t="s">
        <v>1996</v>
      </c>
      <c r="I655" s="16">
        <f>IF(@Table1[[#This Row],[Delivery Date]]="","NA",@Table1[[#This Row],[Delivery Date]]+30)</f>
        <v>46057.0</v>
      </c>
      <c r="J655" s="35" t="s">
        <v>17</v>
      </c>
      <c r="K655" s="87"/>
      <c r="L655" s="89" t="s">
        <v>738</v>
      </c>
      <c r="M655" s="89"/>
      <c r="N655" s="89"/>
    </row>
    <row r="656" customHeight="1" ht="14.0">
      <c r="A656" s="64" t="s">
        <v>1997</v>
      </c>
      <c r="B656" s="22" t="s">
        <v>1998</v>
      </c>
      <c r="C656" s="64" t="s">
        <v>1231</v>
      </c>
      <c r="D656" s="65">
        <v>764.0</v>
      </c>
      <c r="E656" s="34">
        <v>46030</v>
      </c>
      <c r="F656" s="109" t="s">
        <v>1031</v>
      </c>
      <c r="G656" s="96" t="s">
        <v>1919</v>
      </c>
      <c r="H656" s="64" t="s">
        <v>1999</v>
      </c>
      <c r="I656" s="16">
        <f>IF(@Table1[[#This Row],[Delivery Date]]="","NA",@Table1[[#This Row],[Delivery Date]]+30)</f>
        <v>46060.0</v>
      </c>
      <c r="J656" s="35" t="s">
        <v>17</v>
      </c>
      <c r="K656" s="87"/>
      <c r="L656" s="89" t="s">
        <v>738</v>
      </c>
      <c r="M656" s="89"/>
      <c r="N656" s="89"/>
    </row>
    <row r="657" customHeight="1" ht="14.0">
      <c r="A657" s="64" t="s">
        <v>2000</v>
      </c>
      <c r="B657" s="22" t="s">
        <v>2001</v>
      </c>
      <c r="C657" s="64" t="s">
        <v>1231</v>
      </c>
      <c r="D657" s="65">
        <v>423.0</v>
      </c>
      <c r="E657" s="34">
        <v>46030</v>
      </c>
      <c r="F657" s="109" t="s">
        <v>1031</v>
      </c>
      <c r="G657" s="96" t="s">
        <v>1919</v>
      </c>
      <c r="H657" s="64" t="s">
        <v>2002</v>
      </c>
      <c r="I657" s="16">
        <f>IF(@Table1[[#This Row],[Delivery Date]]="","NA",@Table1[[#This Row],[Delivery Date]]+30)</f>
        <v>46060.0</v>
      </c>
      <c r="J657" s="35" t="s">
        <v>17</v>
      </c>
      <c r="K657" s="87"/>
      <c r="L657" s="89" t="s">
        <v>738</v>
      </c>
      <c r="M657" s="89"/>
      <c r="N657" s="89"/>
    </row>
    <row r="658" customHeight="1" ht="14.0">
      <c r="A658" s="64" t="s">
        <v>2003</v>
      </c>
      <c r="B658" s="22" t="s">
        <v>2004</v>
      </c>
      <c r="C658" s="64" t="s">
        <v>1231</v>
      </c>
      <c r="D658" s="65">
        <v>1057.0</v>
      </c>
      <c r="E658" s="34">
        <v>46030</v>
      </c>
      <c r="F658" s="109" t="s">
        <v>1031</v>
      </c>
      <c r="G658" s="96" t="s">
        <v>1919</v>
      </c>
      <c r="H658" s="64" t="s">
        <v>2005</v>
      </c>
      <c r="I658" s="16">
        <f>IF(@Table1[[#This Row],[Delivery Date]]="","NA",@Table1[[#This Row],[Delivery Date]]+30)</f>
        <v>46060.0</v>
      </c>
      <c r="J658" s="35" t="s">
        <v>17</v>
      </c>
      <c r="K658" s="87"/>
      <c r="L658" s="89" t="s">
        <v>738</v>
      </c>
      <c r="M658" s="89"/>
      <c r="N658" s="89"/>
    </row>
    <row r="659" customHeight="1" ht="14.0">
      <c r="A659" s="64" t="s">
        <v>2006</v>
      </c>
      <c r="B659" s="22" t="s">
        <v>2007</v>
      </c>
      <c r="C659" s="64" t="s">
        <v>1231</v>
      </c>
      <c r="D659" s="65">
        <v>1879.0</v>
      </c>
      <c r="E659" s="34">
        <v>46030</v>
      </c>
      <c r="F659" s="109" t="s">
        <v>1031</v>
      </c>
      <c r="G659" s="96" t="s">
        <v>1919</v>
      </c>
      <c r="H659" s="64" t="s">
        <v>2008</v>
      </c>
      <c r="I659" s="16">
        <f>IF(@Table1[[#This Row],[Delivery Date]]="","NA",@Table1[[#This Row],[Delivery Date]]+30)</f>
        <v>46060.0</v>
      </c>
      <c r="J659" s="35" t="s">
        <v>17</v>
      </c>
      <c r="K659" s="87"/>
      <c r="L659" s="89" t="s">
        <v>738</v>
      </c>
      <c r="M659" s="89"/>
      <c r="N659" s="89"/>
    </row>
    <row r="660" customHeight="1" ht="14.0">
      <c r="A660" s="64" t="s">
        <v>2009</v>
      </c>
      <c r="B660" s="22" t="s">
        <v>2010</v>
      </c>
      <c r="C660" s="64" t="s">
        <v>1650</v>
      </c>
      <c r="D660" s="65">
        <v>2088.0</v>
      </c>
      <c r="E660" s="34">
        <v>46040</v>
      </c>
      <c r="F660" s="109" t="s">
        <v>1031</v>
      </c>
      <c r="G660" s="96">
        <v>2.86911314E8</v>
      </c>
      <c r="H660" s="64" t="s">
        <v>2011</v>
      </c>
      <c r="I660" s="16">
        <f>IF(@Table1[[#This Row],[Delivery Date]]="","NA",@Table1[[#This Row],[Delivery Date]]+30)</f>
        <v>46070.0</v>
      </c>
      <c r="J660" s="35" t="s">
        <v>17</v>
      </c>
      <c r="K660" s="87"/>
      <c r="L660" s="89" t="s">
        <v>738</v>
      </c>
      <c r="M660" s="89"/>
      <c r="N660" s="89"/>
    </row>
    <row r="661" customHeight="1" ht="14.0">
      <c r="A661" s="64" t="s">
        <v>2012</v>
      </c>
      <c r="B661" s="22" t="s">
        <v>2013</v>
      </c>
      <c r="C661" s="64" t="s">
        <v>1284</v>
      </c>
      <c r="D661" s="65">
        <v>961.0</v>
      </c>
      <c r="E661" s="34">
        <v>46032</v>
      </c>
      <c r="F661" s="109" t="s">
        <v>1031</v>
      </c>
      <c r="G661" s="96">
        <v>2.8691127E8</v>
      </c>
      <c r="H661" s="64" t="s">
        <v>2014</v>
      </c>
      <c r="I661" s="16">
        <f>IF(@Table1[[#This Row],[Delivery Date]]="","NA",@Table1[[#This Row],[Delivery Date]]+30)</f>
        <v>46062.0</v>
      </c>
      <c r="J661" s="35" t="s">
        <v>17</v>
      </c>
      <c r="K661" s="87"/>
      <c r="L661" s="89" t="s">
        <v>738</v>
      </c>
      <c r="M661" s="89"/>
      <c r="N661" s="89"/>
    </row>
    <row r="662" customHeight="1" ht="14.0">
      <c r="A662" s="64" t="s">
        <v>2015</v>
      </c>
      <c r="B662" s="22" t="s">
        <v>2016</v>
      </c>
      <c r="C662" s="64" t="s">
        <v>1047</v>
      </c>
      <c r="D662" s="65">
        <v>1452.0</v>
      </c>
      <c r="E662" s="34">
        <v>46032</v>
      </c>
      <c r="F662" s="109" t="s">
        <v>1031</v>
      </c>
      <c r="G662" s="96">
        <v>2.86911288E8</v>
      </c>
      <c r="H662" s="64" t="s">
        <v>2017</v>
      </c>
      <c r="I662" s="16">
        <f>IF(@Table1[[#This Row],[Delivery Date]]="","NA",@Table1[[#This Row],[Delivery Date]]+30)</f>
        <v>46062.0</v>
      </c>
      <c r="J662" s="35" t="s">
        <v>17</v>
      </c>
      <c r="K662" s="87"/>
      <c r="L662" s="89" t="s">
        <v>738</v>
      </c>
      <c r="M662" s="89"/>
      <c r="N662" s="89"/>
    </row>
    <row r="663" customHeight="1" ht="14.0">
      <c r="A663" s="64" t="s">
        <v>2018</v>
      </c>
      <c r="B663" s="22" t="s">
        <v>2019</v>
      </c>
      <c r="C663" s="64" t="s">
        <v>1319</v>
      </c>
      <c r="D663" s="65">
        <v>1239.0</v>
      </c>
      <c r="E663" s="34">
        <v>46035</v>
      </c>
      <c r="F663" s="109" t="s">
        <v>1031</v>
      </c>
      <c r="G663" s="96">
        <v>2.86911254E8</v>
      </c>
      <c r="H663" s="64" t="s">
        <v>2020</v>
      </c>
      <c r="I663" s="16">
        <f>IF(@Table1[[#This Row],[Delivery Date]]="","NA",@Table1[[#This Row],[Delivery Date]]+30)</f>
        <v>46065.0</v>
      </c>
      <c r="J663" s="35" t="s">
        <v>17</v>
      </c>
      <c r="K663" s="87"/>
      <c r="L663" s="89" t="s">
        <v>738</v>
      </c>
      <c r="M663" s="89"/>
      <c r="N663" s="89"/>
    </row>
    <row r="664" customHeight="1" ht="14.0">
      <c r="A664" s="64" t="s">
        <v>2021</v>
      </c>
      <c r="B664" s="22" t="s">
        <v>2022</v>
      </c>
      <c r="C664" s="64" t="s">
        <v>1319</v>
      </c>
      <c r="D664" s="65">
        <v>2484.0</v>
      </c>
      <c r="E664" s="34">
        <v>46040</v>
      </c>
      <c r="F664" s="109" t="s">
        <v>1031</v>
      </c>
      <c r="G664" s="96">
        <v>2.86911318E8</v>
      </c>
      <c r="H664" s="64" t="s">
        <v>2023</v>
      </c>
      <c r="I664" s="16">
        <f>IF(@Table1[[#This Row],[Delivery Date]]="","NA",@Table1[[#This Row],[Delivery Date]]+30)</f>
        <v>46070.0</v>
      </c>
      <c r="J664" s="35" t="s">
        <v>17</v>
      </c>
      <c r="K664" s="87"/>
      <c r="L664" s="89" t="s">
        <v>738</v>
      </c>
      <c r="M664" s="89"/>
      <c r="N664" s="89"/>
    </row>
    <row r="665" customHeight="1" ht="14.0">
      <c r="A665" s="64" t="s">
        <v>2024</v>
      </c>
      <c r="B665" s="22" t="s">
        <v>2025</v>
      </c>
      <c r="C665" s="64" t="s">
        <v>1669</v>
      </c>
      <c r="D665" s="65">
        <v>1065.0</v>
      </c>
      <c r="E665" s="34">
        <v>46033</v>
      </c>
      <c r="F665" s="109" t="s">
        <v>1031</v>
      </c>
      <c r="G665" s="96">
        <v>2.86911276E8</v>
      </c>
      <c r="H665" s="64" t="s">
        <v>2026</v>
      </c>
      <c r="I665" s="16">
        <f>IF(@Table1[[#This Row],[Delivery Date]]="","NA",@Table1[[#This Row],[Delivery Date]]+30)</f>
        <v>46063.0</v>
      </c>
      <c r="J665" s="35" t="s">
        <v>17</v>
      </c>
      <c r="K665" s="87"/>
      <c r="L665" s="89" t="s">
        <v>738</v>
      </c>
      <c r="M665" s="89"/>
      <c r="N665" s="89"/>
    </row>
    <row r="666" customHeight="1" ht="14.0">
      <c r="A666" s="64" t="s">
        <v>2027</v>
      </c>
      <c r="B666" s="22" t="s">
        <v>2028</v>
      </c>
      <c r="C666" s="64" t="s">
        <v>1669</v>
      </c>
      <c r="D666" s="65">
        <v>1434.0</v>
      </c>
      <c r="E666" s="34">
        <v>46033</v>
      </c>
      <c r="F666" s="109" t="s">
        <v>1031</v>
      </c>
      <c r="G666" s="96">
        <v>2.86911276E8</v>
      </c>
      <c r="H666" s="64" t="s">
        <v>2029</v>
      </c>
      <c r="I666" s="16">
        <f>IF(@Table1[[#This Row],[Delivery Date]]="","NA",@Table1[[#This Row],[Delivery Date]]+30)</f>
        <v>46063.0</v>
      </c>
      <c r="J666" s="35" t="s">
        <v>17</v>
      </c>
      <c r="K666" s="87"/>
      <c r="L666" s="89" t="s">
        <v>738</v>
      </c>
      <c r="M666" s="89"/>
      <c r="N666" s="89"/>
    </row>
    <row r="667" customHeight="1" ht="14.0">
      <c r="A667" s="64" t="s">
        <v>2030</v>
      </c>
      <c r="B667" s="22" t="s">
        <v>2031</v>
      </c>
      <c r="C667" s="64" t="s">
        <v>1561</v>
      </c>
      <c r="D667" s="65">
        <v>324.0</v>
      </c>
      <c r="E667" s="34">
        <v>46036</v>
      </c>
      <c r="F667" s="109" t="s">
        <v>1031</v>
      </c>
      <c r="G667" s="96">
        <v>2.86911272E8</v>
      </c>
      <c r="H667" s="64" t="s">
        <v>2032</v>
      </c>
      <c r="I667" s="16">
        <f>IF(@Table1[[#This Row],[Delivery Date]]="","NA",@Table1[[#This Row],[Delivery Date]]+30)</f>
        <v>46066.0</v>
      </c>
      <c r="J667" s="35" t="s">
        <v>17</v>
      </c>
      <c r="K667" s="87"/>
      <c r="L667" s="89" t="s">
        <v>738</v>
      </c>
      <c r="M667" s="89"/>
      <c r="N667" s="89"/>
    </row>
    <row r="668" customHeight="1" ht="14.0">
      <c r="A668" s="64" t="s">
        <v>2033</v>
      </c>
      <c r="B668" s="22" t="s">
        <v>2034</v>
      </c>
      <c r="C668" s="64" t="s">
        <v>1039</v>
      </c>
      <c r="D668" s="65">
        <v>2340.0</v>
      </c>
      <c r="E668" s="34">
        <v>46040</v>
      </c>
      <c r="F668" s="109" t="s">
        <v>1031</v>
      </c>
      <c r="G668" s="96">
        <v>2.86911271E8</v>
      </c>
      <c r="H668" s="64" t="s">
        <v>2035</v>
      </c>
      <c r="I668" s="16">
        <f>IF(@Table1[[#This Row],[Delivery Date]]="","NA",@Table1[[#This Row],[Delivery Date]]+30)</f>
        <v>46070.0</v>
      </c>
      <c r="J668" s="35" t="s">
        <v>17</v>
      </c>
      <c r="K668" s="87"/>
      <c r="L668" s="89" t="s">
        <v>738</v>
      </c>
      <c r="M668" s="89"/>
      <c r="N668" s="89"/>
    </row>
    <row r="669" customHeight="1" ht="14.0">
      <c r="A669" s="64" t="s">
        <v>2036</v>
      </c>
      <c r="B669" s="22" t="s">
        <v>2037</v>
      </c>
      <c r="C669" s="64" t="s">
        <v>1039</v>
      </c>
      <c r="D669" s="65">
        <v>3384.0</v>
      </c>
      <c r="E669" s="34">
        <v>46037</v>
      </c>
      <c r="F669" s="109" t="s">
        <v>1031</v>
      </c>
      <c r="G669" s="96">
        <v>2.86911317E8</v>
      </c>
      <c r="H669" s="64" t="s">
        <v>2038</v>
      </c>
      <c r="I669" s="16">
        <f>IF(@Table1[[#This Row],[Delivery Date]]="","NA",@Table1[[#This Row],[Delivery Date]]+30)</f>
        <v>46067.0</v>
      </c>
      <c r="J669" s="35" t="s">
        <v>17</v>
      </c>
      <c r="K669" s="87"/>
      <c r="L669" s="89" t="s">
        <v>738</v>
      </c>
      <c r="M669" s="89"/>
      <c r="N669" s="89"/>
    </row>
    <row r="670" customHeight="1" ht="14.0">
      <c r="A670" s="64" t="s">
        <v>2039</v>
      </c>
      <c r="B670" s="22" t="s">
        <v>2040</v>
      </c>
      <c r="C670" s="64" t="s">
        <v>1492</v>
      </c>
      <c r="D670" s="65">
        <v>1338.0</v>
      </c>
      <c r="E670" s="34">
        <v>46040</v>
      </c>
      <c r="F670" s="109" t="s">
        <v>1031</v>
      </c>
      <c r="G670" s="96">
        <v>2.86911269E8</v>
      </c>
      <c r="H670" s="64" t="s">
        <v>2041</v>
      </c>
      <c r="I670" s="16">
        <f>IF(@Table1[[#This Row],[Delivery Date]]="","NA",@Table1[[#This Row],[Delivery Date]]+30)</f>
        <v>46070.0</v>
      </c>
      <c r="J670" s="35" t="s">
        <v>17</v>
      </c>
      <c r="K670" s="87"/>
      <c r="L670" s="89" t="s">
        <v>17</v>
      </c>
      <c r="M670" s="89"/>
      <c r="N670" s="89"/>
    </row>
    <row r="671" customHeight="1" ht="14.0">
      <c r="A671" s="64" t="s">
        <v>2042</v>
      </c>
      <c r="B671" s="22" t="s">
        <v>2043</v>
      </c>
      <c r="C671" s="64" t="s">
        <v>1728</v>
      </c>
      <c r="D671" s="65">
        <v>804.0</v>
      </c>
      <c r="E671" s="34">
        <v>46035</v>
      </c>
      <c r="F671" s="109" t="s">
        <v>1031</v>
      </c>
      <c r="G671" s="96">
        <v>2.86911287E8</v>
      </c>
      <c r="H671" s="64" t="s">
        <v>2044</v>
      </c>
      <c r="I671" s="16">
        <f>IF(@Table1[[#This Row],[Delivery Date]]="","NA",@Table1[[#This Row],[Delivery Date]]+30)</f>
        <v>46065.0</v>
      </c>
      <c r="J671" s="35" t="s">
        <v>17</v>
      </c>
      <c r="K671" s="87"/>
      <c r="L671" s="89" t="s">
        <v>738</v>
      </c>
      <c r="M671" s="89"/>
      <c r="N671" s="89"/>
    </row>
    <row r="672" customHeight="1" ht="14.0">
      <c r="A672" s="64" t="s">
        <v>2045</v>
      </c>
      <c r="B672" s="22" t="s">
        <v>2046</v>
      </c>
      <c r="C672" s="22" t="s">
        <v>1035</v>
      </c>
      <c r="D672" s="65">
        <v>2609.0</v>
      </c>
      <c r="E672" s="34">
        <v>46032</v>
      </c>
      <c r="F672" s="109" t="s">
        <v>1031</v>
      </c>
      <c r="G672" s="96">
        <v>2.86911255E8</v>
      </c>
      <c r="H672" s="64" t="s">
        <v>2047</v>
      </c>
      <c r="I672" s="16">
        <f>IF(@Table1[[#This Row],[Delivery Date]]="","NA",@Table1[[#This Row],[Delivery Date]]+30)</f>
        <v>46062.0</v>
      </c>
      <c r="J672" s="35" t="s">
        <v>17</v>
      </c>
      <c r="K672" s="87"/>
      <c r="L672" s="89" t="s">
        <v>738</v>
      </c>
      <c r="M672" s="89"/>
      <c r="N672" s="89"/>
    </row>
    <row r="673" customHeight="1" ht="14.0">
      <c r="A673" s="64" t="s">
        <v>2048</v>
      </c>
      <c r="B673" s="22" t="s">
        <v>2049</v>
      </c>
      <c r="C673" s="64" t="s">
        <v>1617</v>
      </c>
      <c r="D673" s="65">
        <v>253.0</v>
      </c>
      <c r="E673" s="34">
        <v>46035</v>
      </c>
      <c r="F673" s="109" t="s">
        <v>1031</v>
      </c>
      <c r="G673" s="96">
        <v>2.86911289E8</v>
      </c>
      <c r="H673" s="64" t="s">
        <v>2050</v>
      </c>
      <c r="I673" s="16">
        <f>IF(@Table1[[#This Row],[Delivery Date]]="","NA",@Table1[[#This Row],[Delivery Date]]+30)</f>
        <v>46065.0</v>
      </c>
      <c r="J673" s="35" t="s">
        <v>17</v>
      </c>
      <c r="K673" s="87"/>
      <c r="L673" s="89" t="s">
        <v>738</v>
      </c>
      <c r="M673" s="89"/>
      <c r="N673" s="89"/>
    </row>
    <row r="674" customHeight="1" ht="14.0">
      <c r="A674" s="64" t="s">
        <v>2051</v>
      </c>
      <c r="B674" s="22" t="s">
        <v>2052</v>
      </c>
      <c r="C674" s="64" t="s">
        <v>141</v>
      </c>
      <c r="D674" s="65">
        <v>1271.0</v>
      </c>
      <c r="E674" s="34">
        <v>46031</v>
      </c>
      <c r="F674" s="109" t="s">
        <v>1031</v>
      </c>
      <c r="G674" s="96">
        <v>2.86911277E8</v>
      </c>
      <c r="H674" s="64" t="s">
        <v>2053</v>
      </c>
      <c r="I674" s="16">
        <f>IF(@Table1[[#This Row],[Delivery Date]]="","NA",@Table1[[#This Row],[Delivery Date]]+30)</f>
        <v>46061.0</v>
      </c>
      <c r="J674" s="35" t="s">
        <v>17</v>
      </c>
      <c r="K674" s="87"/>
      <c r="L674" s="89" t="s">
        <v>738</v>
      </c>
      <c r="M674" s="89"/>
      <c r="N674" s="89"/>
    </row>
    <row r="675" customHeight="1" ht="14.0">
      <c r="A675" s="64" t="s">
        <v>2054</v>
      </c>
      <c r="B675" s="22" t="s">
        <v>2055</v>
      </c>
      <c r="C675" s="64" t="s">
        <v>141</v>
      </c>
      <c r="D675" s="65">
        <v>1502.0</v>
      </c>
      <c r="E675" s="34">
        <v>46038</v>
      </c>
      <c r="F675" s="109" t="s">
        <v>1031</v>
      </c>
      <c r="G675" s="96">
        <v>2.8691131E8</v>
      </c>
      <c r="H675" s="64" t="s">
        <v>2056</v>
      </c>
      <c r="I675" s="16">
        <f>IF(@Table1[[#This Row],[Delivery Date]]="","NA",@Table1[[#This Row],[Delivery Date]]+30)</f>
        <v>46068.0</v>
      </c>
      <c r="J675" s="35" t="s">
        <v>17</v>
      </c>
      <c r="K675" s="87"/>
      <c r="L675" s="89" t="s">
        <v>738</v>
      </c>
      <c r="M675" s="89"/>
      <c r="N675" s="89"/>
    </row>
    <row r="676" customHeight="1" ht="14.0">
      <c r="A676" s="64" t="s">
        <v>2057</v>
      </c>
      <c r="B676" s="22" t="s">
        <v>2058</v>
      </c>
      <c r="C676" s="64" t="s">
        <v>1717</v>
      </c>
      <c r="D676" s="65">
        <v>122.0</v>
      </c>
      <c r="E676" s="34">
        <v>46040</v>
      </c>
      <c r="F676" s="109" t="s">
        <v>1031</v>
      </c>
      <c r="G676" s="96">
        <v>2.86911103E8</v>
      </c>
      <c r="H676" s="64" t="s">
        <v>2059</v>
      </c>
      <c r="I676" s="16">
        <f>IF(@Table1[[#This Row],[Delivery Date]]="","NA",@Table1[[#This Row],[Delivery Date]]+30)</f>
        <v>46070.0</v>
      </c>
      <c r="J676" s="35" t="s">
        <v>17</v>
      </c>
      <c r="K676" s="87"/>
      <c r="L676" s="89" t="s">
        <v>738</v>
      </c>
      <c r="M676" s="89"/>
      <c r="N676" s="89"/>
    </row>
    <row r="677" customHeight="1" ht="14.0">
      <c r="A677" s="64" t="s">
        <v>2060</v>
      </c>
      <c r="B677" s="22" t="s">
        <v>2061</v>
      </c>
      <c r="C677" s="64" t="s">
        <v>1039</v>
      </c>
      <c r="D677" s="65">
        <v>132.0</v>
      </c>
      <c r="E677" s="34">
        <v>46040</v>
      </c>
      <c r="F677" s="109" t="s">
        <v>1031</v>
      </c>
      <c r="G677" s="96">
        <v>2.86911271E8</v>
      </c>
      <c r="H677" s="64" t="s">
        <v>2062</v>
      </c>
      <c r="I677" s="16">
        <f>IF(@Table1[[#This Row],[Delivery Date]]="","NA",@Table1[[#This Row],[Delivery Date]]+30)</f>
        <v>46070.0</v>
      </c>
      <c r="J677" s="35" t="s">
        <v>17</v>
      </c>
      <c r="K677" s="87"/>
      <c r="L677" s="89" t="s">
        <v>738</v>
      </c>
      <c r="M677" s="89"/>
      <c r="N677" s="89"/>
    </row>
    <row r="678" customHeight="1" ht="14.0">
      <c r="A678" s="64" t="s">
        <v>2063</v>
      </c>
      <c r="B678" s="22" t="s">
        <v>2064</v>
      </c>
      <c r="C678" s="64" t="s">
        <v>1617</v>
      </c>
      <c r="D678" s="65">
        <v>36.0</v>
      </c>
      <c r="E678" s="34">
        <v>46035</v>
      </c>
      <c r="F678" s="109" t="s">
        <v>1031</v>
      </c>
      <c r="G678" s="96">
        <v>2.86911289E8</v>
      </c>
      <c r="H678" s="64" t="s">
        <v>2065</v>
      </c>
      <c r="I678" s="16">
        <f>IF(@Table1[[#This Row],[Delivery Date]]="","NA",@Table1[[#This Row],[Delivery Date]]+30)</f>
        <v>46065.0</v>
      </c>
      <c r="J678" s="35" t="s">
        <v>17</v>
      </c>
      <c r="K678" s="87"/>
      <c r="L678" s="89" t="s">
        <v>738</v>
      </c>
      <c r="M678" s="89"/>
      <c r="N678" s="89"/>
    </row>
    <row r="679" customHeight="1" ht="14.0">
      <c r="A679" s="64" t="s">
        <v>2066</v>
      </c>
      <c r="B679" s="22" t="s">
        <v>2067</v>
      </c>
      <c r="C679" s="64" t="s">
        <v>1231</v>
      </c>
      <c r="D679" s="65">
        <v>234.0</v>
      </c>
      <c r="E679" s="34">
        <v>46030</v>
      </c>
      <c r="F679" s="109" t="s">
        <v>1031</v>
      </c>
      <c r="G679" s="96" t="s">
        <v>1919</v>
      </c>
      <c r="H679" s="64" t="s">
        <v>2068</v>
      </c>
      <c r="I679" s="16">
        <f>IF(@Table1[[#This Row],[Delivery Date]]="","NA",@Table1[[#This Row],[Delivery Date]]+30)</f>
        <v>46060.0</v>
      </c>
      <c r="J679" s="35" t="s">
        <v>17</v>
      </c>
      <c r="K679" s="87"/>
      <c r="L679" s="89" t="s">
        <v>738</v>
      </c>
      <c r="M679" s="89"/>
      <c r="N679" s="89"/>
    </row>
    <row r="680" customHeight="1" ht="14.0">
      <c r="A680" s="64" t="s">
        <v>2069</v>
      </c>
      <c r="B680" s="22" t="s">
        <v>2070</v>
      </c>
      <c r="C680" s="64" t="s">
        <v>1427</v>
      </c>
      <c r="D680" s="65">
        <v>135.0</v>
      </c>
      <c r="E680" s="34">
        <v>46038</v>
      </c>
      <c r="F680" s="109" t="s">
        <v>1031</v>
      </c>
      <c r="G680" s="96">
        <v>2.86911119E8</v>
      </c>
      <c r="H680" s="64" t="s">
        <v>2071</v>
      </c>
      <c r="I680" s="16">
        <f>IF(@Table1[[#This Row],[Delivery Date]]="","NA",@Table1[[#This Row],[Delivery Date]]+30)</f>
        <v>46068.0</v>
      </c>
      <c r="J680" s="35" t="s">
        <v>17</v>
      </c>
      <c r="K680" s="87"/>
      <c r="L680" s="89" t="s">
        <v>738</v>
      </c>
      <c r="M680" s="89"/>
      <c r="N680" s="89"/>
    </row>
    <row r="681" customHeight="1" ht="14.0">
      <c r="A681" s="64" t="s">
        <v>2072</v>
      </c>
      <c r="B681" s="22" t="s">
        <v>2073</v>
      </c>
      <c r="C681" s="64" t="s">
        <v>1231</v>
      </c>
      <c r="D681" s="65">
        <v>306.0</v>
      </c>
      <c r="E681" s="34">
        <v>46030</v>
      </c>
      <c r="F681" s="109" t="s">
        <v>565</v>
      </c>
      <c r="G681" s="96" t="s">
        <v>1919</v>
      </c>
      <c r="H681" s="64" t="s">
        <v>2074</v>
      </c>
      <c r="I681" s="16">
        <f>IF(@Table1[[#This Row],[Delivery Date]]="","NA",@Table1[[#This Row],[Delivery Date]]+30)</f>
        <v>46060.0</v>
      </c>
      <c r="J681" s="35" t="s">
        <v>17</v>
      </c>
      <c r="K681" s="87"/>
      <c r="L681" s="89" t="s">
        <v>738</v>
      </c>
      <c r="M681" s="89"/>
      <c r="N681" s="89"/>
    </row>
    <row r="682" customHeight="1" ht="14.0">
      <c r="A682" s="64" t="s">
        <v>2075</v>
      </c>
      <c r="B682" s="22" t="s">
        <v>2076</v>
      </c>
      <c r="C682" s="64" t="s">
        <v>1231</v>
      </c>
      <c r="D682" s="65">
        <v>213.0</v>
      </c>
      <c r="E682" s="34">
        <v>46030</v>
      </c>
      <c r="F682" s="109" t="s">
        <v>565</v>
      </c>
      <c r="G682" s="96" t="s">
        <v>1919</v>
      </c>
      <c r="H682" s="64" t="s">
        <v>2077</v>
      </c>
      <c r="I682" s="16">
        <f>IF(@Table1[[#This Row],[Delivery Date]]="","NA",@Table1[[#This Row],[Delivery Date]]+30)</f>
        <v>46060.0</v>
      </c>
      <c r="J682" s="35" t="s">
        <v>17</v>
      </c>
      <c r="K682" s="87"/>
      <c r="L682" s="89" t="s">
        <v>738</v>
      </c>
      <c r="M682" s="89"/>
      <c r="N682" s="89"/>
    </row>
    <row r="683" customHeight="1" ht="14.0">
      <c r="A683" s="64" t="s">
        <v>2078</v>
      </c>
      <c r="B683" s="22" t="s">
        <v>2079</v>
      </c>
      <c r="C683" s="64" t="s">
        <v>1319</v>
      </c>
      <c r="D683" s="65">
        <v>504.0</v>
      </c>
      <c r="E683" s="34">
        <v>46037</v>
      </c>
      <c r="F683" s="109" t="s">
        <v>565</v>
      </c>
      <c r="G683" s="96">
        <v>2.86911334E8</v>
      </c>
      <c r="H683" s="64" t="s">
        <v>2080</v>
      </c>
      <c r="I683" s="16">
        <f>IF(@Table1[[#This Row],[Delivery Date]]="","NA",@Table1[[#This Row],[Delivery Date]]+30)</f>
        <v>46067.0</v>
      </c>
      <c r="J683" s="35" t="s">
        <v>17</v>
      </c>
      <c r="K683" s="87"/>
      <c r="L683" s="89" t="s">
        <v>17</v>
      </c>
      <c r="M683" s="89"/>
      <c r="N683" s="89"/>
    </row>
    <row r="684" customHeight="1" ht="14.0">
      <c r="A684" s="64" t="s">
        <v>2081</v>
      </c>
      <c r="B684" s="22" t="s">
        <v>2082</v>
      </c>
      <c r="C684" s="64" t="s">
        <v>1669</v>
      </c>
      <c r="D684" s="65">
        <v>414.0</v>
      </c>
      <c r="E684" s="34">
        <v>46035</v>
      </c>
      <c r="F684" s="109" t="s">
        <v>565</v>
      </c>
      <c r="G684" s="96">
        <v>2.86911341E8</v>
      </c>
      <c r="H684" s="64" t="s">
        <v>2083</v>
      </c>
      <c r="I684" s="16">
        <f>IF(@Table1[[#This Row],[Delivery Date]]="","NA",@Table1[[#This Row],[Delivery Date]]+30)</f>
        <v>46065.0</v>
      </c>
      <c r="J684" s="35" t="s">
        <v>17</v>
      </c>
      <c r="K684" s="87"/>
      <c r="L684" s="89" t="s">
        <v>738</v>
      </c>
      <c r="M684" s="89"/>
      <c r="N684" s="89"/>
    </row>
    <row r="685" customHeight="1" ht="14.0">
      <c r="A685" s="64" t="s">
        <v>2084</v>
      </c>
      <c r="B685" s="22" t="s">
        <v>2085</v>
      </c>
      <c r="C685" s="64" t="s">
        <v>1650</v>
      </c>
      <c r="D685" s="65">
        <v>320.0</v>
      </c>
      <c r="E685" s="34">
        <v>46036</v>
      </c>
      <c r="F685" s="109" t="s">
        <v>565</v>
      </c>
      <c r="G685" s="96">
        <v>2.86911336E8</v>
      </c>
      <c r="H685" s="64" t="s">
        <v>2086</v>
      </c>
      <c r="I685" s="16">
        <f>IF(@Table1[[#This Row],[Delivery Date]]="","NA",@Table1[[#This Row],[Delivery Date]]+30)</f>
        <v>46066.0</v>
      </c>
      <c r="J685" s="35" t="s">
        <v>17</v>
      </c>
      <c r="K685" s="70" t="s">
        <v>2087</v>
      </c>
      <c r="L685" s="89" t="s">
        <v>17</v>
      </c>
      <c r="M685" s="89"/>
      <c r="N685" s="89"/>
    </row>
    <row r="686" customHeight="1" ht="14.0">
      <c r="A686" s="64" t="s">
        <v>2088</v>
      </c>
      <c r="B686" s="22" t="s">
        <v>2089</v>
      </c>
      <c r="C686" s="64" t="s">
        <v>1561</v>
      </c>
      <c r="D686" s="65">
        <v>180.0</v>
      </c>
      <c r="E686" s="34">
        <v>46035</v>
      </c>
      <c r="F686" s="109" t="s">
        <v>565</v>
      </c>
      <c r="G686" s="96">
        <v>2.86911337E8</v>
      </c>
      <c r="H686" s="64" t="s">
        <v>2090</v>
      </c>
      <c r="I686" s="16">
        <f>IF(@Table1[[#This Row],[Delivery Date]]="","NA",@Table1[[#This Row],[Delivery Date]]+30)</f>
        <v>46065.0</v>
      </c>
      <c r="J686" s="35" t="s">
        <v>17</v>
      </c>
      <c r="K686" s="87"/>
      <c r="L686" s="89" t="s">
        <v>738</v>
      </c>
      <c r="M686" s="89"/>
      <c r="N686" s="89"/>
    </row>
    <row r="687" customHeight="1" ht="14.0">
      <c r="A687" s="64" t="s">
        <v>2091</v>
      </c>
      <c r="B687" s="22" t="s">
        <v>2092</v>
      </c>
      <c r="C687" s="64" t="s">
        <v>1650</v>
      </c>
      <c r="D687" s="65">
        <v>348.0</v>
      </c>
      <c r="E687" s="34">
        <v>46036</v>
      </c>
      <c r="F687" s="109" t="s">
        <v>565</v>
      </c>
      <c r="G687" s="96">
        <v>2.86911336E8</v>
      </c>
      <c r="H687" s="64" t="s">
        <v>2093</v>
      </c>
      <c r="I687" s="16">
        <f>IF(@Table1[[#This Row],[Delivery Date]]="","NA",@Table1[[#This Row],[Delivery Date]]+30)</f>
        <v>46066.0</v>
      </c>
      <c r="J687" s="35" t="s">
        <v>17</v>
      </c>
      <c r="K687" s="87"/>
      <c r="L687" s="89" t="s">
        <v>738</v>
      </c>
      <c r="M687" s="89"/>
      <c r="N687" s="89"/>
    </row>
    <row r="688" customHeight="1" ht="14.0">
      <c r="A688" s="64" t="s">
        <v>2094</v>
      </c>
      <c r="B688" s="22" t="s">
        <v>2095</v>
      </c>
      <c r="C688" s="64" t="s">
        <v>1319</v>
      </c>
      <c r="D688" s="65">
        <v>342.0</v>
      </c>
      <c r="E688" s="34">
        <v>46037</v>
      </c>
      <c r="F688" s="109" t="s">
        <v>565</v>
      </c>
      <c r="G688" s="96">
        <v>2.86911334E8</v>
      </c>
      <c r="H688" s="64" t="s">
        <v>2096</v>
      </c>
      <c r="I688" s="16">
        <f>IF(@Table1[[#This Row],[Delivery Date]]="","NA",@Table1[[#This Row],[Delivery Date]]+30)</f>
        <v>46067.0</v>
      </c>
      <c r="J688" s="35" t="s">
        <v>17</v>
      </c>
      <c r="K688" s="87"/>
      <c r="L688" s="89" t="s">
        <v>738</v>
      </c>
      <c r="M688" s="89"/>
      <c r="N688" s="89"/>
    </row>
    <row r="689" customHeight="1" ht="14.0">
      <c r="A689" s="118" t="s">
        <v>2097</v>
      </c>
      <c r="B689" s="42" t="s">
        <v>2098</v>
      </c>
      <c r="C689" s="118" t="s">
        <v>1561</v>
      </c>
      <c r="D689" s="137">
        <v>360.0</v>
      </c>
      <c r="E689" s="120">
        <v>46035</v>
      </c>
      <c r="F689" s="122" t="s">
        <v>565</v>
      </c>
      <c r="G689" s="138">
        <v>2.86911337E8</v>
      </c>
      <c r="H689" s="118" t="s">
        <v>108</v>
      </c>
      <c r="I689" s="16">
        <f>IF(@Table1[[#This Row],[Delivery Date]]="","NA",@Table1[[#This Row],[Delivery Date]]+30)</f>
        <v>46065.0</v>
      </c>
      <c r="J689" s="35" t="s">
        <f>IF(I689&lt;$Q$1,"Overdue","Pending")</f>
        <v>28</v>
      </c>
      <c r="K689" s="87"/>
      <c r="L689" s="89"/>
      <c r="M689" s="89"/>
      <c r="N689" s="89"/>
    </row>
    <row r="690" customHeight="1" ht="14.0">
      <c r="A690" s="64" t="s">
        <v>2099</v>
      </c>
      <c r="B690" s="22" t="s">
        <v>2100</v>
      </c>
      <c r="C690" s="64" t="s">
        <v>1617</v>
      </c>
      <c r="D690" s="65">
        <v>208.0</v>
      </c>
      <c r="E690" s="34">
        <v>46036</v>
      </c>
      <c r="F690" s="109" t="s">
        <v>565</v>
      </c>
      <c r="G690" s="96" t="s">
        <v>1892</v>
      </c>
      <c r="H690" s="64" t="s">
        <v>2101</v>
      </c>
      <c r="I690" s="16">
        <f>IF(@Table1[[#This Row],[Delivery Date]]="","NA",@Table1[[#This Row],[Delivery Date]]+30)</f>
        <v>46066.0</v>
      </c>
      <c r="J690" s="35" t="s">
        <v>17</v>
      </c>
      <c r="K690" s="87"/>
      <c r="L690" s="89" t="s">
        <v>738</v>
      </c>
      <c r="M690" s="89"/>
      <c r="N690" s="89"/>
    </row>
    <row r="691" customHeight="1" ht="14.0">
      <c r="A691" s="64" t="s">
        <v>2102</v>
      </c>
      <c r="B691" s="22" t="s">
        <v>2103</v>
      </c>
      <c r="C691" s="64" t="s">
        <v>1617</v>
      </c>
      <c r="D691" s="65">
        <v>739.0</v>
      </c>
      <c r="E691" s="34">
        <v>46036</v>
      </c>
      <c r="F691" s="109" t="s">
        <v>565</v>
      </c>
      <c r="G691" s="96">
        <v>2.86911338E8</v>
      </c>
      <c r="H691" s="64" t="s">
        <v>2104</v>
      </c>
      <c r="I691" s="16">
        <f>IF(@Table1[[#This Row],[Delivery Date]]="","NA",@Table1[[#This Row],[Delivery Date]]+30)</f>
        <v>46066.0</v>
      </c>
      <c r="J691" s="35" t="s">
        <v>17</v>
      </c>
      <c r="K691" s="87"/>
      <c r="L691" s="89" t="s">
        <v>738</v>
      </c>
      <c r="M691" s="89"/>
      <c r="N691" s="89"/>
    </row>
    <row r="692" customHeight="1" ht="14.0">
      <c r="A692" s="64" t="s">
        <v>2105</v>
      </c>
      <c r="B692" s="22" t="s">
        <v>2106</v>
      </c>
      <c r="C692" s="64" t="s">
        <v>141</v>
      </c>
      <c r="D692" s="65">
        <v>432.0</v>
      </c>
      <c r="E692" s="34">
        <v>46035</v>
      </c>
      <c r="F692" s="109" t="s">
        <v>565</v>
      </c>
      <c r="G692" s="96">
        <v>2.8691134E8</v>
      </c>
      <c r="H692" s="64" t="s">
        <v>2107</v>
      </c>
      <c r="I692" s="16">
        <f>IF(@Table1[[#This Row],[Delivery Date]]="","NA",@Table1[[#This Row],[Delivery Date]]+30)</f>
        <v>46065.0</v>
      </c>
      <c r="J692" s="35" t="s">
        <v>17</v>
      </c>
      <c r="K692" s="87"/>
      <c r="L692" s="89" t="s">
        <v>738</v>
      </c>
      <c r="M692" s="89"/>
      <c r="N692" s="89"/>
    </row>
    <row r="693" customHeight="1" ht="14.0">
      <c r="A693" s="64" t="s">
        <v>2108</v>
      </c>
      <c r="B693" s="22" t="s">
        <v>2109</v>
      </c>
      <c r="C693" s="64" t="s">
        <v>1728</v>
      </c>
      <c r="D693" s="65">
        <v>1260.0</v>
      </c>
      <c r="E693" s="34">
        <v>46036</v>
      </c>
      <c r="F693" s="109" t="s">
        <v>565</v>
      </c>
      <c r="G693" s="96">
        <v>2.86911339E8</v>
      </c>
      <c r="H693" s="64" t="s">
        <v>2110</v>
      </c>
      <c r="I693" s="16">
        <f>IF(@Table1[[#This Row],[Delivery Date]]="","NA",@Table1[[#This Row],[Delivery Date]]+30)</f>
        <v>46066.0</v>
      </c>
      <c r="J693" s="35" t="s">
        <v>17</v>
      </c>
      <c r="K693" s="87"/>
      <c r="L693" s="89" t="s">
        <v>738</v>
      </c>
      <c r="M693" s="89"/>
      <c r="N693" s="89"/>
    </row>
    <row r="694" customHeight="1" ht="14.0">
      <c r="A694" s="64" t="s">
        <v>2111</v>
      </c>
      <c r="B694" s="22" t="s">
        <v>2112</v>
      </c>
      <c r="C694" s="64" t="s">
        <v>1039</v>
      </c>
      <c r="D694" s="65">
        <v>648.0</v>
      </c>
      <c r="E694" s="34">
        <v>46040</v>
      </c>
      <c r="F694" s="109" t="s">
        <v>565</v>
      </c>
      <c r="G694" s="96">
        <v>2.86911104E8</v>
      </c>
      <c r="H694" s="64" t="s">
        <v>2113</v>
      </c>
      <c r="I694" s="16">
        <f>IF(@Table1[[#This Row],[Delivery Date]]="","NA",@Table1[[#This Row],[Delivery Date]]+30)</f>
        <v>46070.0</v>
      </c>
      <c r="J694" s="35" t="s">
        <v>17</v>
      </c>
      <c r="K694" s="87"/>
      <c r="L694" s="89" t="s">
        <v>738</v>
      </c>
      <c r="M694" s="89"/>
      <c r="N694" s="89"/>
    </row>
    <row r="695" customHeight="1" ht="14.0">
      <c r="A695" s="64" t="s">
        <v>2114</v>
      </c>
      <c r="B695" s="22" t="s">
        <v>2115</v>
      </c>
      <c r="C695" s="64" t="s">
        <v>420</v>
      </c>
      <c r="D695" s="65">
        <v>636.0</v>
      </c>
      <c r="E695" s="34">
        <v>46040</v>
      </c>
      <c r="F695" s="109" t="s">
        <v>565</v>
      </c>
      <c r="G695" s="96">
        <v>2.86911104E8</v>
      </c>
      <c r="H695" s="64" t="s">
        <v>2116</v>
      </c>
      <c r="I695" s="16">
        <f>IF(@Table1[[#This Row],[Delivery Date]]="","NA",@Table1[[#This Row],[Delivery Date]]+30)</f>
        <v>46070.0</v>
      </c>
      <c r="J695" s="35" t="s">
        <v>17</v>
      </c>
      <c r="K695" s="87"/>
      <c r="L695" s="89" t="s">
        <v>738</v>
      </c>
      <c r="M695" s="89"/>
      <c r="N695" s="89"/>
    </row>
    <row r="696" customHeight="1" ht="14.0">
      <c r="A696" s="64" t="s">
        <v>2117</v>
      </c>
      <c r="B696" s="22" t="s">
        <v>2118</v>
      </c>
      <c r="C696" s="64" t="s">
        <v>1039</v>
      </c>
      <c r="D696" s="65">
        <v>36.0</v>
      </c>
      <c r="E696" s="34">
        <v>46040</v>
      </c>
      <c r="F696" s="109" t="s">
        <v>565</v>
      </c>
      <c r="G696" s="96">
        <v>2.86911104E8</v>
      </c>
      <c r="H696" s="64" t="s">
        <v>2119</v>
      </c>
      <c r="I696" s="16">
        <f>IF(@Table1[[#This Row],[Delivery Date]]="","NA",@Table1[[#This Row],[Delivery Date]]+30)</f>
        <v>46070.0</v>
      </c>
      <c r="J696" s="35" t="s">
        <v>17</v>
      </c>
      <c r="K696" s="87"/>
      <c r="L696" s="89" t="s">
        <v>738</v>
      </c>
      <c r="M696" s="89"/>
      <c r="N696" s="89"/>
    </row>
    <row r="697" customHeight="1" ht="14.0">
      <c r="A697" s="64" t="s">
        <v>2120</v>
      </c>
      <c r="B697" s="22" t="s">
        <v>2121</v>
      </c>
      <c r="C697" s="64" t="s">
        <v>1717</v>
      </c>
      <c r="D697" s="65">
        <v>426.0</v>
      </c>
      <c r="E697" s="34">
        <v>46040</v>
      </c>
      <c r="F697" s="109" t="s">
        <v>565</v>
      </c>
      <c r="G697" s="96">
        <v>2.86911103E8</v>
      </c>
      <c r="H697" s="64" t="s">
        <v>2122</v>
      </c>
      <c r="I697" s="16">
        <f>IF(@Table1[[#This Row],[Delivery Date]]="","NA",@Table1[[#This Row],[Delivery Date]]+30)</f>
        <v>46070.0</v>
      </c>
      <c r="J697" s="35" t="s">
        <v>17</v>
      </c>
      <c r="K697" s="87"/>
      <c r="L697" s="89" t="s">
        <v>738</v>
      </c>
      <c r="M697" s="89"/>
      <c r="N697" s="89"/>
    </row>
    <row r="698" customHeight="1" ht="14.0">
      <c r="A698" s="64" t="s">
        <v>2123</v>
      </c>
      <c r="B698" s="22" t="s">
        <v>2124</v>
      </c>
      <c r="C698" s="64" t="s">
        <v>2125</v>
      </c>
      <c r="D698" s="65">
        <v>211.0</v>
      </c>
      <c r="E698" s="34">
        <v>46038</v>
      </c>
      <c r="F698" s="109" t="s">
        <v>565</v>
      </c>
      <c r="G698" s="96">
        <v>2.86911121E8</v>
      </c>
      <c r="H698" s="64" t="s">
        <v>2126</v>
      </c>
      <c r="I698" s="16">
        <f>IF(@Table1[[#This Row],[Delivery Date]]="","NA",@Table1[[#This Row],[Delivery Date]]+30)</f>
        <v>46068.0</v>
      </c>
      <c r="J698" s="35" t="s">
        <v>17</v>
      </c>
      <c r="K698" s="87"/>
      <c r="L698" s="89" t="s">
        <v>738</v>
      </c>
      <c r="M698" s="89"/>
      <c r="N698" s="89"/>
    </row>
    <row r="699" customHeight="1" ht="14.0">
      <c r="A699" s="64" t="s">
        <v>2127</v>
      </c>
      <c r="B699" s="22" t="s">
        <v>2128</v>
      </c>
      <c r="C699" s="64" t="s">
        <v>1284</v>
      </c>
      <c r="D699" s="65">
        <v>621.0</v>
      </c>
      <c r="E699" s="34">
        <v>46038</v>
      </c>
      <c r="F699" s="109" t="s">
        <v>565</v>
      </c>
      <c r="G699" s="96">
        <v>2.8691112E8</v>
      </c>
      <c r="H699" s="64" t="s">
        <v>2129</v>
      </c>
      <c r="I699" s="16">
        <f>IF(@Table1[[#This Row],[Delivery Date]]="","NA",@Table1[[#This Row],[Delivery Date]]+30)</f>
        <v>46068.0</v>
      </c>
      <c r="J699" s="35" t="s">
        <v>17</v>
      </c>
      <c r="K699" s="87"/>
      <c r="L699" s="89" t="s">
        <v>17</v>
      </c>
      <c r="M699" s="89"/>
      <c r="N699" s="89"/>
    </row>
    <row r="700" customHeight="1" ht="14.0">
      <c r="A700" s="64" t="s">
        <v>2130</v>
      </c>
      <c r="B700" s="22" t="s">
        <v>2131</v>
      </c>
      <c r="C700" s="64" t="s">
        <v>1427</v>
      </c>
      <c r="D700" s="65">
        <v>308.0</v>
      </c>
      <c r="E700" s="34">
        <v>46038</v>
      </c>
      <c r="F700" s="109" t="s">
        <v>565</v>
      </c>
      <c r="G700" s="96">
        <v>2.86911119E8</v>
      </c>
      <c r="H700" s="64" t="s">
        <v>2132</v>
      </c>
      <c r="I700" s="16">
        <f>IF(@Table1[[#This Row],[Delivery Date]]="","NA",@Table1[[#This Row],[Delivery Date]]+30)</f>
        <v>46068.0</v>
      </c>
      <c r="J700" s="35" t="s">
        <v>17</v>
      </c>
      <c r="K700" s="87"/>
      <c r="L700" s="89" t="s">
        <v>738</v>
      </c>
      <c r="M700" s="89"/>
      <c r="N700" s="89"/>
    </row>
    <row r="701" customHeight="1" ht="14.0">
      <c r="A701" s="64" t="s">
        <v>2133</v>
      </c>
      <c r="B701" s="22" t="s">
        <v>2134</v>
      </c>
      <c r="C701" s="64" t="s">
        <v>1231</v>
      </c>
      <c r="D701" s="65">
        <v>488.0</v>
      </c>
      <c r="E701" s="34">
        <v>46037</v>
      </c>
      <c r="F701" s="109" t="s">
        <v>565</v>
      </c>
      <c r="G701" s="96" t="s">
        <v>1919</v>
      </c>
      <c r="H701" s="64" t="s">
        <v>2135</v>
      </c>
      <c r="I701" s="16">
        <f>IF(@Table1[[#This Row],[Delivery Date]]="","NA",@Table1[[#This Row],[Delivery Date]]+30)</f>
        <v>46067.0</v>
      </c>
      <c r="J701" s="35" t="s">
        <v>17</v>
      </c>
      <c r="K701" s="87"/>
      <c r="L701" s="89" t="s">
        <v>738</v>
      </c>
      <c r="M701" s="89"/>
      <c r="N701" s="89"/>
    </row>
    <row r="702" customHeight="1" ht="14.0">
      <c r="A702" s="64" t="s">
        <v>2136</v>
      </c>
      <c r="B702" s="22" t="s">
        <v>2137</v>
      </c>
      <c r="C702" s="64" t="s">
        <v>1717</v>
      </c>
      <c r="D702" s="65">
        <v>320.0</v>
      </c>
      <c r="E702" s="34">
        <v>46040</v>
      </c>
      <c r="F702" s="109" t="s">
        <v>565</v>
      </c>
      <c r="G702" s="96">
        <v>2.86911147E8</v>
      </c>
      <c r="H702" s="64" t="s">
        <v>2138</v>
      </c>
      <c r="I702" s="16">
        <f>IF(@Table1[[#This Row],[Delivery Date]]="","NA",@Table1[[#This Row],[Delivery Date]]+30)</f>
        <v>46070.0</v>
      </c>
      <c r="J702" s="35" t="s">
        <v>17</v>
      </c>
      <c r="K702" s="87"/>
      <c r="L702" s="89" t="s">
        <v>738</v>
      </c>
      <c r="M702" s="89"/>
      <c r="N702" s="89"/>
    </row>
    <row r="703" customHeight="1" ht="14.0">
      <c r="A703" s="64" t="s">
        <v>2139</v>
      </c>
      <c r="B703" s="22" t="s">
        <v>2140</v>
      </c>
      <c r="C703" s="64" t="s">
        <v>1284</v>
      </c>
      <c r="D703" s="65">
        <v>491.0</v>
      </c>
      <c r="E703" s="34">
        <v>46040</v>
      </c>
      <c r="F703" s="109" t="s">
        <v>565</v>
      </c>
      <c r="G703" s="96">
        <v>2.86911149E8</v>
      </c>
      <c r="H703" s="64" t="s">
        <v>2141</v>
      </c>
      <c r="I703" s="16">
        <f>IF(@Table1[[#This Row],[Delivery Date]]="","NA",@Table1[[#This Row],[Delivery Date]]+30)</f>
        <v>46070.0</v>
      </c>
      <c r="J703" s="35" t="s">
        <v>17</v>
      </c>
      <c r="K703" s="87"/>
      <c r="L703" s="89" t="s">
        <v>738</v>
      </c>
      <c r="M703" s="89"/>
      <c r="N703" s="89"/>
    </row>
    <row r="704" customHeight="1" ht="14.0">
      <c r="A704" s="64" t="s">
        <v>2142</v>
      </c>
      <c r="B704" s="22" t="s">
        <v>2143</v>
      </c>
      <c r="C704" s="64" t="s">
        <v>1669</v>
      </c>
      <c r="D704" s="65">
        <v>189.0</v>
      </c>
      <c r="E704" s="34">
        <v>46045</v>
      </c>
      <c r="F704" s="109" t="s">
        <v>565</v>
      </c>
      <c r="G704" s="96">
        <v>2.86911148E8</v>
      </c>
      <c r="H704" s="64" t="s">
        <v>2144</v>
      </c>
      <c r="I704" s="16">
        <f>IF(@Table1[[#This Row],[Delivery Date]]="","NA",@Table1[[#This Row],[Delivery Date]]+30)</f>
        <v>46075.0</v>
      </c>
      <c r="J704" s="35" t="s">
        <v>17</v>
      </c>
      <c r="K704" s="87"/>
      <c r="L704" s="89" t="s">
        <v>17</v>
      </c>
      <c r="M704" s="89"/>
      <c r="N704" s="89"/>
    </row>
    <row r="705" customHeight="1" ht="14.0">
      <c r="A705" s="64" t="s">
        <v>2145</v>
      </c>
      <c r="B705" s="22" t="s">
        <v>2146</v>
      </c>
      <c r="C705" s="64" t="s">
        <v>1231</v>
      </c>
      <c r="D705" s="65">
        <v>207.0</v>
      </c>
      <c r="E705" s="34">
        <v>46037</v>
      </c>
      <c r="F705" s="109" t="s">
        <v>565</v>
      </c>
      <c r="G705" s="96" t="s">
        <v>1919</v>
      </c>
      <c r="H705" s="64" t="s">
        <v>2147</v>
      </c>
      <c r="I705" s="16">
        <f>IF(@Table1[[#This Row],[Delivery Date]]="","NA",@Table1[[#This Row],[Delivery Date]]+30)</f>
        <v>46067.0</v>
      </c>
      <c r="J705" s="35" t="s">
        <v>17</v>
      </c>
      <c r="K705" s="87"/>
      <c r="L705" s="89" t="s">
        <v>738</v>
      </c>
      <c r="M705" s="89"/>
      <c r="N705" s="89"/>
    </row>
    <row r="706" customHeight="1" ht="14.0">
      <c r="A706" s="64" t="s">
        <v>2148</v>
      </c>
      <c r="B706" s="22" t="s">
        <v>2149</v>
      </c>
      <c r="C706" s="64" t="s">
        <v>1066</v>
      </c>
      <c r="D706" s="65">
        <v>123.0</v>
      </c>
      <c r="E706" s="34">
        <v>46041</v>
      </c>
      <c r="F706" s="109" t="s">
        <v>565</v>
      </c>
      <c r="G706" s="96">
        <v>2.8691115E8</v>
      </c>
      <c r="H706" s="64" t="s">
        <v>2150</v>
      </c>
      <c r="I706" s="16">
        <f>IF(@Table1[[#This Row],[Delivery Date]]="","NA",@Table1[[#This Row],[Delivery Date]]+30)</f>
        <v>46071.0</v>
      </c>
      <c r="J706" s="35" t="s">
        <v>17</v>
      </c>
      <c r="K706" s="87"/>
      <c r="L706" s="89" t="s">
        <v>738</v>
      </c>
      <c r="M706" s="89"/>
      <c r="N706" s="89"/>
    </row>
    <row r="707" customHeight="1" ht="14.0">
      <c r="A707" s="64" t="s">
        <v>2151</v>
      </c>
      <c r="B707" s="22" t="s">
        <v>2152</v>
      </c>
      <c r="C707" s="64" t="s">
        <v>1047</v>
      </c>
      <c r="D707" s="65">
        <v>300.0</v>
      </c>
      <c r="E707" s="34">
        <v>46040</v>
      </c>
      <c r="F707" s="109" t="s">
        <v>565</v>
      </c>
      <c r="G707" s="96">
        <v>2.86911145E8</v>
      </c>
      <c r="H707" s="64" t="s">
        <v>2153</v>
      </c>
      <c r="I707" s="16">
        <f>IF(@Table1[[#This Row],[Delivery Date]]="","NA",@Table1[[#This Row],[Delivery Date]]+30)</f>
        <v>46070.0</v>
      </c>
      <c r="J707" s="35" t="s">
        <v>17</v>
      </c>
      <c r="K707" s="87"/>
      <c r="L707" s="89" t="s">
        <v>738</v>
      </c>
      <c r="M707" s="89"/>
      <c r="N707" s="89"/>
    </row>
    <row r="708" customHeight="1" ht="14.0">
      <c r="A708" s="64" t="s">
        <v>2154</v>
      </c>
      <c r="B708" s="22" t="s">
        <v>2155</v>
      </c>
      <c r="C708" s="64" t="s">
        <v>1650</v>
      </c>
      <c r="D708" s="65">
        <v>1440.0</v>
      </c>
      <c r="E708" s="34">
        <v>46041</v>
      </c>
      <c r="F708" s="109" t="s">
        <v>565</v>
      </c>
      <c r="G708" s="96">
        <v>2.86911146E8</v>
      </c>
      <c r="H708" s="64" t="s">
        <v>2156</v>
      </c>
      <c r="I708" s="16">
        <f>IF(@Table1[[#This Row],[Delivery Date]]="","NA",@Table1[[#This Row],[Delivery Date]]+30)</f>
        <v>46071.0</v>
      </c>
      <c r="J708" s="35" t="s">
        <f>IF(I708&lt;$Q$1,"Overdue","Pending")</f>
        <v>28</v>
      </c>
      <c r="K708" s="87"/>
      <c r="L708" s="89"/>
      <c r="M708" s="89"/>
      <c r="N708" s="89"/>
    </row>
    <row r="709" customHeight="1" ht="14.0">
      <c r="A709" s="64" t="s">
        <v>2157</v>
      </c>
      <c r="B709" s="22" t="s">
        <v>2158</v>
      </c>
      <c r="C709" s="64" t="s">
        <v>1650</v>
      </c>
      <c r="D709" s="65">
        <v>792.0</v>
      </c>
      <c r="E709" s="34">
        <v>46041</v>
      </c>
      <c r="F709" s="109" t="s">
        <v>565</v>
      </c>
      <c r="G709" s="96">
        <v>2.86911146E8</v>
      </c>
      <c r="H709" s="64" t="s">
        <v>2159</v>
      </c>
      <c r="I709" s="16">
        <f>IF(@Table1[[#This Row],[Delivery Date]]="","NA",@Table1[[#This Row],[Delivery Date]]+30)</f>
        <v>46071.0</v>
      </c>
      <c r="J709" s="35" t="s">
        <v>17</v>
      </c>
      <c r="K709" s="87"/>
      <c r="L709" s="89" t="s">
        <v>738</v>
      </c>
      <c r="M709" s="89"/>
      <c r="N709" s="89"/>
    </row>
    <row r="710" customHeight="1" ht="14.0">
      <c r="A710" s="64" t="s">
        <v>2160</v>
      </c>
      <c r="B710" s="22" t="s">
        <v>2161</v>
      </c>
      <c r="C710" s="64" t="s">
        <v>1231</v>
      </c>
      <c r="D710" s="65">
        <v>224.0</v>
      </c>
      <c r="E710" s="34">
        <v>46037</v>
      </c>
      <c r="F710" s="109" t="s">
        <v>1919</v>
      </c>
      <c r="G710" s="96" t="s">
        <v>1919</v>
      </c>
      <c r="H710" s="64" t="s">
        <v>2162</v>
      </c>
      <c r="I710" s="16">
        <f>IF(@Table1[[#This Row],[Delivery Date]]="","NA",@Table1[[#This Row],[Delivery Date]]+30)</f>
        <v>46067.0</v>
      </c>
      <c r="J710" s="35" t="s">
        <v>17</v>
      </c>
      <c r="K710" s="87"/>
      <c r="L710" s="89" t="s">
        <v>738</v>
      </c>
      <c r="M710" s="89"/>
      <c r="N710" s="89"/>
    </row>
    <row r="711" customHeight="1" ht="14.0">
      <c r="A711" s="64" t="s">
        <v>2163</v>
      </c>
      <c r="B711" s="22" t="s">
        <v>2164</v>
      </c>
      <c r="C711" s="64" t="s">
        <v>1231</v>
      </c>
      <c r="D711" s="65">
        <v>233.0</v>
      </c>
      <c r="E711" s="34">
        <v>46037</v>
      </c>
      <c r="F711" s="109" t="s">
        <v>1919</v>
      </c>
      <c r="G711" s="96" t="s">
        <v>1919</v>
      </c>
      <c r="H711" s="64" t="s">
        <v>2165</v>
      </c>
      <c r="I711" s="16">
        <f>IF(@Table1[[#This Row],[Delivery Date]]="","NA",@Table1[[#This Row],[Delivery Date]]+30)</f>
        <v>46067.0</v>
      </c>
      <c r="J711" s="35" t="s">
        <v>17</v>
      </c>
      <c r="K711" s="87"/>
      <c r="L711" s="89" t="s">
        <v>738</v>
      </c>
      <c r="M711" s="89"/>
      <c r="N711" s="89"/>
    </row>
    <row r="712" customHeight="1" ht="14.0">
      <c r="A712" s="64" t="s">
        <v>2166</v>
      </c>
      <c r="B712" s="22" t="s">
        <v>2167</v>
      </c>
      <c r="C712" s="64" t="s">
        <v>141</v>
      </c>
      <c r="D712" s="65">
        <v>1348.0</v>
      </c>
      <c r="E712" s="34">
        <v>46047</v>
      </c>
      <c r="F712" s="109" t="s">
        <v>565</v>
      </c>
      <c r="G712" s="96">
        <v>2.99678634E8</v>
      </c>
      <c r="H712" s="64" t="s">
        <v>2168</v>
      </c>
      <c r="I712" s="16">
        <f>IF(@Table1[[#This Row],[Delivery Date]]="","NA",@Table1[[#This Row],[Delivery Date]]+30)</f>
        <v>46077.0</v>
      </c>
      <c r="J712" s="35" t="s">
        <f>IF(I712&lt;$Q$1,"Overdue","Pending")</f>
        <v>28</v>
      </c>
      <c r="K712" s="87"/>
      <c r="L712" s="89"/>
      <c r="M712" s="89"/>
      <c r="N712" s="89"/>
    </row>
    <row r="713" customHeight="1" ht="14.0">
      <c r="A713" s="64" t="s">
        <v>2169</v>
      </c>
      <c r="B713" s="22" t="s">
        <v>2170</v>
      </c>
      <c r="C713" s="64" t="s">
        <v>1284</v>
      </c>
      <c r="D713" s="65">
        <v>648.0</v>
      </c>
      <c r="E713" s="34">
        <v>46043</v>
      </c>
      <c r="F713" s="109" t="s">
        <v>565</v>
      </c>
      <c r="G713" s="96">
        <v>2.99678638E8</v>
      </c>
      <c r="H713" s="64" t="s">
        <v>2171</v>
      </c>
      <c r="I713" s="16">
        <f>IF(@Table1[[#This Row],[Delivery Date]]="","NA",@Table1[[#This Row],[Delivery Date]]+30)</f>
        <v>46073.0</v>
      </c>
      <c r="J713" s="35" t="s">
        <v>17</v>
      </c>
      <c r="K713" s="87"/>
      <c r="L713" s="89" t="s">
        <v>17</v>
      </c>
      <c r="M713" s="89"/>
      <c r="N713" s="89"/>
    </row>
    <row r="714" customHeight="1" ht="14.0">
      <c r="A714" s="64" t="s">
        <v>2172</v>
      </c>
      <c r="B714" s="22" t="s">
        <v>2173</v>
      </c>
      <c r="C714" s="64" t="s">
        <v>1284</v>
      </c>
      <c r="D714" s="65">
        <v>544.0</v>
      </c>
      <c r="E714" s="34">
        <v>46043</v>
      </c>
      <c r="F714" s="109" t="s">
        <v>565</v>
      </c>
      <c r="G714" s="96">
        <v>2.99678638E8</v>
      </c>
      <c r="H714" s="64" t="s">
        <v>2174</v>
      </c>
      <c r="I714" s="16">
        <f>IF(@Table1[[#This Row],[Delivery Date]]="","NA",@Table1[[#This Row],[Delivery Date]]+30)</f>
        <v>46073.0</v>
      </c>
      <c r="J714" s="35" t="s">
        <v>17</v>
      </c>
      <c r="K714" s="87"/>
      <c r="L714" s="89" t="s">
        <v>17</v>
      </c>
      <c r="M714" s="89"/>
      <c r="N714" s="89"/>
    </row>
    <row r="715" customHeight="1" ht="14.0">
      <c r="A715" s="64" t="s">
        <v>2175</v>
      </c>
      <c r="B715" s="22" t="s">
        <v>2176</v>
      </c>
      <c r="C715" s="64" t="s">
        <v>1669</v>
      </c>
      <c r="D715" s="65">
        <v>216.0</v>
      </c>
      <c r="E715" s="34">
        <v>46047</v>
      </c>
      <c r="F715" s="109" t="s">
        <v>565</v>
      </c>
      <c r="G715" s="96">
        <v>2.99678637E8</v>
      </c>
      <c r="H715" s="64" t="s">
        <v>2177</v>
      </c>
      <c r="I715" s="16">
        <f>IF(@Table1[[#This Row],[Delivery Date]]="","NA",@Table1[[#This Row],[Delivery Date]]+30)</f>
        <v>46077.0</v>
      </c>
      <c r="J715" s="35" t="s">
        <v>17</v>
      </c>
      <c r="K715" s="87"/>
      <c r="L715" s="89" t="s">
        <v>17</v>
      </c>
      <c r="M715" s="89"/>
      <c r="N715" s="89"/>
    </row>
    <row r="716" customHeight="1" ht="14.0">
      <c r="A716" s="64" t="s">
        <v>2178</v>
      </c>
      <c r="B716" s="22" t="s">
        <v>2179</v>
      </c>
      <c r="C716" s="64" t="s">
        <v>1561</v>
      </c>
      <c r="D716" s="65">
        <v>324.0</v>
      </c>
      <c r="E716" s="34">
        <v>46044</v>
      </c>
      <c r="F716" s="109" t="s">
        <v>565</v>
      </c>
      <c r="G716" s="96">
        <v>2.99678639E8</v>
      </c>
      <c r="H716" s="64" t="s">
        <v>2180</v>
      </c>
      <c r="I716" s="16">
        <f>IF(@Table1[[#This Row],[Delivery Date]]="","NA",@Table1[[#This Row],[Delivery Date]]+30)</f>
        <v>46074.0</v>
      </c>
      <c r="J716" s="35" t="s">
        <v>17</v>
      </c>
      <c r="K716" s="87"/>
      <c r="L716" s="89" t="s">
        <v>17</v>
      </c>
      <c r="M716" s="89"/>
      <c r="N716" s="89"/>
    </row>
    <row r="717" customHeight="1" ht="14.0">
      <c r="A717" s="64" t="s">
        <v>2181</v>
      </c>
      <c r="B717" s="22" t="s">
        <v>2182</v>
      </c>
      <c r="C717" s="64" t="s">
        <v>1427</v>
      </c>
      <c r="D717" s="65">
        <v>713.0</v>
      </c>
      <c r="E717" s="34">
        <v>46043</v>
      </c>
      <c r="F717" s="109" t="s">
        <v>565</v>
      </c>
      <c r="G717" s="96">
        <v>2.9967864E8</v>
      </c>
      <c r="H717" s="64" t="s">
        <v>2183</v>
      </c>
      <c r="I717" s="16">
        <f>IF(@Table1[[#This Row],[Delivery Date]]="","NA",@Table1[[#This Row],[Delivery Date]]+30)</f>
        <v>46073.0</v>
      </c>
      <c r="J717" s="35" t="s">
        <v>17</v>
      </c>
      <c r="K717" s="87"/>
      <c r="L717" s="89" t="s">
        <v>17</v>
      </c>
      <c r="M717" s="89"/>
      <c r="N717" s="89"/>
    </row>
    <row r="718" customHeight="1" ht="14.0">
      <c r="A718" s="64" t="s">
        <v>2184</v>
      </c>
      <c r="B718" s="22" t="s">
        <v>2185</v>
      </c>
      <c r="C718" s="64" t="s">
        <v>1319</v>
      </c>
      <c r="D718" s="65">
        <v>147.0</v>
      </c>
      <c r="E718" s="34">
        <v>46047</v>
      </c>
      <c r="F718" s="109" t="s">
        <v>565</v>
      </c>
      <c r="G718" s="96">
        <v>2.99678641E8</v>
      </c>
      <c r="H718" s="64" t="s">
        <v>2186</v>
      </c>
      <c r="I718" s="16">
        <f>IF(@Table1[[#This Row],[Delivery Date]]="","NA",@Table1[[#This Row],[Delivery Date]]+30)</f>
        <v>46077.0</v>
      </c>
      <c r="J718" s="35" t="s">
        <f>IF(I718&lt;$Q$1,"Overdue","Pending")</f>
        <v>28</v>
      </c>
      <c r="K718" s="87"/>
      <c r="L718" s="89"/>
      <c r="M718" s="89"/>
      <c r="N718" s="89"/>
    </row>
    <row r="719" customHeight="1" ht="14.0">
      <c r="A719" s="64" t="s">
        <v>2187</v>
      </c>
      <c r="B719" s="22" t="s">
        <v>2188</v>
      </c>
      <c r="C719" s="64" t="s">
        <v>2125</v>
      </c>
      <c r="D719" s="65">
        <v>482.0</v>
      </c>
      <c r="E719" s="34">
        <v>46044</v>
      </c>
      <c r="F719" s="109" t="s">
        <v>565</v>
      </c>
      <c r="G719" s="96">
        <v>2.99678642E8</v>
      </c>
      <c r="H719" s="64" t="s">
        <v>2189</v>
      </c>
      <c r="I719" s="16">
        <f>IF(@Table1[[#This Row],[Delivery Date]]="","NA",@Table1[[#This Row],[Delivery Date]]+30)</f>
        <v>46074.0</v>
      </c>
      <c r="J719" s="35" t="s">
        <v>17</v>
      </c>
      <c r="K719" s="87"/>
      <c r="L719" s="89" t="s">
        <v>17</v>
      </c>
      <c r="M719" s="89"/>
      <c r="N719" s="89"/>
    </row>
    <row r="720" customHeight="1" ht="14.0">
      <c r="A720" s="64" t="s">
        <v>2190</v>
      </c>
      <c r="B720" s="22" t="s">
        <v>2191</v>
      </c>
      <c r="C720" s="22" t="s">
        <v>1035</v>
      </c>
      <c r="D720" s="65">
        <v>603.0</v>
      </c>
      <c r="E720" s="34">
        <v>46042</v>
      </c>
      <c r="F720" s="109" t="s">
        <v>565</v>
      </c>
      <c r="G720" s="96">
        <v>2.99678643E8</v>
      </c>
      <c r="H720" s="64" t="s">
        <v>2192</v>
      </c>
      <c r="I720" s="16">
        <f>IF(@Table1[[#This Row],[Delivery Date]]="","NA",@Table1[[#This Row],[Delivery Date]]+30)</f>
        <v>46072.0</v>
      </c>
      <c r="J720" s="35" t="s">
        <v>17</v>
      </c>
      <c r="K720" s="87"/>
      <c r="L720" s="89" t="s">
        <v>17</v>
      </c>
      <c r="M720" s="89"/>
      <c r="N720" s="89"/>
    </row>
    <row r="721" customHeight="1" ht="14.0">
      <c r="A721" s="64" t="s">
        <v>2193</v>
      </c>
      <c r="B721" s="22" t="s">
        <v>2194</v>
      </c>
      <c r="C721" s="64" t="s">
        <v>2195</v>
      </c>
      <c r="D721" s="65">
        <v>302.0</v>
      </c>
      <c r="E721" s="34">
        <v>46044</v>
      </c>
      <c r="F721" s="109" t="s">
        <v>565</v>
      </c>
      <c r="G721" s="96">
        <v>2.99678644E8</v>
      </c>
      <c r="H721" s="64" t="s">
        <v>2196</v>
      </c>
      <c r="I721" s="16">
        <f>IF(@Table1[[#This Row],[Delivery Date]]="","NA",@Table1[[#This Row],[Delivery Date]]+30)</f>
        <v>46074.0</v>
      </c>
      <c r="J721" s="35" t="s">
        <v>17</v>
      </c>
      <c r="K721" s="87"/>
      <c r="L721" s="89" t="s">
        <v>17</v>
      </c>
      <c r="M721" s="89"/>
      <c r="N721" s="89"/>
    </row>
    <row r="722" customHeight="1" ht="14.0">
      <c r="A722" s="64" t="s">
        <v>2197</v>
      </c>
      <c r="B722" s="22" t="s">
        <v>2198</v>
      </c>
      <c r="C722" s="64" t="s">
        <v>1039</v>
      </c>
      <c r="D722" s="65">
        <v>780.0</v>
      </c>
      <c r="E722" s="34">
        <v>46046</v>
      </c>
      <c r="F722" s="109" t="s">
        <v>565</v>
      </c>
      <c r="G722" s="96">
        <v>2.9967866E8</v>
      </c>
      <c r="H722" s="64" t="s">
        <v>2199</v>
      </c>
      <c r="I722" s="16">
        <f>IF(@Table1[[#This Row],[Delivery Date]]="","NA",@Table1[[#This Row],[Delivery Date]]+30)</f>
        <v>46076.0</v>
      </c>
      <c r="J722" s="35" t="s">
        <v>17</v>
      </c>
      <c r="K722" s="87"/>
      <c r="L722" s="89" t="s">
        <v>17</v>
      </c>
      <c r="M722" s="89"/>
      <c r="N722" s="89"/>
    </row>
    <row r="723" customHeight="1" ht="14.0">
      <c r="A723" s="64" t="s">
        <v>2200</v>
      </c>
      <c r="B723" s="22" t="s">
        <v>2201</v>
      </c>
      <c r="C723" s="64" t="s">
        <v>420</v>
      </c>
      <c r="D723" s="65">
        <v>1704.0</v>
      </c>
      <c r="E723" s="34">
        <v>46046</v>
      </c>
      <c r="F723" s="109" t="s">
        <v>565</v>
      </c>
      <c r="G723" s="96">
        <v>2.9967866E8</v>
      </c>
      <c r="H723" s="64" t="s">
        <v>2202</v>
      </c>
      <c r="I723" s="16">
        <f>IF(@Table1[[#This Row],[Delivery Date]]="","NA",@Table1[[#This Row],[Delivery Date]]+30)</f>
        <v>46076.0</v>
      </c>
      <c r="J723" s="35" t="s">
        <v>17</v>
      </c>
      <c r="K723" s="87"/>
      <c r="L723" s="89" t="s">
        <v>17</v>
      </c>
      <c r="M723" s="89"/>
      <c r="N723" s="89"/>
    </row>
    <row r="724" customHeight="1" ht="14.0">
      <c r="A724" s="64" t="s">
        <v>2203</v>
      </c>
      <c r="B724" s="22" t="s">
        <v>2204</v>
      </c>
      <c r="C724" s="64" t="s">
        <v>144</v>
      </c>
      <c r="D724" s="65">
        <v>786.0</v>
      </c>
      <c r="E724" s="34">
        <v>46049</v>
      </c>
      <c r="F724" s="109" t="s">
        <v>565</v>
      </c>
      <c r="G724" s="96">
        <v>2.99678509E8</v>
      </c>
      <c r="H724" s="64" t="s">
        <v>2205</v>
      </c>
      <c r="I724" s="16">
        <f>IF(@Table1[[#This Row],[Delivery Date]]="","NA",@Table1[[#This Row],[Delivery Date]]+30)</f>
        <v>46079.0</v>
      </c>
      <c r="J724" s="35" t="s">
        <f t="shared" ref="J724:J1298" si="15">IF(I724&lt;$Q$1,"Overdue","Pending")</f>
        <v>28</v>
      </c>
      <c r="K724" s="87"/>
      <c r="L724" s="89"/>
      <c r="M724" s="89"/>
      <c r="N724" s="89"/>
    </row>
    <row r="725" customHeight="1" ht="14.0">
      <c r="A725" s="64" t="s">
        <v>2206</v>
      </c>
      <c r="B725" s="22" t="s">
        <v>2207</v>
      </c>
      <c r="C725" s="64" t="s">
        <v>2208</v>
      </c>
      <c r="D725" s="65">
        <v>78.0</v>
      </c>
      <c r="E725" s="34">
        <v>46049</v>
      </c>
      <c r="F725" s="109" t="s">
        <v>565</v>
      </c>
      <c r="G725" s="96">
        <v>2.99678511E8</v>
      </c>
      <c r="H725" s="64" t="s">
        <v>2209</v>
      </c>
      <c r="I725" s="16">
        <f>IF(@Table1[[#This Row],[Delivery Date]]="","NA",@Table1[[#This Row],[Delivery Date]]+30)</f>
        <v>46079.0</v>
      </c>
      <c r="J725" s="35" t="s">
        <f t="shared" si="15"/>
        <v>28</v>
      </c>
      <c r="K725" s="87"/>
      <c r="L725" s="89"/>
      <c r="M725" s="89"/>
      <c r="N725" s="89"/>
    </row>
    <row r="726" customHeight="1" ht="14.0">
      <c r="A726" s="64" t="s">
        <v>2210</v>
      </c>
      <c r="B726" s="22" t="s">
        <v>2211</v>
      </c>
      <c r="C726" s="64" t="s">
        <v>2195</v>
      </c>
      <c r="D726" s="65">
        <v>1441.0</v>
      </c>
      <c r="E726" s="34">
        <v>46050</v>
      </c>
      <c r="F726" s="109" t="s">
        <v>565</v>
      </c>
      <c r="G726" s="96">
        <v>2.99678537E8</v>
      </c>
      <c r="H726" s="64" t="s">
        <v>2212</v>
      </c>
      <c r="I726" s="16">
        <f>IF(@Table1[[#This Row],[Delivery Date]]="","NA",@Table1[[#This Row],[Delivery Date]]+30)</f>
        <v>46080.0</v>
      </c>
      <c r="J726" s="35" t="s">
        <f t="shared" si="15"/>
        <v>28</v>
      </c>
      <c r="K726" s="87"/>
      <c r="L726" s="89"/>
      <c r="M726" s="89"/>
      <c r="N726" s="89"/>
    </row>
    <row r="727" customHeight="1" ht="14.0">
      <c r="A727" s="64" t="s">
        <v>2213</v>
      </c>
      <c r="B727" s="22" t="s">
        <v>2214</v>
      </c>
      <c r="C727" s="64" t="s">
        <v>2195</v>
      </c>
      <c r="D727" s="65">
        <v>628.0</v>
      </c>
      <c r="E727" s="34">
        <v>46050</v>
      </c>
      <c r="F727" s="109" t="s">
        <v>565</v>
      </c>
      <c r="G727" s="96">
        <v>2.99678537E8</v>
      </c>
      <c r="H727" s="64" t="s">
        <v>2215</v>
      </c>
      <c r="I727" s="16">
        <f>IF(@Table1[[#This Row],[Delivery Date]]="","NA",@Table1[[#This Row],[Delivery Date]]+30)</f>
        <v>46080.0</v>
      </c>
      <c r="J727" s="35" t="s">
        <f t="shared" si="15"/>
        <v>28</v>
      </c>
      <c r="K727" s="87"/>
      <c r="L727" s="89"/>
      <c r="M727" s="89"/>
      <c r="N727" s="89"/>
    </row>
    <row r="728" customHeight="1" ht="14.0">
      <c r="A728" s="64" t="s">
        <v>2216</v>
      </c>
      <c r="B728" s="22" t="s">
        <v>2217</v>
      </c>
      <c r="C728" s="64" t="s">
        <v>2195</v>
      </c>
      <c r="D728" s="65">
        <v>1629.0</v>
      </c>
      <c r="E728" s="34">
        <v>46050</v>
      </c>
      <c r="F728" s="109" t="s">
        <v>565</v>
      </c>
      <c r="G728" s="96">
        <v>2.99678537E8</v>
      </c>
      <c r="H728" s="64" t="s">
        <v>2218</v>
      </c>
      <c r="I728" s="16">
        <f>IF(@Table1[[#This Row],[Delivery Date]]="","NA",@Table1[[#This Row],[Delivery Date]]+30)</f>
        <v>46080.0</v>
      </c>
      <c r="J728" s="35" t="s">
        <f t="shared" si="15"/>
        <v>28</v>
      </c>
      <c r="K728" s="87"/>
      <c r="L728" s="89"/>
      <c r="M728" s="89"/>
      <c r="N728" s="89"/>
    </row>
    <row r="729" customHeight="1" ht="14.0">
      <c r="A729" s="64" t="s">
        <v>2219</v>
      </c>
      <c r="B729" s="22" t="s">
        <v>2220</v>
      </c>
      <c r="C729" s="64" t="s">
        <v>2195</v>
      </c>
      <c r="D729" s="65">
        <v>738.0</v>
      </c>
      <c r="E729" s="34">
        <v>46050</v>
      </c>
      <c r="F729" s="109" t="s">
        <v>565</v>
      </c>
      <c r="G729" s="96">
        <v>2.99678537E8</v>
      </c>
      <c r="H729" s="64" t="s">
        <v>2221</v>
      </c>
      <c r="I729" s="16">
        <f>IF(@Table1[[#This Row],[Delivery Date]]="","NA",@Table1[[#This Row],[Delivery Date]]+30)</f>
        <v>46080.0</v>
      </c>
      <c r="J729" s="35" t="s">
        <f t="shared" si="15"/>
        <v>28</v>
      </c>
      <c r="K729" s="87"/>
      <c r="L729" s="89"/>
      <c r="M729" s="89"/>
      <c r="N729" s="89"/>
    </row>
    <row r="730" customHeight="1" ht="14.0">
      <c r="A730" s="64" t="s">
        <v>2222</v>
      </c>
      <c r="B730" s="22" t="s">
        <v>2223</v>
      </c>
      <c r="C730" s="22" t="s">
        <v>1035</v>
      </c>
      <c r="D730" s="65">
        <v>1225.0</v>
      </c>
      <c r="E730" s="34">
        <v>46057</v>
      </c>
      <c r="F730" s="109" t="s">
        <v>565</v>
      </c>
      <c r="G730" s="96">
        <v>2.9967854E8</v>
      </c>
      <c r="H730" s="64" t="s">
        <v>2224</v>
      </c>
      <c r="I730" s="16">
        <f>IF(@Table1[[#This Row],[Delivery Date]]="","NA",@Table1[[#This Row],[Delivery Date]]+30)</f>
        <v>46087.0</v>
      </c>
      <c r="J730" s="35" t="s">
        <f t="shared" si="15"/>
        <v>28</v>
      </c>
      <c r="K730" s="87"/>
      <c r="L730" s="89"/>
      <c r="M730" s="89"/>
      <c r="N730" s="89"/>
    </row>
    <row r="731" customHeight="1" ht="14.0">
      <c r="A731" s="64" t="s">
        <v>2225</v>
      </c>
      <c r="B731" s="22" t="s">
        <v>2226</v>
      </c>
      <c r="C731" s="22" t="s">
        <v>1035</v>
      </c>
      <c r="D731" s="65">
        <v>889.0</v>
      </c>
      <c r="E731" s="34">
        <v>46057</v>
      </c>
      <c r="F731" s="109" t="s">
        <v>565</v>
      </c>
      <c r="G731" s="96">
        <v>2.9967854E8</v>
      </c>
      <c r="H731" s="64" t="s">
        <v>2227</v>
      </c>
      <c r="I731" s="16">
        <f>IF(@Table1[[#This Row],[Delivery Date]]="","NA",@Table1[[#This Row],[Delivery Date]]+30)</f>
        <v>46087.0</v>
      </c>
      <c r="J731" s="35" t="s">
        <f t="shared" si="15"/>
        <v>28</v>
      </c>
      <c r="K731" s="87"/>
      <c r="L731" s="89"/>
      <c r="M731" s="89"/>
      <c r="N731" s="89"/>
    </row>
    <row r="732" customHeight="1" ht="14.0">
      <c r="A732" s="64" t="s">
        <v>2228</v>
      </c>
      <c r="B732" s="22" t="s">
        <v>2229</v>
      </c>
      <c r="C732" s="22" t="s">
        <v>1035</v>
      </c>
      <c r="D732" s="65">
        <v>1083.0</v>
      </c>
      <c r="E732" s="34">
        <v>46057</v>
      </c>
      <c r="F732" s="109" t="s">
        <v>565</v>
      </c>
      <c r="G732" s="96">
        <v>2.9967854E8</v>
      </c>
      <c r="H732" s="64" t="s">
        <v>2230</v>
      </c>
      <c r="I732" s="16">
        <f>IF(@Table1[[#This Row],[Delivery Date]]="","NA",@Table1[[#This Row],[Delivery Date]]+30)</f>
        <v>46087.0</v>
      </c>
      <c r="J732" s="35" t="s">
        <f t="shared" si="15"/>
        <v>28</v>
      </c>
      <c r="K732" s="87"/>
      <c r="L732" s="89"/>
      <c r="M732" s="89"/>
      <c r="N732" s="89"/>
    </row>
    <row r="733" customHeight="1" ht="14.0">
      <c r="A733" s="64" t="s">
        <v>2231</v>
      </c>
      <c r="B733" s="22" t="s">
        <v>2232</v>
      </c>
      <c r="C733" s="22" t="s">
        <v>1035</v>
      </c>
      <c r="D733" s="65">
        <v>707.0</v>
      </c>
      <c r="E733" s="34">
        <v>46057</v>
      </c>
      <c r="F733" s="109" t="s">
        <v>565</v>
      </c>
      <c r="G733" s="96">
        <v>2.9967854E8</v>
      </c>
      <c r="H733" s="64" t="s">
        <v>2233</v>
      </c>
      <c r="I733" s="16">
        <f>IF(@Table1[[#This Row],[Delivery Date]]="","NA",@Table1[[#This Row],[Delivery Date]]+30)</f>
        <v>46087.0</v>
      </c>
      <c r="J733" s="35" t="s">
        <f t="shared" si="15"/>
        <v>28</v>
      </c>
      <c r="K733" s="87"/>
      <c r="L733" s="89"/>
      <c r="M733" s="89"/>
      <c r="N733" s="89"/>
    </row>
    <row r="734" customHeight="1" ht="14.0">
      <c r="A734" s="64" t="s">
        <v>2234</v>
      </c>
      <c r="B734" s="22" t="s">
        <v>2235</v>
      </c>
      <c r="C734" s="64" t="s">
        <v>1561</v>
      </c>
      <c r="D734" s="65">
        <v>432.0</v>
      </c>
      <c r="E734" s="34">
        <v>46050</v>
      </c>
      <c r="F734" s="109" t="s">
        <v>565</v>
      </c>
      <c r="G734" s="96">
        <v>2.99678529E8</v>
      </c>
      <c r="H734" s="64" t="s">
        <v>2236</v>
      </c>
      <c r="I734" s="16">
        <f>IF(@Table1[[#This Row],[Delivery Date]]="","NA",@Table1[[#This Row],[Delivery Date]]+30)</f>
        <v>46080.0</v>
      </c>
      <c r="J734" s="35" t="s">
        <f t="shared" si="15"/>
        <v>28</v>
      </c>
      <c r="K734" s="87"/>
      <c r="L734" s="89"/>
      <c r="M734" s="89"/>
      <c r="N734" s="89"/>
    </row>
    <row r="735" customHeight="1" ht="14.0">
      <c r="A735" s="64" t="s">
        <v>2237</v>
      </c>
      <c r="B735" s="22" t="s">
        <v>2238</v>
      </c>
      <c r="C735" s="64" t="s">
        <v>1717</v>
      </c>
      <c r="D735" s="65">
        <v>611.0</v>
      </c>
      <c r="E735" s="34">
        <v>46066</v>
      </c>
      <c r="F735" s="109" t="s">
        <v>565</v>
      </c>
      <c r="G735" s="96">
        <v>2.99678541E8</v>
      </c>
      <c r="H735" s="64" t="s">
        <v>2239</v>
      </c>
      <c r="I735" s="16">
        <f>IF(@Table1[[#This Row],[Delivery Date]]="","NA",@Table1[[#This Row],[Delivery Date]]+30)</f>
        <v>46096.0</v>
      </c>
      <c r="J735" s="35" t="s">
        <f t="shared" si="15"/>
        <v>28</v>
      </c>
      <c r="K735" s="87"/>
      <c r="L735" s="89"/>
      <c r="M735" s="89"/>
      <c r="N735" s="89"/>
    </row>
    <row r="736" customHeight="1" ht="14.0">
      <c r="A736" s="64" t="s">
        <v>2240</v>
      </c>
      <c r="B736" s="22" t="s">
        <v>2241</v>
      </c>
      <c r="C736" s="64" t="s">
        <v>1717</v>
      </c>
      <c r="D736" s="65">
        <v>297.0</v>
      </c>
      <c r="E736" s="34">
        <v>46066</v>
      </c>
      <c r="F736" s="109" t="s">
        <v>565</v>
      </c>
      <c r="G736" s="96">
        <v>2.99678541E8</v>
      </c>
      <c r="H736" s="64" t="s">
        <v>2242</v>
      </c>
      <c r="I736" s="16">
        <f>IF(@Table1[[#This Row],[Delivery Date]]="","NA",@Table1[[#This Row],[Delivery Date]]+30)</f>
        <v>46096.0</v>
      </c>
      <c r="J736" s="35" t="s">
        <f t="shared" si="15"/>
        <v>28</v>
      </c>
      <c r="K736" s="87"/>
      <c r="L736" s="89"/>
      <c r="M736" s="89"/>
      <c r="N736" s="89"/>
    </row>
    <row r="737" customHeight="1" ht="14.0">
      <c r="A737" s="64" t="s">
        <v>2243</v>
      </c>
      <c r="B737" s="22" t="s">
        <v>2244</v>
      </c>
      <c r="C737" s="64" t="s">
        <v>1717</v>
      </c>
      <c r="D737" s="65">
        <v>1242.0</v>
      </c>
      <c r="E737" s="34">
        <v>46066</v>
      </c>
      <c r="F737" s="109" t="s">
        <v>565</v>
      </c>
      <c r="G737" s="96">
        <v>2.99678541E8</v>
      </c>
      <c r="H737" s="64" t="s">
        <v>2245</v>
      </c>
      <c r="I737" s="16">
        <f>IF(@Table1[[#This Row],[Delivery Date]]="","NA",@Table1[[#This Row],[Delivery Date]]+30)</f>
        <v>46096.0</v>
      </c>
      <c r="J737" s="35" t="s">
        <f t="shared" si="15"/>
        <v>28</v>
      </c>
      <c r="K737" s="87"/>
      <c r="L737" s="89"/>
      <c r="M737" s="89"/>
      <c r="N737" s="89"/>
    </row>
    <row r="738" customHeight="1" ht="14.0">
      <c r="A738" s="64" t="s">
        <v>2246</v>
      </c>
      <c r="B738" s="22" t="s">
        <v>2247</v>
      </c>
      <c r="C738" s="64" t="s">
        <v>1039</v>
      </c>
      <c r="D738" s="65">
        <v>588.0</v>
      </c>
      <c r="E738" s="34">
        <v>46050</v>
      </c>
      <c r="F738" s="109" t="s">
        <v>565</v>
      </c>
      <c r="G738" s="96">
        <v>2.99678558E8</v>
      </c>
      <c r="H738" s="64" t="s">
        <v>2248</v>
      </c>
      <c r="I738" s="16">
        <f>IF(@Table1[[#This Row],[Delivery Date]]="","NA",@Table1[[#This Row],[Delivery Date]]+30)</f>
        <v>46080.0</v>
      </c>
      <c r="J738" s="35" t="s">
        <f t="shared" si="15"/>
        <v>28</v>
      </c>
      <c r="K738" s="87"/>
      <c r="L738" s="89"/>
      <c r="M738" s="89"/>
      <c r="N738" s="89"/>
    </row>
    <row r="739" customHeight="1" ht="14.0">
      <c r="A739" s="64" t="s">
        <v>2249</v>
      </c>
      <c r="B739" s="22" t="s">
        <v>2250</v>
      </c>
      <c r="C739" s="64" t="s">
        <v>1039</v>
      </c>
      <c r="D739" s="65">
        <v>1548.0</v>
      </c>
      <c r="E739" s="34">
        <v>46050</v>
      </c>
      <c r="F739" s="109" t="s">
        <v>565</v>
      </c>
      <c r="G739" s="96">
        <v>2.99678558E8</v>
      </c>
      <c r="H739" s="64" t="s">
        <v>2251</v>
      </c>
      <c r="I739" s="16">
        <f>IF(@Table1[[#This Row],[Delivery Date]]="","NA",@Table1[[#This Row],[Delivery Date]]+30)</f>
        <v>46080.0</v>
      </c>
      <c r="J739" s="35" t="s">
        <f t="shared" si="15"/>
        <v>28</v>
      </c>
      <c r="K739" s="87"/>
      <c r="L739" s="89"/>
      <c r="M739" s="89"/>
      <c r="N739" s="89"/>
    </row>
    <row r="740" customHeight="1" ht="14.0">
      <c r="A740" s="64" t="s">
        <v>2252</v>
      </c>
      <c r="B740" s="22" t="s">
        <v>2253</v>
      </c>
      <c r="C740" s="64" t="s">
        <v>1039</v>
      </c>
      <c r="D740" s="65">
        <v>3260.0</v>
      </c>
      <c r="E740" s="34">
        <v>46050</v>
      </c>
      <c r="F740" s="109" t="s">
        <v>565</v>
      </c>
      <c r="G740" s="96">
        <v>2.99678558E8</v>
      </c>
      <c r="H740" s="64" t="s">
        <v>2254</v>
      </c>
      <c r="I740" s="16">
        <f>IF(@Table1[[#This Row],[Delivery Date]]="","NA",@Table1[[#This Row],[Delivery Date]]+30)</f>
        <v>46080.0</v>
      </c>
      <c r="J740" s="35" t="s">
        <f t="shared" si="15"/>
        <v>28</v>
      </c>
      <c r="K740" s="87"/>
      <c r="L740" s="89"/>
      <c r="M740" s="89"/>
      <c r="N740" s="89"/>
    </row>
    <row r="741" customHeight="1" ht="14.0">
      <c r="A741" s="64" t="s">
        <v>2255</v>
      </c>
      <c r="B741" s="22" t="s">
        <v>2256</v>
      </c>
      <c r="C741" s="64" t="s">
        <v>1650</v>
      </c>
      <c r="D741" s="65">
        <v>288.0</v>
      </c>
      <c r="E741" s="34">
        <v>46071</v>
      </c>
      <c r="F741" s="109" t="s">
        <v>565</v>
      </c>
      <c r="G741" s="96">
        <v>2.99678551E8</v>
      </c>
      <c r="H741" s="64" t="s">
        <v>2257</v>
      </c>
      <c r="I741" s="16">
        <f>IF(@Table1[[#This Row],[Delivery Date]]="","NA",@Table1[[#This Row],[Delivery Date]]+30)</f>
        <v>46101.0</v>
      </c>
      <c r="J741" s="35" t="s">
        <f t="shared" si="15"/>
        <v>28</v>
      </c>
      <c r="K741" s="87"/>
      <c r="L741" s="89"/>
      <c r="M741" s="89"/>
      <c r="N741" s="89"/>
    </row>
    <row r="742" customHeight="1" ht="14.0">
      <c r="A742" s="64" t="s">
        <v>2258</v>
      </c>
      <c r="B742" s="22" t="s">
        <v>2259</v>
      </c>
      <c r="C742" s="64" t="s">
        <v>1650</v>
      </c>
      <c r="D742" s="65">
        <v>1224.0</v>
      </c>
      <c r="E742" s="34">
        <v>46071</v>
      </c>
      <c r="F742" s="109" t="s">
        <v>565</v>
      </c>
      <c r="G742" s="96">
        <v>2.99678551E8</v>
      </c>
      <c r="H742" s="64" t="s">
        <v>2260</v>
      </c>
      <c r="I742" s="16">
        <f>IF(@Table1[[#This Row],[Delivery Date]]="","NA",@Table1[[#This Row],[Delivery Date]]+30)</f>
        <v>46101.0</v>
      </c>
      <c r="J742" s="35" t="s">
        <f t="shared" si="15"/>
        <v>28</v>
      </c>
      <c r="K742" s="87"/>
      <c r="L742" s="89"/>
      <c r="M742" s="89"/>
      <c r="N742" s="89"/>
    </row>
    <row r="743" customHeight="1" ht="14.0">
      <c r="A743" s="64" t="s">
        <v>2261</v>
      </c>
      <c r="B743" s="22" t="s">
        <v>2262</v>
      </c>
      <c r="C743" s="64" t="s">
        <v>1427</v>
      </c>
      <c r="D743" s="65">
        <v>358.0</v>
      </c>
      <c r="E743" s="34">
        <v>46052</v>
      </c>
      <c r="F743" s="109" t="s">
        <v>565</v>
      </c>
      <c r="G743" s="96">
        <v>2.99678552E8</v>
      </c>
      <c r="H743" s="64" t="s">
        <v>2263</v>
      </c>
      <c r="I743" s="16">
        <f>IF(@Table1[[#This Row],[Delivery Date]]="","NA",@Table1[[#This Row],[Delivery Date]]+30)</f>
        <v>46082.0</v>
      </c>
      <c r="J743" s="35" t="s">
        <f t="shared" si="15"/>
        <v>28</v>
      </c>
      <c r="K743" s="87"/>
      <c r="L743" s="89"/>
      <c r="M743" s="89"/>
      <c r="N743" s="89"/>
    </row>
    <row r="744" customHeight="1" ht="14.0">
      <c r="A744" s="64" t="s">
        <v>2264</v>
      </c>
      <c r="B744" s="22" t="s">
        <v>2265</v>
      </c>
      <c r="C744" s="64" t="s">
        <v>1427</v>
      </c>
      <c r="D744" s="65">
        <v>1043.0</v>
      </c>
      <c r="E744" s="34">
        <v>46052</v>
      </c>
      <c r="F744" s="109" t="s">
        <v>565</v>
      </c>
      <c r="G744" s="96">
        <v>2.99678552E8</v>
      </c>
      <c r="H744" s="64" t="s">
        <v>2266</v>
      </c>
      <c r="I744" s="16">
        <f>IF(@Table1[[#This Row],[Delivery Date]]="","NA",@Table1[[#This Row],[Delivery Date]]+30)</f>
        <v>46082.0</v>
      </c>
      <c r="J744" s="35" t="s">
        <f t="shared" si="15"/>
        <v>28</v>
      </c>
      <c r="K744" s="87"/>
      <c r="L744" s="89"/>
      <c r="M744" s="89"/>
      <c r="N744" s="89"/>
    </row>
    <row r="745" customHeight="1" ht="14.0">
      <c r="A745" s="118" t="s">
        <v>2267</v>
      </c>
      <c r="B745" s="42" t="s">
        <v>2268</v>
      </c>
      <c r="C745" s="118" t="s">
        <v>141</v>
      </c>
      <c r="D745" s="137">
        <v>494.0</v>
      </c>
      <c r="E745" s="120">
        <v>46054</v>
      </c>
      <c r="F745" s="122" t="s">
        <v>565</v>
      </c>
      <c r="G745" s="138">
        <v>2.99678547E8</v>
      </c>
      <c r="H745" s="118" t="s">
        <v>108</v>
      </c>
      <c r="I745" s="16">
        <f>IF(@Table1[[#This Row],[Delivery Date]]="","NA",@Table1[[#This Row],[Delivery Date]]+30)</f>
        <v>46084.0</v>
      </c>
      <c r="J745" s="35" t="s">
        <f t="shared" si="15"/>
        <v>28</v>
      </c>
      <c r="K745" s="87"/>
      <c r="L745" s="89"/>
      <c r="M745" s="89"/>
      <c r="N745" s="89"/>
    </row>
    <row r="746" customHeight="1" ht="14.0">
      <c r="A746" s="64" t="s">
        <v>2269</v>
      </c>
      <c r="B746" s="22" t="s">
        <v>2270</v>
      </c>
      <c r="C746" s="64" t="s">
        <v>141</v>
      </c>
      <c r="D746" s="65">
        <v>1057.0</v>
      </c>
      <c r="E746" s="34">
        <v>46054</v>
      </c>
      <c r="F746" s="109" t="s">
        <v>565</v>
      </c>
      <c r="G746" s="96">
        <v>2.99678547E8</v>
      </c>
      <c r="H746" s="64" t="s">
        <v>2271</v>
      </c>
      <c r="I746" s="16">
        <f>IF(@Table1[[#This Row],[Delivery Date]]="","NA",@Table1[[#This Row],[Delivery Date]]+30)</f>
        <v>46084.0</v>
      </c>
      <c r="J746" s="35" t="s">
        <f t="shared" si="15"/>
        <v>28</v>
      </c>
      <c r="K746" s="87"/>
      <c r="L746" s="89"/>
      <c r="M746" s="89"/>
      <c r="N746" s="89"/>
    </row>
    <row r="747" customHeight="1" ht="14.0">
      <c r="A747" s="64" t="s">
        <v>2272</v>
      </c>
      <c r="B747" s="22" t="s">
        <v>2273</v>
      </c>
      <c r="C747" s="64" t="s">
        <v>1284</v>
      </c>
      <c r="D747" s="65">
        <v>1228.0</v>
      </c>
      <c r="E747" s="34">
        <v>46052</v>
      </c>
      <c r="F747" s="109" t="s">
        <v>565</v>
      </c>
      <c r="G747" s="96">
        <v>2.99678548E8</v>
      </c>
      <c r="H747" s="64" t="s">
        <v>2274</v>
      </c>
      <c r="I747" s="16">
        <f>IF(@Table1[[#This Row],[Delivery Date]]="","NA",@Table1[[#This Row],[Delivery Date]]+30)</f>
        <v>46082.0</v>
      </c>
      <c r="J747" s="35" t="s">
        <f t="shared" si="15"/>
        <v>28</v>
      </c>
      <c r="K747" s="87"/>
      <c r="L747" s="89"/>
      <c r="M747" s="89"/>
      <c r="N747" s="89"/>
    </row>
    <row r="748" customHeight="1" ht="14.0">
      <c r="A748" s="64" t="s">
        <v>2275</v>
      </c>
      <c r="B748" s="22" t="s">
        <v>2276</v>
      </c>
      <c r="C748" s="64" t="s">
        <v>1047</v>
      </c>
      <c r="D748" s="65">
        <v>612.0</v>
      </c>
      <c r="E748" s="34">
        <v>46054</v>
      </c>
      <c r="F748" s="109" t="s">
        <v>565</v>
      </c>
      <c r="G748" s="96">
        <v>2.99678549E8</v>
      </c>
      <c r="H748" s="64" t="s">
        <v>2277</v>
      </c>
      <c r="I748" s="16">
        <f>IF(@Table1[[#This Row],[Delivery Date]]="","NA",@Table1[[#This Row],[Delivery Date]]+30)</f>
        <v>46084.0</v>
      </c>
      <c r="J748" s="35" t="s">
        <f t="shared" si="15"/>
        <v>28</v>
      </c>
      <c r="K748" s="87"/>
      <c r="L748" s="89"/>
      <c r="M748" s="89"/>
      <c r="N748" s="89"/>
    </row>
    <row r="749" customHeight="1" ht="14.0">
      <c r="A749" s="64" t="s">
        <v>2278</v>
      </c>
      <c r="B749" s="22" t="s">
        <v>2279</v>
      </c>
      <c r="C749" s="64" t="s">
        <v>2280</v>
      </c>
      <c r="D749" s="65">
        <v>642.0</v>
      </c>
      <c r="E749" s="34">
        <v>46054</v>
      </c>
      <c r="F749" s="109" t="s">
        <v>565</v>
      </c>
      <c r="G749" s="96">
        <v>2.99678553E8</v>
      </c>
      <c r="H749" s="64" t="s">
        <v>2281</v>
      </c>
      <c r="I749" s="16">
        <f>IF(@Table1[[#This Row],[Delivery Date]]="","NA",@Table1[[#This Row],[Delivery Date]]+30)</f>
        <v>46084.0</v>
      </c>
      <c r="J749" s="35" t="s">
        <f t="shared" si="15"/>
        <v>28</v>
      </c>
      <c r="K749" s="87"/>
      <c r="L749" s="89"/>
      <c r="M749" s="89"/>
      <c r="N749" s="89"/>
    </row>
    <row r="750" customHeight="1" ht="14.0">
      <c r="A750" s="64" t="s">
        <v>2282</v>
      </c>
      <c r="B750" s="22" t="s">
        <v>2283</v>
      </c>
      <c r="C750" s="64" t="s">
        <v>1728</v>
      </c>
      <c r="D750" s="65">
        <v>576.0</v>
      </c>
      <c r="E750" s="34">
        <v>46052</v>
      </c>
      <c r="F750" s="109" t="s">
        <v>565</v>
      </c>
      <c r="G750" s="96">
        <v>2.9967855E8</v>
      </c>
      <c r="H750" s="64" t="s">
        <v>2284</v>
      </c>
      <c r="I750" s="16">
        <f>IF(@Table1[[#This Row],[Delivery Date]]="","NA",@Table1[[#This Row],[Delivery Date]]+30)</f>
        <v>46082.0</v>
      </c>
      <c r="J750" s="35" t="s">
        <f t="shared" si="15"/>
        <v>28</v>
      </c>
      <c r="K750" s="87"/>
      <c r="L750" s="89"/>
      <c r="M750" s="89"/>
      <c r="N750" s="89"/>
    </row>
    <row r="751" customHeight="1" ht="14.0">
      <c r="A751" s="64" t="s">
        <v>2285</v>
      </c>
      <c r="B751" s="22" t="s">
        <v>2286</v>
      </c>
      <c r="C751" s="64" t="s">
        <v>2125</v>
      </c>
      <c r="D751" s="65">
        <v>647.0</v>
      </c>
      <c r="E751" s="34">
        <v>46053</v>
      </c>
      <c r="F751" s="109" t="s">
        <v>565</v>
      </c>
      <c r="G751" s="96">
        <v>2.99678559E8</v>
      </c>
      <c r="H751" s="64" t="s">
        <v>2287</v>
      </c>
      <c r="I751" s="16">
        <f>IF(@Table1[[#This Row],[Delivery Date]]="","NA",@Table1[[#This Row],[Delivery Date]]+30)</f>
        <v>46083.0</v>
      </c>
      <c r="J751" s="35" t="s">
        <f t="shared" si="15"/>
        <v>28</v>
      </c>
      <c r="K751" s="87"/>
      <c r="L751" s="89"/>
      <c r="M751" s="89"/>
      <c r="N751" s="89"/>
    </row>
    <row r="752" customHeight="1" ht="14.0">
      <c r="A752" s="64" t="s">
        <v>2288</v>
      </c>
      <c r="B752" s="22" t="s">
        <v>2289</v>
      </c>
      <c r="C752" s="64" t="s">
        <v>2125</v>
      </c>
      <c r="D752" s="65">
        <v>36.0</v>
      </c>
      <c r="E752" s="34">
        <v>46053</v>
      </c>
      <c r="F752" s="109" t="s">
        <v>565</v>
      </c>
      <c r="G752" s="96">
        <v>2.99678559E8</v>
      </c>
      <c r="H752" s="64" t="s">
        <v>2290</v>
      </c>
      <c r="I752" s="16">
        <f>IF(@Table1[[#This Row],[Delivery Date]]="","NA",@Table1[[#This Row],[Delivery Date]]+30)</f>
        <v>46083.0</v>
      </c>
      <c r="J752" s="35" t="s">
        <f t="shared" si="15"/>
        <v>28</v>
      </c>
      <c r="K752" s="87"/>
      <c r="L752" s="89"/>
      <c r="M752" s="89"/>
      <c r="N752" s="89"/>
    </row>
    <row r="753" customHeight="1" ht="14.0">
      <c r="A753" s="64" t="s">
        <v>2291</v>
      </c>
      <c r="B753" s="22" t="s">
        <v>2292</v>
      </c>
      <c r="C753" s="64" t="s">
        <v>1066</v>
      </c>
      <c r="D753" s="65">
        <v>600.0</v>
      </c>
      <c r="E753" s="34">
        <v>46053</v>
      </c>
      <c r="F753" s="109" t="s">
        <v>565</v>
      </c>
      <c r="G753" s="96">
        <v>2.99678557E8</v>
      </c>
      <c r="H753" s="64" t="s">
        <v>2293</v>
      </c>
      <c r="I753" s="16">
        <f>IF(@Table1[[#This Row],[Delivery Date]]="","NA",@Table1[[#This Row],[Delivery Date]]+30)</f>
        <v>46083.0</v>
      </c>
      <c r="J753" s="35" t="s">
        <f t="shared" si="15"/>
        <v>28</v>
      </c>
      <c r="K753" s="87"/>
      <c r="L753" s="89"/>
      <c r="M753" s="89"/>
      <c r="N753" s="89"/>
    </row>
    <row r="754" customHeight="1" ht="14.0">
      <c r="A754" s="64" t="s">
        <v>2294</v>
      </c>
      <c r="B754" s="22" t="s">
        <v>2295</v>
      </c>
      <c r="C754" s="64" t="s">
        <v>1319</v>
      </c>
      <c r="D754" s="65">
        <v>789.0</v>
      </c>
      <c r="E754" s="34">
        <v>46054</v>
      </c>
      <c r="F754" s="109" t="s">
        <v>565</v>
      </c>
      <c r="G754" s="96">
        <v>2.9967856E8</v>
      </c>
      <c r="H754" s="64" t="s">
        <v>2296</v>
      </c>
      <c r="I754" s="16">
        <f>IF(@Table1[[#This Row],[Delivery Date]]="","NA",@Table1[[#This Row],[Delivery Date]]+30)</f>
        <v>46084.0</v>
      </c>
      <c r="J754" s="35" t="s">
        <f t="shared" si="15"/>
        <v>28</v>
      </c>
      <c r="K754" s="87"/>
      <c r="L754" s="89"/>
      <c r="M754" s="89"/>
      <c r="N754" s="89"/>
    </row>
    <row r="755" customHeight="1" ht="14.0">
      <c r="A755" s="64" t="s">
        <v>2297</v>
      </c>
      <c r="B755" s="22" t="s">
        <v>2298</v>
      </c>
      <c r="C755" s="64" t="s">
        <v>1319</v>
      </c>
      <c r="D755" s="65">
        <v>36.0</v>
      </c>
      <c r="E755" s="34">
        <v>46054</v>
      </c>
      <c r="F755" s="109" t="s">
        <v>565</v>
      </c>
      <c r="G755" s="96">
        <v>2.9967856E8</v>
      </c>
      <c r="H755" s="64" t="s">
        <v>2299</v>
      </c>
      <c r="I755" s="16">
        <f>IF(@Table1[[#This Row],[Delivery Date]]="","NA",@Table1[[#This Row],[Delivery Date]]+30)</f>
        <v>46084.0</v>
      </c>
      <c r="J755" s="35" t="s">
        <f t="shared" si="15"/>
        <v>28</v>
      </c>
      <c r="K755" s="87"/>
      <c r="L755" s="89"/>
      <c r="M755" s="89"/>
      <c r="N755" s="89"/>
    </row>
    <row r="756" customHeight="1" ht="14.0">
      <c r="A756" s="64" t="s">
        <v>2300</v>
      </c>
      <c r="B756" s="22" t="s">
        <v>2301</v>
      </c>
      <c r="C756" s="64" t="s">
        <v>1319</v>
      </c>
      <c r="D756" s="65">
        <v>792.0</v>
      </c>
      <c r="E756" s="34">
        <v>46057</v>
      </c>
      <c r="F756" s="109" t="s">
        <v>565</v>
      </c>
      <c r="G756" s="96">
        <v>2.86599174E8</v>
      </c>
      <c r="H756" s="64" t="s">
        <v>2302</v>
      </c>
      <c r="I756" s="16">
        <f>IF(@Table1[[#This Row],[Delivery Date]]="","NA",@Table1[[#This Row],[Delivery Date]]+30)</f>
        <v>46087.0</v>
      </c>
      <c r="J756" s="35" t="s">
        <f t="shared" si="15"/>
        <v>28</v>
      </c>
      <c r="K756" s="87"/>
      <c r="L756" s="89"/>
      <c r="M756" s="89"/>
      <c r="N756" s="89"/>
    </row>
    <row r="757" customHeight="1" ht="14.0">
      <c r="A757" s="64" t="s">
        <v>2303</v>
      </c>
      <c r="B757" s="22" t="s">
        <v>2304</v>
      </c>
      <c r="C757" s="64" t="s">
        <v>1284</v>
      </c>
      <c r="D757" s="65">
        <v>600.0</v>
      </c>
      <c r="E757" s="34">
        <v>46057</v>
      </c>
      <c r="F757" s="109" t="s">
        <v>565</v>
      </c>
      <c r="G757" s="96">
        <v>2.86599168E8</v>
      </c>
      <c r="H757" s="64" t="s">
        <v>2305</v>
      </c>
      <c r="I757" s="16">
        <f>IF(@Table1[[#This Row],[Delivery Date]]="","NA",@Table1[[#This Row],[Delivery Date]]+30)</f>
        <v>46087.0</v>
      </c>
      <c r="J757" s="35" t="s">
        <f t="shared" si="15"/>
        <v>28</v>
      </c>
      <c r="K757" s="87"/>
      <c r="L757" s="89"/>
      <c r="M757" s="89"/>
      <c r="N757" s="89"/>
    </row>
    <row r="758" customHeight="1" ht="14.0">
      <c r="A758" s="64" t="s">
        <v>2306</v>
      </c>
      <c r="B758" s="22" t="s">
        <v>2307</v>
      </c>
      <c r="C758" s="64" t="s">
        <v>1669</v>
      </c>
      <c r="D758" s="65">
        <v>468.0</v>
      </c>
      <c r="E758" s="34">
        <v>46061</v>
      </c>
      <c r="F758" s="109" t="s">
        <v>565</v>
      </c>
      <c r="G758" s="96">
        <v>2.86599175E8</v>
      </c>
      <c r="H758" s="64" t="s">
        <v>2308</v>
      </c>
      <c r="I758" s="16">
        <f>IF(@Table1[[#This Row],[Delivery Date]]="","NA",@Table1[[#This Row],[Delivery Date]]+30)</f>
        <v>46091.0</v>
      </c>
      <c r="J758" s="35" t="s">
        <f t="shared" si="15"/>
        <v>28</v>
      </c>
      <c r="K758" s="87"/>
      <c r="L758" s="89"/>
      <c r="M758" s="89"/>
      <c r="N758" s="89"/>
    </row>
    <row r="759" customHeight="1" ht="14.0">
      <c r="A759" s="64" t="s">
        <v>2309</v>
      </c>
      <c r="B759" s="22" t="s">
        <v>2310</v>
      </c>
      <c r="C759" s="64" t="s">
        <v>1066</v>
      </c>
      <c r="D759" s="65">
        <v>771.0</v>
      </c>
      <c r="E759" s="34">
        <v>46060</v>
      </c>
      <c r="F759" s="109" t="s">
        <v>565</v>
      </c>
      <c r="G759" s="96">
        <v>2.86599169E8</v>
      </c>
      <c r="H759" s="64" t="s">
        <v>2311</v>
      </c>
      <c r="I759" s="16">
        <f>IF(@Table1[[#This Row],[Delivery Date]]="","NA",@Table1[[#This Row],[Delivery Date]]+30)</f>
        <v>46090.0</v>
      </c>
      <c r="J759" s="35" t="s">
        <f t="shared" si="15"/>
        <v>28</v>
      </c>
      <c r="K759" s="87"/>
      <c r="L759" s="89"/>
      <c r="M759" s="89"/>
      <c r="N759" s="89"/>
    </row>
    <row r="760" customHeight="1" ht="14.0">
      <c r="A760" s="64" t="s">
        <v>2312</v>
      </c>
      <c r="B760" s="22" t="s">
        <v>2313</v>
      </c>
      <c r="C760" s="64" t="s">
        <v>2195</v>
      </c>
      <c r="D760" s="65">
        <v>1049.0</v>
      </c>
      <c r="E760" s="34">
        <v>46056</v>
      </c>
      <c r="F760" s="109" t="s">
        <v>565</v>
      </c>
      <c r="G760" s="96">
        <v>2.8659917E8</v>
      </c>
      <c r="H760" s="64" t="s">
        <v>2314</v>
      </c>
      <c r="I760" s="16">
        <f>IF(@Table1[[#This Row],[Delivery Date]]="","NA",@Table1[[#This Row],[Delivery Date]]+30)</f>
        <v>46086.0</v>
      </c>
      <c r="J760" s="35" t="s">
        <f t="shared" si="15"/>
        <v>28</v>
      </c>
      <c r="K760" s="87"/>
      <c r="L760" s="89"/>
      <c r="M760" s="89"/>
      <c r="N760" s="89"/>
    </row>
    <row r="761" customHeight="1" ht="14.0">
      <c r="A761" s="64" t="s">
        <v>2315</v>
      </c>
      <c r="B761" s="22" t="s">
        <v>2316</v>
      </c>
      <c r="C761" s="64" t="s">
        <v>1047</v>
      </c>
      <c r="D761" s="65">
        <v>612.0</v>
      </c>
      <c r="E761" s="34">
        <v>46059</v>
      </c>
      <c r="F761" s="109" t="s">
        <v>565</v>
      </c>
      <c r="G761" s="96">
        <v>2.86599171E8</v>
      </c>
      <c r="H761" s="64" t="s">
        <v>2317</v>
      </c>
      <c r="I761" s="16">
        <f>IF(@Table1[[#This Row],[Delivery Date]]="","NA",@Table1[[#This Row],[Delivery Date]]+30)</f>
        <v>46089.0</v>
      </c>
      <c r="J761" s="35" t="s">
        <f t="shared" si="15"/>
        <v>28</v>
      </c>
      <c r="K761" s="87"/>
      <c r="L761" s="89"/>
      <c r="M761" s="89"/>
      <c r="N761" s="89"/>
    </row>
    <row r="762" customHeight="1" ht="14.0">
      <c r="A762" s="64" t="s">
        <v>2318</v>
      </c>
      <c r="B762" s="22" t="s">
        <v>2319</v>
      </c>
      <c r="C762" s="22" t="s">
        <v>1035</v>
      </c>
      <c r="D762" s="65">
        <v>1675.0</v>
      </c>
      <c r="E762" s="34">
        <v>46057</v>
      </c>
      <c r="F762" s="109" t="s">
        <v>565</v>
      </c>
      <c r="G762" s="96">
        <v>2.86599172E8</v>
      </c>
      <c r="H762" s="64" t="s">
        <v>2320</v>
      </c>
      <c r="I762" s="16">
        <f>IF(@Table1[[#This Row],[Delivery Date]]="","NA",@Table1[[#This Row],[Delivery Date]]+30)</f>
        <v>46087.0</v>
      </c>
      <c r="J762" s="35" t="s">
        <f t="shared" si="15"/>
        <v>28</v>
      </c>
      <c r="K762" s="87"/>
      <c r="L762" s="89"/>
      <c r="M762" s="89"/>
      <c r="N762" s="89"/>
    </row>
    <row r="763" customHeight="1" ht="14.0">
      <c r="A763" s="64" t="s">
        <v>2321</v>
      </c>
      <c r="B763" s="22" t="s">
        <v>2322</v>
      </c>
      <c r="C763" s="64" t="s">
        <v>141</v>
      </c>
      <c r="D763" s="65">
        <v>1074.0</v>
      </c>
      <c r="E763" s="34">
        <v>46065</v>
      </c>
      <c r="F763" s="109" t="s">
        <v>565</v>
      </c>
      <c r="G763" s="96">
        <v>2.86599173E8</v>
      </c>
      <c r="H763" s="64" t="s">
        <v>2323</v>
      </c>
      <c r="I763" s="16">
        <f>IF(@Table1[[#This Row],[Delivery Date]]="","NA",@Table1[[#This Row],[Delivery Date]]+30)</f>
        <v>46095.0</v>
      </c>
      <c r="J763" s="35" t="s">
        <f t="shared" si="15"/>
        <v>28</v>
      </c>
      <c r="K763" s="87"/>
      <c r="L763" s="89"/>
      <c r="M763" s="89"/>
      <c r="N763" s="89"/>
    </row>
    <row r="764" customHeight="1" ht="14.0">
      <c r="A764" s="64" t="s">
        <v>2324</v>
      </c>
      <c r="B764" s="22" t="s">
        <v>2325</v>
      </c>
      <c r="C764" s="64" t="s">
        <v>1728</v>
      </c>
      <c r="D764" s="65">
        <v>516.0</v>
      </c>
      <c r="E764" s="34">
        <v>46056</v>
      </c>
      <c r="F764" s="109" t="s">
        <v>565</v>
      </c>
      <c r="G764" s="96">
        <v>2.86599177E8</v>
      </c>
      <c r="H764" s="64" t="s">
        <v>2326</v>
      </c>
      <c r="I764" s="16">
        <f>IF(@Table1[[#This Row],[Delivery Date]]="","NA",@Table1[[#This Row],[Delivery Date]]+30)</f>
        <v>46086.0</v>
      </c>
      <c r="J764" s="35" t="s">
        <f t="shared" si="15"/>
        <v>28</v>
      </c>
      <c r="K764" s="87"/>
      <c r="L764" s="89"/>
      <c r="M764" s="89"/>
      <c r="N764" s="89"/>
    </row>
    <row r="765" customHeight="1" ht="14.0">
      <c r="A765" s="64" t="s">
        <v>2327</v>
      </c>
      <c r="B765" s="22" t="s">
        <v>2328</v>
      </c>
      <c r="C765" s="64" t="s">
        <v>1561</v>
      </c>
      <c r="D765" s="65">
        <v>648.0</v>
      </c>
      <c r="E765" s="34">
        <v>46057</v>
      </c>
      <c r="F765" s="109" t="s">
        <v>565</v>
      </c>
      <c r="G765" s="96">
        <v>2.86599178E8</v>
      </c>
      <c r="H765" s="64" t="s">
        <v>2329</v>
      </c>
      <c r="I765" s="16">
        <f>IF(@Table1[[#This Row],[Delivery Date]]="","NA",@Table1[[#This Row],[Delivery Date]]+30)</f>
        <v>46087.0</v>
      </c>
      <c r="J765" s="35" t="s">
        <f t="shared" si="15"/>
        <v>28</v>
      </c>
      <c r="K765" s="87"/>
      <c r="L765" s="89"/>
      <c r="M765" s="89"/>
      <c r="N765" s="89"/>
    </row>
    <row r="766" customHeight="1" ht="14.0">
      <c r="A766" s="64" t="s">
        <v>2330</v>
      </c>
      <c r="B766" s="22" t="s">
        <v>2331</v>
      </c>
      <c r="C766" s="64" t="s">
        <v>1669</v>
      </c>
      <c r="D766" s="65">
        <v>984.0</v>
      </c>
      <c r="E766" s="34">
        <v>46061</v>
      </c>
      <c r="F766" s="109" t="s">
        <v>565</v>
      </c>
      <c r="G766" s="96">
        <v>2.86599183E8</v>
      </c>
      <c r="H766" s="64" t="s">
        <v>2332</v>
      </c>
      <c r="I766" s="16">
        <f>IF(@Table1[[#This Row],[Delivery Date]]="","NA",@Table1[[#This Row],[Delivery Date]]+30)</f>
        <v>46091.0</v>
      </c>
      <c r="J766" s="35" t="s">
        <f t="shared" si="15"/>
        <v>28</v>
      </c>
      <c r="K766" s="87"/>
      <c r="L766" s="89"/>
      <c r="M766" s="89"/>
      <c r="N766" s="89"/>
    </row>
    <row r="767" customHeight="1" ht="14.0">
      <c r="A767" s="64" t="s">
        <v>2333</v>
      </c>
      <c r="B767" s="22" t="s">
        <v>2334</v>
      </c>
      <c r="C767" s="64" t="s">
        <v>2195</v>
      </c>
      <c r="D767" s="65">
        <v>540.0</v>
      </c>
      <c r="E767" s="34">
        <v>46061</v>
      </c>
      <c r="F767" s="109" t="s">
        <v>565</v>
      </c>
      <c r="G767" s="96">
        <v>2.86600137E8</v>
      </c>
      <c r="H767" s="64" t="s">
        <v>2335</v>
      </c>
      <c r="I767" s="16">
        <f>IF(@Table1[[#This Row],[Delivery Date]]="","NA",@Table1[[#This Row],[Delivery Date]]+30)</f>
        <v>46091.0</v>
      </c>
      <c r="J767" s="35" t="s">
        <f t="shared" si="15"/>
        <v>28</v>
      </c>
      <c r="K767" s="87"/>
      <c r="L767" s="89"/>
      <c r="M767" s="89"/>
      <c r="N767" s="89"/>
    </row>
    <row r="768" customHeight="1" ht="14.0">
      <c r="A768" s="64" t="s">
        <v>2336</v>
      </c>
      <c r="B768" s="22" t="s">
        <v>2337</v>
      </c>
      <c r="C768" s="64" t="s">
        <v>1717</v>
      </c>
      <c r="D768" s="65">
        <v>540.0</v>
      </c>
      <c r="E768" s="34">
        <v>46060</v>
      </c>
      <c r="F768" s="109" t="s">
        <v>565</v>
      </c>
      <c r="G768" s="96">
        <v>2.86600138E8</v>
      </c>
      <c r="H768" s="64" t="s">
        <v>2338</v>
      </c>
      <c r="I768" s="16">
        <f>IF(@Table1[[#This Row],[Delivery Date]]="","NA",@Table1[[#This Row],[Delivery Date]]+30)</f>
        <v>46090.0</v>
      </c>
      <c r="J768" s="35" t="s">
        <f t="shared" si="15"/>
        <v>28</v>
      </c>
      <c r="K768" s="87"/>
      <c r="L768" s="89"/>
      <c r="M768" s="89"/>
      <c r="N768" s="89"/>
    </row>
    <row r="769" customHeight="1" ht="14.0">
      <c r="A769" s="64" t="s">
        <v>2339</v>
      </c>
      <c r="B769" s="22" t="s">
        <v>2340</v>
      </c>
      <c r="C769" s="64" t="s">
        <v>1650</v>
      </c>
      <c r="D769" s="65">
        <v>540.0</v>
      </c>
      <c r="E769" s="34">
        <v>46060</v>
      </c>
      <c r="F769" s="109" t="s">
        <v>565</v>
      </c>
      <c r="G769" s="96">
        <v>2.86600139E8</v>
      </c>
      <c r="H769" s="64" t="s">
        <v>2341</v>
      </c>
      <c r="I769" s="16">
        <f>IF(@Table1[[#This Row],[Delivery Date]]="","NA",@Table1[[#This Row],[Delivery Date]]+30)</f>
        <v>46090.0</v>
      </c>
      <c r="J769" s="35" t="s">
        <f t="shared" si="15"/>
        <v>28</v>
      </c>
      <c r="K769" s="87"/>
      <c r="L769" s="89"/>
      <c r="M769" s="89"/>
      <c r="N769" s="89"/>
    </row>
    <row r="770" customHeight="1" ht="14.0">
      <c r="A770" s="64" t="s">
        <v>2342</v>
      </c>
      <c r="B770" s="22" t="s">
        <v>2343</v>
      </c>
      <c r="C770" s="64" t="s">
        <v>1047</v>
      </c>
      <c r="D770" s="65">
        <v>540.0</v>
      </c>
      <c r="E770" s="34">
        <v>46061</v>
      </c>
      <c r="F770" s="109" t="s">
        <v>565</v>
      </c>
      <c r="G770" s="96">
        <v>2.86600141E8</v>
      </c>
      <c r="H770" s="64" t="s">
        <v>2344</v>
      </c>
      <c r="I770" s="16">
        <f>IF(@Table1[[#This Row],[Delivery Date]]="","NA",@Table1[[#This Row],[Delivery Date]]+30)</f>
        <v>46091.0</v>
      </c>
      <c r="J770" s="35" t="s">
        <f t="shared" si="15"/>
        <v>28</v>
      </c>
      <c r="K770" s="87"/>
      <c r="L770" s="89"/>
      <c r="M770" s="89"/>
      <c r="N770" s="89"/>
    </row>
    <row r="771" customHeight="1" ht="14.0">
      <c r="A771" s="64" t="s">
        <v>2345</v>
      </c>
      <c r="B771" s="22" t="s">
        <v>2346</v>
      </c>
      <c r="C771" s="64" t="s">
        <v>2125</v>
      </c>
      <c r="D771" s="65">
        <v>1035.0</v>
      </c>
      <c r="E771" s="34">
        <v>46058</v>
      </c>
      <c r="F771" s="109" t="s">
        <v>565</v>
      </c>
      <c r="G771" s="96">
        <v>2.8660014E8</v>
      </c>
      <c r="H771" s="64" t="s">
        <v>2347</v>
      </c>
      <c r="I771" s="16">
        <f>IF(@Table1[[#This Row],[Delivery Date]]="","NA",@Table1[[#This Row],[Delivery Date]]+30)</f>
        <v>46088.0</v>
      </c>
      <c r="J771" s="35" t="s">
        <f t="shared" si="15"/>
        <v>28</v>
      </c>
      <c r="K771" s="87"/>
      <c r="L771" s="89"/>
      <c r="M771" s="89"/>
      <c r="N771" s="89"/>
    </row>
    <row r="772" customHeight="1" ht="14.0">
      <c r="A772" s="64" t="s">
        <v>2348</v>
      </c>
      <c r="B772" s="22" t="s">
        <v>2349</v>
      </c>
      <c r="C772" s="64" t="s">
        <v>1231</v>
      </c>
      <c r="D772" s="65">
        <v>752.0</v>
      </c>
      <c r="E772" s="34">
        <v>46054</v>
      </c>
      <c r="F772" s="109" t="s">
        <v>1919</v>
      </c>
      <c r="G772" s="96" t="s">
        <v>1919</v>
      </c>
      <c r="H772" s="64" t="s">
        <v>2350</v>
      </c>
      <c r="I772" s="16">
        <f>IF(@Table1[[#This Row],[Delivery Date]]="","NA",@Table1[[#This Row],[Delivery Date]]+30)</f>
        <v>46084.0</v>
      </c>
      <c r="J772" s="35" t="s">
        <f t="shared" si="15"/>
        <v>28</v>
      </c>
      <c r="K772" s="87"/>
      <c r="L772" s="89"/>
      <c r="M772" s="89"/>
      <c r="N772" s="89"/>
    </row>
    <row r="773" customHeight="1" ht="14.0">
      <c r="A773" s="64" t="s">
        <v>2351</v>
      </c>
      <c r="B773" s="22" t="s">
        <v>2352</v>
      </c>
      <c r="C773" s="64" t="s">
        <v>1231</v>
      </c>
      <c r="D773" s="65">
        <v>832.0</v>
      </c>
      <c r="E773" s="34">
        <v>46054</v>
      </c>
      <c r="F773" s="109" t="s">
        <v>1919</v>
      </c>
      <c r="G773" s="96" t="s">
        <v>1919</v>
      </c>
      <c r="H773" s="64" t="s">
        <v>2353</v>
      </c>
      <c r="I773" s="16">
        <f>IF(@Table1[[#This Row],[Delivery Date]]="","NA",@Table1[[#This Row],[Delivery Date]]+30)</f>
        <v>46084.0</v>
      </c>
      <c r="J773" s="35" t="s">
        <f t="shared" si="15"/>
        <v>28</v>
      </c>
      <c r="K773" s="87"/>
      <c r="L773" s="89"/>
      <c r="M773" s="89"/>
      <c r="N773" s="89"/>
    </row>
    <row r="774" customHeight="1" ht="14.0">
      <c r="A774" s="64" t="s">
        <v>2354</v>
      </c>
      <c r="B774" s="22" t="s">
        <v>2355</v>
      </c>
      <c r="C774" s="64" t="s">
        <v>1231</v>
      </c>
      <c r="D774" s="65">
        <v>1242.0</v>
      </c>
      <c r="E774" s="34">
        <v>46054</v>
      </c>
      <c r="F774" s="109" t="s">
        <v>1919</v>
      </c>
      <c r="G774" s="96" t="s">
        <v>1919</v>
      </c>
      <c r="H774" s="64" t="s">
        <v>2356</v>
      </c>
      <c r="I774" s="16">
        <f>IF(@Table1[[#This Row],[Delivery Date]]="","NA",@Table1[[#This Row],[Delivery Date]]+30)</f>
        <v>46084.0</v>
      </c>
      <c r="J774" s="35" t="s">
        <f t="shared" si="15"/>
        <v>28</v>
      </c>
      <c r="K774" s="87"/>
      <c r="L774" s="89"/>
      <c r="M774" s="89"/>
      <c r="N774" s="89"/>
    </row>
    <row r="775" customHeight="1" ht="14.0">
      <c r="A775" s="64" t="s">
        <v>2357</v>
      </c>
      <c r="B775" s="22" t="s">
        <v>2358</v>
      </c>
      <c r="C775" s="64" t="s">
        <v>1231</v>
      </c>
      <c r="D775" s="65">
        <v>2226.0</v>
      </c>
      <c r="E775" s="34">
        <v>46054</v>
      </c>
      <c r="F775" s="109" t="s">
        <v>1919</v>
      </c>
      <c r="G775" s="96" t="s">
        <v>1919</v>
      </c>
      <c r="H775" s="64" t="s">
        <v>2359</v>
      </c>
      <c r="I775" s="16">
        <f>IF(@Table1[[#This Row],[Delivery Date]]="","NA",@Table1[[#This Row],[Delivery Date]]+30)</f>
        <v>46084.0</v>
      </c>
      <c r="J775" s="35" t="s">
        <f t="shared" si="15"/>
        <v>28</v>
      </c>
      <c r="K775" s="87"/>
      <c r="L775" s="89"/>
      <c r="M775" s="89"/>
      <c r="N775" s="89"/>
    </row>
    <row r="776" customHeight="1" ht="14.0">
      <c r="A776" s="64" t="s">
        <v>2360</v>
      </c>
      <c r="B776" s="22" t="s">
        <v>2361</v>
      </c>
      <c r="C776" s="64" t="s">
        <v>2195</v>
      </c>
      <c r="D776" s="65">
        <v>36.0</v>
      </c>
      <c r="E776" s="34">
        <v>46060</v>
      </c>
      <c r="F776" s="109" t="s">
        <v>565</v>
      </c>
      <c r="G776" s="96">
        <v>2.86600182E8</v>
      </c>
      <c r="H776" s="64" t="s">
        <v>2362</v>
      </c>
      <c r="I776" s="16">
        <f>IF(@Table1[[#This Row],[Delivery Date]]="","NA",@Table1[[#This Row],[Delivery Date]]+30)</f>
        <v>46090.0</v>
      </c>
      <c r="J776" s="35" t="s">
        <f t="shared" si="15"/>
        <v>28</v>
      </c>
      <c r="K776" s="87"/>
      <c r="L776" s="89"/>
      <c r="M776" s="89"/>
      <c r="N776" s="89"/>
    </row>
    <row r="777" customHeight="1" ht="14.0">
      <c r="A777" s="64" t="s">
        <v>2363</v>
      </c>
      <c r="B777" s="22" t="s">
        <v>2364</v>
      </c>
      <c r="C777" s="64" t="s">
        <v>1043</v>
      </c>
      <c r="D777" s="65">
        <v>2014.0</v>
      </c>
      <c r="E777" s="34">
        <v>46063</v>
      </c>
      <c r="F777" s="109" t="s">
        <v>565</v>
      </c>
      <c r="G777" s="96">
        <v>2.8659964E8</v>
      </c>
      <c r="H777" s="64" t="s">
        <v>2365</v>
      </c>
      <c r="I777" s="16">
        <f>IF(@Table1[[#This Row],[Delivery Date]]="","NA",@Table1[[#This Row],[Delivery Date]]+30)</f>
        <v>46093.0</v>
      </c>
      <c r="J777" s="35" t="s">
        <f t="shared" si="15"/>
        <v>28</v>
      </c>
      <c r="K777" s="87"/>
      <c r="L777" s="89"/>
      <c r="M777" s="89"/>
      <c r="N777" s="89"/>
    </row>
    <row r="778" customHeight="1" ht="14.0">
      <c r="A778" s="64" t="s">
        <v>2366</v>
      </c>
      <c r="B778" s="22" t="s">
        <v>2367</v>
      </c>
      <c r="C778" s="64" t="s">
        <v>1039</v>
      </c>
      <c r="D778" s="65">
        <v>36.0</v>
      </c>
      <c r="E778" s="34">
        <v>46057</v>
      </c>
      <c r="F778" s="109" t="s">
        <v>565</v>
      </c>
      <c r="G778" s="96">
        <v>2.86600183E8</v>
      </c>
      <c r="H778" s="64" t="s">
        <v>2368</v>
      </c>
      <c r="I778" s="16">
        <f>IF(@Table1[[#This Row],[Delivery Date]]="","NA",@Table1[[#This Row],[Delivery Date]]+30)</f>
        <v>46087.0</v>
      </c>
      <c r="J778" s="35" t="s">
        <f t="shared" si="15"/>
        <v>28</v>
      </c>
      <c r="K778" s="87"/>
      <c r="L778" s="89"/>
      <c r="M778" s="89"/>
      <c r="N778" s="89"/>
    </row>
    <row r="779" customHeight="1" ht="14.0">
      <c r="A779" s="64" t="s">
        <v>2369</v>
      </c>
      <c r="B779" s="22" t="s">
        <v>2370</v>
      </c>
      <c r="C779" s="64" t="s">
        <v>1039</v>
      </c>
      <c r="D779" s="65">
        <v>2444.0</v>
      </c>
      <c r="E779" s="34">
        <v>46057</v>
      </c>
      <c r="F779" s="109" t="s">
        <v>565</v>
      </c>
      <c r="G779" s="96">
        <v>2.86600164E8</v>
      </c>
      <c r="H779" s="64" t="s">
        <v>2371</v>
      </c>
      <c r="I779" s="16">
        <f>IF(@Table1[[#This Row],[Delivery Date]]="","NA",@Table1[[#This Row],[Delivery Date]]+30)</f>
        <v>46087.0</v>
      </c>
      <c r="J779" s="35" t="s">
        <f t="shared" si="15"/>
        <v>28</v>
      </c>
      <c r="K779" s="87"/>
      <c r="L779" s="89"/>
      <c r="M779" s="89"/>
      <c r="N779" s="89"/>
    </row>
    <row r="780" customHeight="1" ht="14.0">
      <c r="A780" s="64" t="s">
        <v>2372</v>
      </c>
      <c r="B780" s="22" t="s">
        <v>2373</v>
      </c>
      <c r="C780" s="64" t="s">
        <v>1039</v>
      </c>
      <c r="D780" s="65">
        <v>6500.0</v>
      </c>
      <c r="E780" s="34">
        <v>46069</v>
      </c>
      <c r="F780" s="109" t="s">
        <v>565</v>
      </c>
      <c r="G780" s="96">
        <v>2.86599637E8</v>
      </c>
      <c r="H780" s="64" t="s">
        <v>2374</v>
      </c>
      <c r="I780" s="16">
        <f>IF(@Table1[[#This Row],[Delivery Date]]="","NA",@Table1[[#This Row],[Delivery Date]]+30)</f>
        <v>46099.0</v>
      </c>
      <c r="J780" s="35" t="s">
        <f t="shared" si="15"/>
        <v>28</v>
      </c>
      <c r="K780" s="87"/>
      <c r="L780" s="89"/>
      <c r="M780" s="89"/>
      <c r="N780" s="89"/>
    </row>
    <row r="781" customHeight="1" ht="14.0">
      <c r="A781" s="64" t="s">
        <v>2375</v>
      </c>
      <c r="B781" s="22" t="s">
        <v>2376</v>
      </c>
      <c r="C781" s="64" t="s">
        <v>1717</v>
      </c>
      <c r="D781" s="65">
        <v>1412.0</v>
      </c>
      <c r="E781" s="34">
        <v>46062</v>
      </c>
      <c r="F781" s="109" t="s">
        <v>565</v>
      </c>
      <c r="G781" s="96">
        <v>2.86599635E8</v>
      </c>
      <c r="H781" s="64" t="s">
        <v>2377</v>
      </c>
      <c r="I781" s="16">
        <f>IF(@Table1[[#This Row],[Delivery Date]]="","NA",@Table1[[#This Row],[Delivery Date]]+30)</f>
        <v>46092.0</v>
      </c>
      <c r="J781" s="35" t="s">
        <f t="shared" si="15"/>
        <v>28</v>
      </c>
      <c r="K781" s="87"/>
      <c r="L781" s="89"/>
      <c r="M781" s="89"/>
      <c r="N781" s="89"/>
    </row>
    <row r="782" customHeight="1" ht="14.0">
      <c r="A782" s="64" t="s">
        <v>2378</v>
      </c>
      <c r="B782" s="22" t="s">
        <v>2379</v>
      </c>
      <c r="C782" s="64" t="s">
        <v>1066</v>
      </c>
      <c r="D782" s="65">
        <v>1206.0</v>
      </c>
      <c r="E782" s="34">
        <v>46068</v>
      </c>
      <c r="F782" s="109" t="s">
        <v>565</v>
      </c>
      <c r="G782" s="139">
        <v>2.86599639E8</v>
      </c>
      <c r="H782" s="64" t="s">
        <v>2380</v>
      </c>
      <c r="I782" s="82">
        <f>IF(@Table1[[#This Row],[Delivery Date]]="","NA",@Table1[[#This Row],[Delivery Date]]+30)</f>
        <v>46098.0</v>
      </c>
      <c r="J782" s="35" t="s">
        <f t="shared" si="15"/>
        <v>28</v>
      </c>
      <c r="K782" s="87"/>
      <c r="L782" s="89"/>
      <c r="M782" s="89"/>
      <c r="N782" s="89"/>
    </row>
    <row r="783" customHeight="1" ht="14.0">
      <c r="A783" s="64" t="s">
        <v>2381</v>
      </c>
      <c r="B783" s="22" t="s">
        <v>2382</v>
      </c>
      <c r="C783" s="64" t="s">
        <v>1319</v>
      </c>
      <c r="D783" s="65">
        <v>1314.0</v>
      </c>
      <c r="E783" s="34">
        <v>46060</v>
      </c>
      <c r="F783" s="109" t="s">
        <v>565</v>
      </c>
      <c r="G783" s="96">
        <v>2.86600165E8</v>
      </c>
      <c r="H783" s="116" t="s">
        <v>2383</v>
      </c>
      <c r="I783" s="16">
        <f>IF(@Table1[[#This Row],[Delivery Date]]="","NA",@Table1[[#This Row],[Delivery Date]]+30)</f>
        <v>46090.0</v>
      </c>
      <c r="J783" s="35" t="s">
        <f t="shared" si="15"/>
        <v>28</v>
      </c>
      <c r="K783" s="87"/>
      <c r="L783" s="89"/>
      <c r="M783" s="89"/>
      <c r="N783" s="89"/>
    </row>
    <row r="784" customHeight="1" ht="14.0">
      <c r="A784" s="64" t="s">
        <v>2384</v>
      </c>
      <c r="B784" s="22" t="s">
        <v>2385</v>
      </c>
      <c r="C784" s="64" t="s">
        <v>1047</v>
      </c>
      <c r="D784" s="65">
        <v>1548.0</v>
      </c>
      <c r="E784" s="34">
        <v>46072</v>
      </c>
      <c r="F784" s="109" t="s">
        <v>565</v>
      </c>
      <c r="G784" s="96">
        <v>2.86600181E8</v>
      </c>
      <c r="H784" s="64" t="s">
        <v>2386</v>
      </c>
      <c r="I784" s="16">
        <f>IF(@Table1[[#This Row],[Delivery Date]]="","NA",@Table1[[#This Row],[Delivery Date]]+30)</f>
        <v>46102.0</v>
      </c>
      <c r="J784" s="35" t="s">
        <f t="shared" si="15"/>
        <v>28</v>
      </c>
      <c r="K784" s="87"/>
      <c r="L784" s="89"/>
      <c r="M784" s="89"/>
      <c r="N784" s="89"/>
    </row>
    <row r="785" customHeight="1" ht="14.0">
      <c r="A785" s="64" t="s">
        <v>2387</v>
      </c>
      <c r="B785" s="22" t="s">
        <v>2388</v>
      </c>
      <c r="C785" s="64" t="s">
        <v>1284</v>
      </c>
      <c r="D785" s="65">
        <v>2339.0</v>
      </c>
      <c r="E785" s="34">
        <v>46063</v>
      </c>
      <c r="F785" s="109" t="s">
        <v>565</v>
      </c>
      <c r="G785" s="96">
        <v>2.86599638E8</v>
      </c>
      <c r="H785" s="64" t="s">
        <v>2389</v>
      </c>
      <c r="I785" s="16">
        <f>IF(@Table1[[#This Row],[Delivery Date]]="","NA",@Table1[[#This Row],[Delivery Date]]+30)</f>
        <v>46093.0</v>
      </c>
      <c r="J785" s="35" t="s">
        <f t="shared" si="15"/>
        <v>28</v>
      </c>
      <c r="K785" s="87"/>
      <c r="L785" s="89"/>
      <c r="M785" s="89"/>
      <c r="N785" s="89"/>
    </row>
    <row r="786" customHeight="1" ht="14.0">
      <c r="A786" s="64" t="s">
        <v>2390</v>
      </c>
      <c r="B786" s="22" t="s">
        <v>2391</v>
      </c>
      <c r="C786" s="64" t="s">
        <v>141</v>
      </c>
      <c r="D786" s="65">
        <v>1465.0</v>
      </c>
      <c r="E786" s="34">
        <v>46072</v>
      </c>
      <c r="F786" s="109" t="s">
        <v>565</v>
      </c>
      <c r="G786" s="96">
        <v>2.86599634E8</v>
      </c>
      <c r="H786" s="64" t="s">
        <v>2392</v>
      </c>
      <c r="I786" s="16">
        <f>IF(@Table1[[#This Row],[Delivery Date]]="","NA",@Table1[[#This Row],[Delivery Date]]+30)</f>
        <v>46102.0</v>
      </c>
      <c r="J786" s="35" t="s">
        <f t="shared" si="15"/>
        <v>28</v>
      </c>
      <c r="K786" s="87"/>
      <c r="L786" s="89"/>
      <c r="M786" s="89"/>
      <c r="N786" s="89"/>
    </row>
    <row r="787" customHeight="1" ht="14.0">
      <c r="A787" s="64" t="s">
        <v>2393</v>
      </c>
      <c r="B787" s="22" t="s">
        <v>2394</v>
      </c>
      <c r="C787" s="64" t="s">
        <v>1650</v>
      </c>
      <c r="D787" s="65">
        <v>1584.0</v>
      </c>
      <c r="E787" s="34">
        <v>46089</v>
      </c>
      <c r="F787" s="109" t="s">
        <v>565</v>
      </c>
      <c r="G787" s="96">
        <v>2.86599636E8</v>
      </c>
      <c r="H787" s="64" t="s">
        <v>2395</v>
      </c>
      <c r="I787" s="16">
        <f>IF(@Table1[[#This Row],[Delivery Date]]="","NA",@Table1[[#This Row],[Delivery Date]]+30)</f>
        <v>46119.0</v>
      </c>
      <c r="J787" s="35" t="s">
        <f t="shared" si="15"/>
        <v>28</v>
      </c>
      <c r="K787" s="87"/>
      <c r="L787" s="89"/>
      <c r="M787" s="89"/>
      <c r="N787" s="89"/>
    </row>
    <row r="788" customHeight="1" ht="14.0">
      <c r="A788" s="64" t="s">
        <v>2396</v>
      </c>
      <c r="B788" s="22" t="s">
        <v>2397</v>
      </c>
      <c r="C788" s="64" t="s">
        <v>1427</v>
      </c>
      <c r="D788" s="65">
        <v>1620.0</v>
      </c>
      <c r="E788" s="34">
        <v>46060</v>
      </c>
      <c r="F788" s="109" t="s">
        <v>565</v>
      </c>
      <c r="G788" s="96">
        <v>2.8660018E8</v>
      </c>
      <c r="H788" s="64" t="s">
        <v>2398</v>
      </c>
      <c r="I788" s="16">
        <f>IF(@Table1[[#This Row],[Delivery Date]]="","NA",@Table1[[#This Row],[Delivery Date]]+30)</f>
        <v>46090.0</v>
      </c>
      <c r="J788" s="35" t="s">
        <f t="shared" si="15"/>
        <v>28</v>
      </c>
      <c r="K788" s="87"/>
      <c r="L788" s="89"/>
      <c r="M788" s="89"/>
      <c r="N788" s="89"/>
    </row>
    <row r="789" customHeight="1" ht="14.0">
      <c r="A789" s="64" t="s">
        <v>2399</v>
      </c>
      <c r="B789" s="22" t="s">
        <v>2400</v>
      </c>
      <c r="C789" s="64" t="s">
        <v>2195</v>
      </c>
      <c r="D789" s="65">
        <v>544.0</v>
      </c>
      <c r="E789" s="34">
        <v>46064</v>
      </c>
      <c r="F789" s="109" t="s">
        <v>565</v>
      </c>
      <c r="G789" s="96">
        <v>2.86599656E8</v>
      </c>
      <c r="H789" s="64" t="s">
        <v>2401</v>
      </c>
      <c r="I789" s="16">
        <f>IF(@Table1[[#This Row],[Delivery Date]]="","NA",@Table1[[#This Row],[Delivery Date]]+30)</f>
        <v>46094.0</v>
      </c>
      <c r="J789" s="35" t="s">
        <f t="shared" si="15"/>
        <v>28</v>
      </c>
      <c r="K789" s="87"/>
      <c r="L789" s="89"/>
      <c r="M789" s="89"/>
      <c r="N789" s="89"/>
    </row>
    <row r="790" customHeight="1" ht="14.0">
      <c r="A790" s="64" t="s">
        <v>2402</v>
      </c>
      <c r="B790" s="22" t="s">
        <v>2403</v>
      </c>
      <c r="C790" s="64" t="s">
        <v>1231</v>
      </c>
      <c r="D790" s="65">
        <v>328.0</v>
      </c>
      <c r="E790" s="34">
        <v>46060</v>
      </c>
      <c r="F790" s="109" t="s">
        <v>1919</v>
      </c>
      <c r="G790" s="104" t="s">
        <v>1919</v>
      </c>
      <c r="H790" s="64" t="s">
        <v>2404</v>
      </c>
      <c r="I790" s="16">
        <f>IF(@Table1[[#This Row],[Delivery Date]]="","NA",@Table1[[#This Row],[Delivery Date]]+30)</f>
        <v>46090.0</v>
      </c>
      <c r="J790" s="35" t="s">
        <f t="shared" si="15"/>
        <v>28</v>
      </c>
      <c r="K790" s="87"/>
      <c r="L790" s="89"/>
      <c r="M790" s="89"/>
      <c r="N790" s="89"/>
    </row>
    <row r="791" customHeight="1" ht="14.0">
      <c r="A791" s="64" t="s">
        <v>2405</v>
      </c>
      <c r="B791" s="22" t="s">
        <v>2406</v>
      </c>
      <c r="C791" s="64" t="s">
        <v>1047</v>
      </c>
      <c r="D791" s="65">
        <v>504.0</v>
      </c>
      <c r="E791" s="34">
        <v>46069</v>
      </c>
      <c r="F791" s="109" t="s">
        <v>565</v>
      </c>
      <c r="G791" s="104">
        <v>2.86599657E8</v>
      </c>
      <c r="H791" s="64" t="s">
        <v>2407</v>
      </c>
      <c r="I791" s="16">
        <f>IF(@Table1[[#This Row],[Delivery Date]]="","NA",@Table1[[#This Row],[Delivery Date]]+30)</f>
        <v>46099.0</v>
      </c>
      <c r="J791" s="35" t="s">
        <f t="shared" si="15"/>
        <v>28</v>
      </c>
      <c r="K791" s="87"/>
      <c r="L791" s="89"/>
      <c r="M791" s="89"/>
      <c r="N791" s="89"/>
    </row>
    <row r="792" customHeight="1" ht="14.0">
      <c r="A792" s="64" t="s">
        <v>2408</v>
      </c>
      <c r="B792" s="22" t="s">
        <v>2409</v>
      </c>
      <c r="C792" s="64" t="s">
        <v>1039</v>
      </c>
      <c r="D792" s="65">
        <v>684.0</v>
      </c>
      <c r="E792" s="34">
        <v>46065</v>
      </c>
      <c r="F792" s="109" t="s">
        <v>565</v>
      </c>
      <c r="G792" s="104">
        <v>2.86599658E8</v>
      </c>
      <c r="H792" s="64" t="s">
        <v>2410</v>
      </c>
      <c r="I792" s="16">
        <f>IF(@Table1[[#This Row],[Delivery Date]]="","NA",@Table1[[#This Row],[Delivery Date]]+30)</f>
        <v>46095.0</v>
      </c>
      <c r="J792" s="35" t="s">
        <f t="shared" si="15"/>
        <v>28</v>
      </c>
      <c r="K792" s="87"/>
      <c r="L792" s="89"/>
      <c r="M792" s="89"/>
      <c r="N792" s="89"/>
    </row>
    <row r="793" customHeight="1" ht="14.0">
      <c r="A793" s="64" t="s">
        <v>2411</v>
      </c>
      <c r="B793" s="22" t="s">
        <v>2412</v>
      </c>
      <c r="C793" s="64" t="s">
        <v>2125</v>
      </c>
      <c r="D793" s="65">
        <v>272.0</v>
      </c>
      <c r="E793" s="34">
        <v>46064</v>
      </c>
      <c r="F793" s="109" t="s">
        <v>565</v>
      </c>
      <c r="G793" s="104">
        <v>2.86599659E8</v>
      </c>
      <c r="H793" s="64" t="s">
        <v>2413</v>
      </c>
      <c r="I793" s="16">
        <f>IF(@Table1[[#This Row],[Delivery Date]]="","NA",@Table1[[#This Row],[Delivery Date]]+30)</f>
        <v>46094.0</v>
      </c>
      <c r="J793" s="35" t="s">
        <f t="shared" si="15"/>
        <v>28</v>
      </c>
      <c r="K793" s="87"/>
      <c r="L793" s="89"/>
      <c r="M793" s="89"/>
      <c r="N793" s="89"/>
    </row>
    <row r="794" customHeight="1" ht="14.0">
      <c r="A794" s="64" t="s">
        <v>2414</v>
      </c>
      <c r="B794" s="22" t="s">
        <v>2415</v>
      </c>
      <c r="C794" s="64" t="s">
        <v>1717</v>
      </c>
      <c r="D794" s="65">
        <v>215.0</v>
      </c>
      <c r="E794" s="34">
        <v>46067</v>
      </c>
      <c r="F794" s="109" t="s">
        <v>565</v>
      </c>
      <c r="G794" s="104">
        <v>2.86599661E8</v>
      </c>
      <c r="H794" s="64" t="s">
        <v>2416</v>
      </c>
      <c r="I794" s="16">
        <f>IF(@Table1[[#This Row],[Delivery Date]]="","NA",@Table1[[#This Row],[Delivery Date]]+30)</f>
        <v>46097.0</v>
      </c>
      <c r="J794" s="35" t="s">
        <f t="shared" si="15"/>
        <v>28</v>
      </c>
      <c r="K794" s="87"/>
      <c r="L794" s="89"/>
      <c r="M794" s="89"/>
      <c r="N794" s="89"/>
    </row>
    <row r="795" customHeight="1" ht="14.0">
      <c r="A795" s="64" t="s">
        <v>2417</v>
      </c>
      <c r="B795" s="22" t="s">
        <v>2418</v>
      </c>
      <c r="C795" s="22" t="s">
        <v>1035</v>
      </c>
      <c r="D795" s="65">
        <v>144.0</v>
      </c>
      <c r="E795" s="34">
        <v>46062</v>
      </c>
      <c r="F795" s="109" t="s">
        <v>565</v>
      </c>
      <c r="G795" s="104">
        <v>2.86599666E8</v>
      </c>
      <c r="H795" s="64" t="s">
        <v>2419</v>
      </c>
      <c r="I795" s="16">
        <f>IF(@Table1[[#This Row],[Delivery Date]]="","NA",@Table1[[#This Row],[Delivery Date]]+30)</f>
        <v>46092.0</v>
      </c>
      <c r="J795" s="35" t="s">
        <f t="shared" si="15"/>
        <v>28</v>
      </c>
      <c r="K795" s="87"/>
      <c r="L795" s="89"/>
      <c r="M795" s="89"/>
      <c r="N795" s="89"/>
    </row>
    <row r="796" customHeight="1" ht="14.0">
      <c r="A796" s="64" t="s">
        <v>2420</v>
      </c>
      <c r="B796" s="22" t="s">
        <v>2421</v>
      </c>
      <c r="C796" s="64" t="s">
        <v>1561</v>
      </c>
      <c r="D796" s="65">
        <v>252.0</v>
      </c>
      <c r="E796" s="34">
        <v>46063</v>
      </c>
      <c r="F796" s="109" t="s">
        <v>565</v>
      </c>
      <c r="G796" s="104">
        <v>2.86599664E8</v>
      </c>
      <c r="H796" s="64" t="s">
        <v>2422</v>
      </c>
      <c r="I796" s="16">
        <f>IF(@Table1[[#This Row],[Delivery Date]]="","NA",@Table1[[#This Row],[Delivery Date]]+30)</f>
        <v>46093.0</v>
      </c>
      <c r="J796" s="35" t="s">
        <f t="shared" si="15"/>
        <v>28</v>
      </c>
      <c r="K796" s="87"/>
      <c r="L796" s="89"/>
      <c r="M796" s="89"/>
      <c r="N796" s="89"/>
    </row>
    <row r="797" customHeight="1" ht="14.0">
      <c r="A797" s="64" t="s">
        <v>2423</v>
      </c>
      <c r="B797" s="22" t="s">
        <v>2424</v>
      </c>
      <c r="C797" s="64" t="s">
        <v>2425</v>
      </c>
      <c r="D797" s="65">
        <v>232.0</v>
      </c>
      <c r="E797" s="34">
        <v>46063</v>
      </c>
      <c r="F797" s="109" t="s">
        <v>565</v>
      </c>
      <c r="G797" s="104">
        <v>2.8659966E8</v>
      </c>
      <c r="H797" s="64" t="s">
        <v>2426</v>
      </c>
      <c r="I797" s="16">
        <f>IF(@Table1[[#This Row],[Delivery Date]]="","NA",@Table1[[#This Row],[Delivery Date]]+30)</f>
        <v>46093.0</v>
      </c>
      <c r="J797" s="35" t="s">
        <f t="shared" si="15"/>
        <v>28</v>
      </c>
      <c r="K797" s="87"/>
      <c r="L797" s="89"/>
      <c r="M797" s="89"/>
      <c r="N797" s="89"/>
    </row>
    <row r="798" customHeight="1" ht="14.0">
      <c r="A798" s="64" t="s">
        <v>2427</v>
      </c>
      <c r="B798" s="22" t="s">
        <v>2428</v>
      </c>
      <c r="C798" s="64" t="s">
        <v>2425</v>
      </c>
      <c r="D798" s="65">
        <v>236.0</v>
      </c>
      <c r="E798" s="34">
        <v>46063</v>
      </c>
      <c r="F798" s="109" t="s">
        <v>565</v>
      </c>
      <c r="G798" s="104">
        <v>2.8659966E8</v>
      </c>
      <c r="H798" s="64" t="s">
        <v>2429</v>
      </c>
      <c r="I798" s="16">
        <f>IF(@Table1[[#This Row],[Delivery Date]]="","NA",@Table1[[#This Row],[Delivery Date]]+30)</f>
        <v>46093.0</v>
      </c>
      <c r="J798" s="35" t="s">
        <f t="shared" si="15"/>
        <v>28</v>
      </c>
      <c r="K798" s="87"/>
      <c r="L798" s="89"/>
      <c r="M798" s="89"/>
      <c r="N798" s="89"/>
    </row>
    <row r="799" customHeight="1" ht="14.0">
      <c r="A799" s="118" t="s">
        <v>2430</v>
      </c>
      <c r="B799" s="42" t="s">
        <v>2431</v>
      </c>
      <c r="C799" s="118" t="s">
        <v>1561</v>
      </c>
      <c r="D799" s="137">
        <v>180.0</v>
      </c>
      <c r="E799" s="120">
        <v>46063</v>
      </c>
      <c r="F799" s="122" t="s">
        <v>565</v>
      </c>
      <c r="G799" s="138">
        <v>2.86599664E8</v>
      </c>
      <c r="H799" s="118" t="s">
        <v>108</v>
      </c>
      <c r="I799" s="16">
        <f>IF(@Table1[[#This Row],[Delivery Date]]="","NA",@Table1[[#This Row],[Delivery Date]]+30)</f>
        <v>46093.0</v>
      </c>
      <c r="J799" s="35" t="s">
        <f t="shared" si="15"/>
        <v>28</v>
      </c>
      <c r="K799" s="87"/>
      <c r="L799" s="89"/>
      <c r="M799" s="89"/>
      <c r="N799" s="89"/>
    </row>
    <row r="800" customHeight="1" ht="14.0">
      <c r="A800" s="64" t="s">
        <v>2432</v>
      </c>
      <c r="B800" s="22" t="s">
        <v>2433</v>
      </c>
      <c r="C800" s="64" t="s">
        <v>1319</v>
      </c>
      <c r="D800" s="65">
        <v>198.0</v>
      </c>
      <c r="E800" s="34">
        <v>46065</v>
      </c>
      <c r="F800" s="109" t="s">
        <v>565</v>
      </c>
      <c r="G800" s="104">
        <v>2.86599667E8</v>
      </c>
      <c r="H800" s="64" t="s">
        <v>2434</v>
      </c>
      <c r="I800" s="16">
        <f>IF(@Table1[[#This Row],[Delivery Date]]="","NA",@Table1[[#This Row],[Delivery Date]]+30)</f>
        <v>46095.0</v>
      </c>
      <c r="J800" s="35" t="s">
        <f t="shared" si="15"/>
        <v>28</v>
      </c>
      <c r="K800" s="87"/>
      <c r="L800" s="89"/>
      <c r="M800" s="89"/>
      <c r="N800" s="89"/>
    </row>
    <row r="801" customHeight="1" ht="14.0">
      <c r="A801" s="64" t="s">
        <v>2435</v>
      </c>
      <c r="B801" s="22" t="s">
        <v>2436</v>
      </c>
      <c r="C801" s="64" t="s">
        <v>1728</v>
      </c>
      <c r="D801" s="65">
        <v>744.0</v>
      </c>
      <c r="E801" s="34">
        <v>46064</v>
      </c>
      <c r="F801" s="109" t="s">
        <v>565</v>
      </c>
      <c r="G801" s="104">
        <v>2.86599668E8</v>
      </c>
      <c r="H801" s="64" t="s">
        <v>2437</v>
      </c>
      <c r="I801" s="16">
        <f>IF(@Table1[[#This Row],[Delivery Date]]="","NA",@Table1[[#This Row],[Delivery Date]]+30)</f>
        <v>46094.0</v>
      </c>
      <c r="J801" s="35" t="s">
        <f t="shared" si="15"/>
        <v>28</v>
      </c>
      <c r="K801" s="87"/>
      <c r="L801" s="89"/>
      <c r="M801" s="89"/>
      <c r="N801" s="89"/>
    </row>
    <row r="802" customHeight="1" ht="14.0">
      <c r="A802" s="64" t="s">
        <v>2438</v>
      </c>
      <c r="B802" s="22" t="s">
        <v>2439</v>
      </c>
      <c r="C802" s="64" t="s">
        <v>1717</v>
      </c>
      <c r="D802" s="65">
        <v>282.0</v>
      </c>
      <c r="E802" s="34">
        <v>46067</v>
      </c>
      <c r="F802" s="109" t="s">
        <v>565</v>
      </c>
      <c r="G802" s="140">
        <v>2.86599661E8</v>
      </c>
      <c r="H802" s="64" t="s">
        <v>2440</v>
      </c>
      <c r="I802" s="16">
        <f>IF(@Table1[[#This Row],[Delivery Date]]="","NA",@Table1[[#This Row],[Delivery Date]]+30)</f>
        <v>46097.0</v>
      </c>
      <c r="J802" s="35" t="s">
        <f t="shared" si="15"/>
        <v>28</v>
      </c>
      <c r="K802" s="87"/>
      <c r="L802" s="89"/>
      <c r="M802" s="89"/>
      <c r="N802" s="89"/>
    </row>
    <row r="803" customHeight="1" ht="14.0">
      <c r="A803" s="64" t="s">
        <v>2441</v>
      </c>
      <c r="B803" s="22" t="s">
        <v>2442</v>
      </c>
      <c r="C803" s="64" t="s">
        <v>1650</v>
      </c>
      <c r="D803" s="65">
        <v>240.0</v>
      </c>
      <c r="E803" s="34">
        <v>46076</v>
      </c>
      <c r="F803" s="109" t="s">
        <v>565</v>
      </c>
      <c r="G803" s="140">
        <v>2.86599662E8</v>
      </c>
      <c r="H803" s="64" t="s">
        <v>2443</v>
      </c>
      <c r="I803" s="16">
        <f>IF(@Table1[[#This Row],[Delivery Date]]="","NA",@Table1[[#This Row],[Delivery Date]]+30)</f>
        <v>46106.0</v>
      </c>
      <c r="J803" s="35" t="s">
        <f t="shared" si="15"/>
        <v>28</v>
      </c>
      <c r="K803" s="87"/>
      <c r="L803" s="89"/>
      <c r="M803" s="89"/>
      <c r="N803" s="89"/>
    </row>
    <row r="804" customHeight="1" ht="14.0">
      <c r="A804" s="64" t="s">
        <v>2444</v>
      </c>
      <c r="B804" s="22" t="s">
        <v>2445</v>
      </c>
      <c r="C804" s="64" t="s">
        <v>1284</v>
      </c>
      <c r="D804" s="65">
        <v>712.0</v>
      </c>
      <c r="E804" s="34">
        <v>46063</v>
      </c>
      <c r="F804" s="109" t="s">
        <v>565</v>
      </c>
      <c r="G804" s="104">
        <v>2.86599663E8</v>
      </c>
      <c r="H804" s="64" t="s">
        <v>2446</v>
      </c>
      <c r="I804" s="16">
        <f>IF(@Table1[[#This Row],[Delivery Date]]="","NA",@Table1[[#This Row],[Delivery Date]]+30)</f>
        <v>46093.0</v>
      </c>
      <c r="J804" s="35" t="s">
        <f t="shared" si="15"/>
        <v>28</v>
      </c>
      <c r="K804" s="87"/>
      <c r="L804" s="89"/>
      <c r="M804" s="89"/>
      <c r="N804" s="89"/>
    </row>
    <row r="805" customHeight="1" ht="14.0">
      <c r="A805" s="64" t="s">
        <v>2447</v>
      </c>
      <c r="B805" s="22" t="s">
        <v>2448</v>
      </c>
      <c r="C805" s="64" t="s">
        <v>1669</v>
      </c>
      <c r="D805" s="65">
        <v>516.0</v>
      </c>
      <c r="E805" s="34">
        <v>46064</v>
      </c>
      <c r="F805" s="109" t="s">
        <v>565</v>
      </c>
      <c r="G805" s="104">
        <v>2.86599665E8</v>
      </c>
      <c r="H805" s="64" t="s">
        <v>2449</v>
      </c>
      <c r="I805" s="16">
        <f>IF(@Table1[[#This Row],[Delivery Date]]="","NA",@Table1[[#This Row],[Delivery Date]]+30)</f>
        <v>46094.0</v>
      </c>
      <c r="J805" s="35" t="s">
        <f t="shared" si="15"/>
        <v>28</v>
      </c>
      <c r="K805" s="87"/>
      <c r="L805" s="89"/>
      <c r="M805" s="89"/>
      <c r="N805" s="89"/>
    </row>
    <row r="806" customHeight="1" ht="14.0">
      <c r="A806" s="64" t="s">
        <v>2450</v>
      </c>
      <c r="B806" s="22" t="s">
        <v>2451</v>
      </c>
      <c r="C806" s="64" t="s">
        <v>1669</v>
      </c>
      <c r="D806" s="65">
        <v>462.0</v>
      </c>
      <c r="E806" s="34">
        <v>46064</v>
      </c>
      <c r="F806" s="109" t="s">
        <v>565</v>
      </c>
      <c r="G806" s="104">
        <v>2.86599665E8</v>
      </c>
      <c r="H806" s="64" t="s">
        <v>2452</v>
      </c>
      <c r="I806" s="16">
        <f>IF(@Table1[[#This Row],[Delivery Date]]="","NA",@Table1[[#This Row],[Delivery Date]]+30)</f>
        <v>46094.0</v>
      </c>
      <c r="J806" s="35" t="s">
        <f t="shared" si="15"/>
        <v>28</v>
      </c>
      <c r="K806" s="87"/>
      <c r="L806" s="89"/>
      <c r="M806" s="89"/>
      <c r="N806" s="89"/>
    </row>
    <row r="807" customHeight="1" ht="14.0">
      <c r="A807" s="64" t="s">
        <v>2453</v>
      </c>
      <c r="B807" s="22" t="s">
        <v>2454</v>
      </c>
      <c r="C807" s="64" t="s">
        <v>1231</v>
      </c>
      <c r="D807" s="65">
        <v>748.0</v>
      </c>
      <c r="E807" s="34">
        <v>46060</v>
      </c>
      <c r="F807" s="109" t="s">
        <v>1919</v>
      </c>
      <c r="G807" s="104" t="s">
        <v>1919</v>
      </c>
      <c r="H807" s="64" t="s">
        <v>2455</v>
      </c>
      <c r="I807" s="16">
        <f>IF(@Table1[[#This Row],[Delivery Date]]="","NA",@Table1[[#This Row],[Delivery Date]]+30)</f>
        <v>46090.0</v>
      </c>
      <c r="J807" s="35" t="s">
        <f t="shared" si="15"/>
        <v>28</v>
      </c>
      <c r="K807" s="87"/>
      <c r="L807" s="89"/>
      <c r="M807" s="89"/>
      <c r="N807" s="89"/>
    </row>
    <row r="808" customHeight="1" ht="14.0">
      <c r="A808" s="64" t="s">
        <v>2456</v>
      </c>
      <c r="B808" s="22" t="s">
        <v>2457</v>
      </c>
      <c r="C808" s="64" t="s">
        <v>1231</v>
      </c>
      <c r="D808" s="65">
        <v>889.0</v>
      </c>
      <c r="E808" s="34">
        <v>46060</v>
      </c>
      <c r="F808" s="109" t="s">
        <v>1919</v>
      </c>
      <c r="G808" s="104" t="s">
        <v>1919</v>
      </c>
      <c r="H808" s="64" t="s">
        <v>2458</v>
      </c>
      <c r="I808" s="16">
        <f>IF(@Table1[[#This Row],[Delivery Date]]="","NA",@Table1[[#This Row],[Delivery Date]]+30)</f>
        <v>46090.0</v>
      </c>
      <c r="J808" s="35" t="s">
        <f t="shared" si="15"/>
        <v>28</v>
      </c>
      <c r="K808" s="87"/>
      <c r="L808" s="89"/>
      <c r="M808" s="89"/>
      <c r="N808" s="89"/>
    </row>
    <row r="809" customHeight="1" ht="14.0">
      <c r="A809" s="64" t="s">
        <v>2459</v>
      </c>
      <c r="B809" s="22" t="s">
        <v>2460</v>
      </c>
      <c r="C809" s="64" t="s">
        <v>1231</v>
      </c>
      <c r="D809" s="65">
        <v>576.0</v>
      </c>
      <c r="E809" s="34">
        <v>46061</v>
      </c>
      <c r="F809" s="109" t="s">
        <v>1919</v>
      </c>
      <c r="G809" s="104" t="s">
        <v>1919</v>
      </c>
      <c r="H809" s="64" t="s">
        <v>2461</v>
      </c>
      <c r="I809" s="16">
        <f>IF(@Table1[[#This Row],[Delivery Date]]="","NA",@Table1[[#This Row],[Delivery Date]]+30)</f>
        <v>46091.0</v>
      </c>
      <c r="J809" s="35" t="s">
        <f t="shared" si="15"/>
        <v>28</v>
      </c>
      <c r="K809" s="87"/>
      <c r="L809" s="89"/>
      <c r="M809" s="89"/>
      <c r="N809" s="89"/>
    </row>
    <row r="810" customHeight="1" ht="14.0">
      <c r="A810" s="64" t="s">
        <v>2462</v>
      </c>
      <c r="B810" s="22" t="s">
        <v>2463</v>
      </c>
      <c r="C810" s="64" t="s">
        <v>1717</v>
      </c>
      <c r="D810" s="65">
        <v>351.0</v>
      </c>
      <c r="E810" s="34">
        <v>46064</v>
      </c>
      <c r="F810" s="109" t="s">
        <v>565</v>
      </c>
      <c r="G810" s="104">
        <v>2.86599698E8</v>
      </c>
      <c r="H810" s="64" t="s">
        <v>2464</v>
      </c>
      <c r="I810" s="16">
        <f>IF(@Table1[[#This Row],[Delivery Date]]="","NA",@Table1[[#This Row],[Delivery Date]]+30)</f>
        <v>46094.0</v>
      </c>
      <c r="J810" s="35" t="s">
        <f t="shared" si="15"/>
        <v>28</v>
      </c>
      <c r="K810" s="87"/>
      <c r="L810" s="89"/>
      <c r="M810" s="89"/>
      <c r="N810" s="89"/>
    </row>
    <row r="811" customHeight="1" ht="14.0">
      <c r="A811" s="64" t="s">
        <v>2465</v>
      </c>
      <c r="B811" s="22" t="s">
        <v>2466</v>
      </c>
      <c r="C811" s="64" t="s">
        <v>1047</v>
      </c>
      <c r="D811" s="65">
        <v>600.0</v>
      </c>
      <c r="E811" s="34">
        <v>46064</v>
      </c>
      <c r="F811" s="109" t="s">
        <v>565</v>
      </c>
      <c r="G811" s="104">
        <v>2.86599696E8</v>
      </c>
      <c r="H811" s="64" t="s">
        <v>2467</v>
      </c>
      <c r="I811" s="16">
        <f>IF(@Table1[[#This Row],[Delivery Date]]="","NA",@Table1[[#This Row],[Delivery Date]]+30)</f>
        <v>46094.0</v>
      </c>
      <c r="J811" s="35" t="s">
        <f t="shared" si="15"/>
        <v>28</v>
      </c>
      <c r="K811" s="87"/>
      <c r="L811" s="89"/>
      <c r="M811" s="89"/>
      <c r="N811" s="89"/>
    </row>
    <row r="812" customHeight="1" ht="14.0">
      <c r="A812" s="64" t="s">
        <v>2468</v>
      </c>
      <c r="B812" s="22" t="s">
        <v>2469</v>
      </c>
      <c r="C812" s="64" t="s">
        <v>1066</v>
      </c>
      <c r="D812" s="65">
        <v>1092.0</v>
      </c>
      <c r="E812" s="34">
        <v>46068</v>
      </c>
      <c r="F812" s="109" t="s">
        <v>565</v>
      </c>
      <c r="G812" s="104">
        <v>2.86599697E8</v>
      </c>
      <c r="H812" s="64" t="s">
        <v>2470</v>
      </c>
      <c r="I812" s="16">
        <f>IF(@Table1[[#This Row],[Delivery Date]]="","NA",@Table1[[#This Row],[Delivery Date]]+30)</f>
        <v>46098.0</v>
      </c>
      <c r="J812" s="35" t="s">
        <f t="shared" si="15"/>
        <v>28</v>
      </c>
      <c r="K812" s="87"/>
      <c r="L812" s="89"/>
      <c r="M812" s="89"/>
      <c r="N812" s="89"/>
    </row>
    <row r="813" customHeight="1" ht="14.0">
      <c r="A813" s="64" t="s">
        <v>2471</v>
      </c>
      <c r="B813" s="22" t="s">
        <v>2472</v>
      </c>
      <c r="C813" s="64" t="s">
        <v>1728</v>
      </c>
      <c r="D813" s="65">
        <v>144.0</v>
      </c>
      <c r="E813" s="34">
        <v>46071</v>
      </c>
      <c r="F813" s="109" t="s">
        <v>565</v>
      </c>
      <c r="G813" s="104">
        <v>2.86599829E8</v>
      </c>
      <c r="H813" s="64" t="s">
        <v>2473</v>
      </c>
      <c r="I813" s="16">
        <f>IF(@Table1[[#This Row],[Delivery Date]]="","NA",@Table1[[#This Row],[Delivery Date]]+30)</f>
        <v>46101.0</v>
      </c>
      <c r="J813" s="35" t="s">
        <f t="shared" si="15"/>
        <v>28</v>
      </c>
      <c r="K813" s="87"/>
      <c r="L813" s="89"/>
      <c r="M813" s="89"/>
      <c r="N813" s="89"/>
    </row>
    <row r="814" customHeight="1" ht="14.0">
      <c r="A814" s="64" t="s">
        <v>2474</v>
      </c>
      <c r="B814" s="22" t="s">
        <v>2475</v>
      </c>
      <c r="C814" s="22" t="s">
        <v>1035</v>
      </c>
      <c r="D814" s="65">
        <v>673.0</v>
      </c>
      <c r="E814" s="34">
        <v>46067</v>
      </c>
      <c r="F814" s="109" t="s">
        <v>565</v>
      </c>
      <c r="G814" s="104">
        <v>2.86599695E8</v>
      </c>
      <c r="H814" s="64" t="s">
        <v>2476</v>
      </c>
      <c r="I814" s="16">
        <f>IF(@Table1[[#This Row],[Delivery Date]]="","NA",@Table1[[#This Row],[Delivery Date]]+30)</f>
        <v>46097.0</v>
      </c>
      <c r="J814" s="35" t="s">
        <f t="shared" si="15"/>
        <v>28</v>
      </c>
      <c r="K814" s="87"/>
      <c r="L814" s="89"/>
      <c r="M814" s="89"/>
      <c r="N814" s="89"/>
    </row>
    <row r="815" customHeight="1" ht="14.0">
      <c r="A815" s="64" t="s">
        <v>2477</v>
      </c>
      <c r="B815" s="22" t="s">
        <v>2478</v>
      </c>
      <c r="C815" s="64" t="s">
        <v>2195</v>
      </c>
      <c r="D815" s="65">
        <v>1501.0</v>
      </c>
      <c r="E815" s="34">
        <v>46064</v>
      </c>
      <c r="F815" s="109" t="s">
        <v>565</v>
      </c>
      <c r="G815" s="104">
        <v>2.86599694E8</v>
      </c>
      <c r="H815" s="64" t="s">
        <v>2479</v>
      </c>
      <c r="I815" s="16">
        <f>IF(@Table1[[#This Row],[Delivery Date]]="","NA",@Table1[[#This Row],[Delivery Date]]+30)</f>
        <v>46094.0</v>
      </c>
      <c r="J815" s="35" t="s">
        <f t="shared" si="15"/>
        <v>28</v>
      </c>
      <c r="K815" s="87"/>
      <c r="L815" s="89"/>
      <c r="M815" s="89"/>
      <c r="N815" s="89"/>
    </row>
    <row r="816" customHeight="1" ht="14.0">
      <c r="A816" s="64" t="s">
        <v>2480</v>
      </c>
      <c r="B816" s="22" t="s">
        <v>2481</v>
      </c>
      <c r="C816" s="64" t="s">
        <v>2195</v>
      </c>
      <c r="D816" s="65">
        <v>1159.0</v>
      </c>
      <c r="E816" s="34">
        <v>46064</v>
      </c>
      <c r="F816" s="109" t="s">
        <v>565</v>
      </c>
      <c r="G816" s="104">
        <v>2.86599694E8</v>
      </c>
      <c r="H816" s="64" t="s">
        <v>2482</v>
      </c>
      <c r="I816" s="16">
        <f>IF(@Table1[[#This Row],[Delivery Date]]="","NA",@Table1[[#This Row],[Delivery Date]]+30)</f>
        <v>46094.0</v>
      </c>
      <c r="J816" s="35" t="s">
        <f t="shared" si="15"/>
        <v>28</v>
      </c>
      <c r="K816" s="87"/>
      <c r="L816" s="89"/>
      <c r="M816" s="89"/>
      <c r="N816" s="89"/>
    </row>
    <row r="817" customHeight="1" ht="14.0">
      <c r="A817" s="64" t="s">
        <v>2483</v>
      </c>
      <c r="B817" s="22" t="s">
        <v>2484</v>
      </c>
      <c r="C817" s="64" t="s">
        <v>141</v>
      </c>
      <c r="D817" s="65">
        <v>702.0</v>
      </c>
      <c r="E817" s="34">
        <v>46065</v>
      </c>
      <c r="F817" s="109" t="s">
        <v>565</v>
      </c>
      <c r="G817" s="104">
        <v>2.86599693E8</v>
      </c>
      <c r="H817" s="64" t="s">
        <v>2485</v>
      </c>
      <c r="I817" s="16">
        <f>IF(@Table1[[#This Row],[Delivery Date]]="","NA",@Table1[[#This Row],[Delivery Date]]+30)</f>
        <v>46095.0</v>
      </c>
      <c r="J817" s="35" t="s">
        <f t="shared" si="15"/>
        <v>28</v>
      </c>
      <c r="K817" s="87"/>
      <c r="L817" s="89"/>
      <c r="M817" s="89"/>
      <c r="N817" s="89"/>
    </row>
    <row r="818" customHeight="1" ht="14.0">
      <c r="A818" s="64" t="s">
        <v>2486</v>
      </c>
      <c r="B818" s="22" t="s">
        <v>2487</v>
      </c>
      <c r="C818" s="64" t="s">
        <v>141</v>
      </c>
      <c r="D818" s="65">
        <v>648.0</v>
      </c>
      <c r="E818" s="34">
        <v>46065</v>
      </c>
      <c r="F818" s="109" t="s">
        <v>565</v>
      </c>
      <c r="G818" s="104">
        <v>2.86599693E8</v>
      </c>
      <c r="H818" s="64" t="s">
        <v>2488</v>
      </c>
      <c r="I818" s="16">
        <f>IF(@Table1[[#This Row],[Delivery Date]]="","NA",@Table1[[#This Row],[Delivery Date]]+30)</f>
        <v>46095.0</v>
      </c>
      <c r="J818" s="35" t="s">
        <f t="shared" si="15"/>
        <v>28</v>
      </c>
      <c r="K818" s="87"/>
      <c r="L818" s="89"/>
      <c r="M818" s="89"/>
      <c r="N818" s="89"/>
    </row>
    <row r="819" customHeight="1" ht="14.0">
      <c r="A819" s="64" t="s">
        <v>2489</v>
      </c>
      <c r="B819" s="22" t="s">
        <v>2490</v>
      </c>
      <c r="C819" s="64" t="s">
        <v>1561</v>
      </c>
      <c r="D819" s="65">
        <v>252.0</v>
      </c>
      <c r="E819" s="34">
        <v>46064</v>
      </c>
      <c r="F819" s="109" t="s">
        <v>565</v>
      </c>
      <c r="G819" s="104">
        <v>2.86599699E8</v>
      </c>
      <c r="H819" s="64" t="s">
        <v>2491</v>
      </c>
      <c r="I819" s="16">
        <f>IF(@Table1[[#This Row],[Delivery Date]]="","NA",@Table1[[#This Row],[Delivery Date]]+30)</f>
        <v>46094.0</v>
      </c>
      <c r="J819" s="35" t="s">
        <f t="shared" si="15"/>
        <v>28</v>
      </c>
      <c r="K819" s="87"/>
      <c r="L819" s="89"/>
      <c r="M819" s="89"/>
      <c r="N819" s="89"/>
    </row>
    <row r="820" customHeight="1" ht="14.0">
      <c r="A820" s="64" t="s">
        <v>2492</v>
      </c>
      <c r="B820" s="22" t="s">
        <v>2493</v>
      </c>
      <c r="C820" s="64" t="s">
        <v>1047</v>
      </c>
      <c r="D820" s="65">
        <v>600.0</v>
      </c>
      <c r="E820" s="34">
        <v>46069</v>
      </c>
      <c r="F820" s="109" t="s">
        <v>565</v>
      </c>
      <c r="G820" s="104">
        <v>2.86599721E8</v>
      </c>
      <c r="H820" s="64" t="s">
        <v>2494</v>
      </c>
      <c r="I820" s="16">
        <f>IF(@Table1[[#This Row],[Delivery Date]]="","NA",@Table1[[#This Row],[Delivery Date]]+30)</f>
        <v>46099.0</v>
      </c>
      <c r="J820" s="35" t="s">
        <f t="shared" si="15"/>
        <v>28</v>
      </c>
      <c r="K820" s="87"/>
      <c r="L820" s="89"/>
      <c r="M820" s="89"/>
      <c r="N820" s="89"/>
    </row>
    <row r="821" customHeight="1" ht="14.0">
      <c r="A821" s="64" t="s">
        <v>2495</v>
      </c>
      <c r="B821" s="22" t="s">
        <v>2496</v>
      </c>
      <c r="C821" s="64" t="s">
        <v>1039</v>
      </c>
      <c r="D821" s="65">
        <v>3348.0</v>
      </c>
      <c r="E821" s="34">
        <v>46069</v>
      </c>
      <c r="F821" s="109" t="s">
        <v>565</v>
      </c>
      <c r="G821" s="104">
        <v>2.8659972E8</v>
      </c>
      <c r="H821" s="64" t="s">
        <v>2497</v>
      </c>
      <c r="I821" s="16">
        <f>IF(@Table1[[#This Row],[Delivery Date]]="","NA",@Table1[[#This Row],[Delivery Date]]+30)</f>
        <v>46099.0</v>
      </c>
      <c r="J821" s="35" t="s">
        <f t="shared" si="15"/>
        <v>28</v>
      </c>
      <c r="K821" s="87"/>
      <c r="L821" s="89"/>
      <c r="M821" s="89"/>
      <c r="N821" s="89"/>
    </row>
    <row r="822" customHeight="1" ht="14.0">
      <c r="A822" s="64" t="s">
        <v>2498</v>
      </c>
      <c r="B822" s="22" t="s">
        <v>2499</v>
      </c>
      <c r="C822" s="64" t="s">
        <v>1039</v>
      </c>
      <c r="D822" s="65">
        <v>1404.0</v>
      </c>
      <c r="E822" s="34">
        <v>46072</v>
      </c>
      <c r="F822" s="109" t="s">
        <v>565</v>
      </c>
      <c r="G822" s="104">
        <v>2.86599834E8</v>
      </c>
      <c r="H822" s="64" t="s">
        <v>2500</v>
      </c>
      <c r="I822" s="16">
        <f>IF(@Table1[[#This Row],[Delivery Date]]="","NA",@Table1[[#This Row],[Delivery Date]]+30)</f>
        <v>46102.0</v>
      </c>
      <c r="J822" s="35" t="s">
        <f t="shared" si="15"/>
        <v>28</v>
      </c>
      <c r="K822" s="87"/>
      <c r="L822" s="89"/>
      <c r="M822" s="89"/>
      <c r="N822" s="89"/>
    </row>
    <row r="823" customHeight="1" ht="14.0">
      <c r="A823" s="64" t="s">
        <v>2501</v>
      </c>
      <c r="B823" s="22" t="s">
        <v>2502</v>
      </c>
      <c r="C823" s="64" t="s">
        <v>1319</v>
      </c>
      <c r="D823" s="65">
        <v>2175.0</v>
      </c>
      <c r="E823" s="34">
        <v>46067</v>
      </c>
      <c r="F823" s="109" t="s">
        <v>565</v>
      </c>
      <c r="G823" s="104">
        <v>2.86599712E8</v>
      </c>
      <c r="H823" s="64" t="s">
        <v>2503</v>
      </c>
      <c r="I823" s="16">
        <f>IF(@Table1[[#This Row],[Delivery Date]]="","NA",@Table1[[#This Row],[Delivery Date]]+30)</f>
        <v>46097.0</v>
      </c>
      <c r="J823" s="35" t="s">
        <f t="shared" si="15"/>
        <v>28</v>
      </c>
      <c r="K823" s="87"/>
      <c r="L823" s="89"/>
      <c r="M823" s="89"/>
      <c r="N823" s="89"/>
    </row>
    <row r="824" customHeight="1" ht="14.0">
      <c r="A824" s="64" t="s">
        <v>2504</v>
      </c>
      <c r="B824" s="22" t="s">
        <v>2505</v>
      </c>
      <c r="C824" s="64" t="s">
        <v>1284</v>
      </c>
      <c r="D824" s="65">
        <v>736.0</v>
      </c>
      <c r="E824" s="34">
        <v>46068</v>
      </c>
      <c r="F824" s="109" t="s">
        <v>565</v>
      </c>
      <c r="G824" s="104">
        <v>2.86599713E8</v>
      </c>
      <c r="H824" s="64" t="s">
        <v>2506</v>
      </c>
      <c r="I824" s="16">
        <f>IF(@Table1[[#This Row],[Delivery Date]]="","NA",@Table1[[#This Row],[Delivery Date]]+30)</f>
        <v>46098.0</v>
      </c>
      <c r="J824" s="35" t="s">
        <f t="shared" si="15"/>
        <v>28</v>
      </c>
      <c r="K824" s="87"/>
      <c r="L824" s="89"/>
      <c r="M824" s="89"/>
      <c r="N824" s="89"/>
    </row>
    <row r="825" customHeight="1" ht="14.0">
      <c r="A825" s="64" t="s">
        <v>2507</v>
      </c>
      <c r="B825" s="22" t="s">
        <v>2508</v>
      </c>
      <c r="C825" s="64" t="s">
        <v>2195</v>
      </c>
      <c r="D825" s="65">
        <v>875.0</v>
      </c>
      <c r="E825" s="34">
        <v>46067</v>
      </c>
      <c r="F825" s="109" t="s">
        <v>565</v>
      </c>
      <c r="G825" s="104">
        <v>2.86599714E8</v>
      </c>
      <c r="H825" s="64" t="s">
        <v>2509</v>
      </c>
      <c r="I825" s="16">
        <f>IF(@Table1[[#This Row],[Delivery Date]]="","NA",@Table1[[#This Row],[Delivery Date]]+30)</f>
        <v>46097.0</v>
      </c>
      <c r="J825" s="35" t="s">
        <f t="shared" si="15"/>
        <v>28</v>
      </c>
      <c r="K825" s="87"/>
      <c r="L825" s="89"/>
      <c r="M825" s="89"/>
      <c r="N825" s="89"/>
    </row>
    <row r="826" customHeight="1" ht="14.0">
      <c r="A826" s="64" t="s">
        <v>2510</v>
      </c>
      <c r="B826" s="22" t="s">
        <v>2511</v>
      </c>
      <c r="C826" s="22" t="s">
        <v>1035</v>
      </c>
      <c r="D826" s="65">
        <v>521.0</v>
      </c>
      <c r="E826" s="34">
        <v>46068</v>
      </c>
      <c r="F826" s="109" t="s">
        <v>565</v>
      </c>
      <c r="G826" s="104">
        <v>2.86599715E8</v>
      </c>
      <c r="H826" s="64" t="s">
        <v>2512</v>
      </c>
      <c r="I826" s="16">
        <f>IF(@Table1[[#This Row],[Delivery Date]]="","NA",@Table1[[#This Row],[Delivery Date]]+30)</f>
        <v>46098.0</v>
      </c>
      <c r="J826" s="35" t="s">
        <f t="shared" si="15"/>
        <v>28</v>
      </c>
      <c r="K826" s="87"/>
      <c r="L826" s="89"/>
      <c r="M826" s="89"/>
      <c r="N826" s="89"/>
    </row>
    <row r="827" customHeight="1" ht="14.0">
      <c r="A827" s="64" t="s">
        <v>2513</v>
      </c>
      <c r="B827" s="22" t="s">
        <v>2514</v>
      </c>
      <c r="C827" s="64" t="s">
        <v>1427</v>
      </c>
      <c r="D827" s="65">
        <v>568.0</v>
      </c>
      <c r="E827" s="34">
        <v>46068</v>
      </c>
      <c r="F827" s="109" t="s">
        <v>565</v>
      </c>
      <c r="G827" s="104">
        <v>2.86599716E8</v>
      </c>
      <c r="H827" s="64" t="s">
        <v>2515</v>
      </c>
      <c r="I827" s="16">
        <f>IF(@Table1[[#This Row],[Delivery Date]]="","NA",@Table1[[#This Row],[Delivery Date]]+30)</f>
        <v>46098.0</v>
      </c>
      <c r="J827" s="35" t="s">
        <f t="shared" si="15"/>
        <v>28</v>
      </c>
      <c r="K827" s="87"/>
      <c r="L827" s="89"/>
      <c r="M827" s="89"/>
      <c r="N827" s="89"/>
    </row>
    <row r="828" customHeight="1" ht="14.0">
      <c r="A828" s="64" t="s">
        <v>2516</v>
      </c>
      <c r="B828" s="22" t="s">
        <v>2517</v>
      </c>
      <c r="C828" s="64" t="s">
        <v>2125</v>
      </c>
      <c r="D828" s="65">
        <v>304.0</v>
      </c>
      <c r="E828" s="34">
        <v>46068</v>
      </c>
      <c r="F828" s="109" t="s">
        <v>565</v>
      </c>
      <c r="G828" s="104">
        <v>2.86599717E8</v>
      </c>
      <c r="H828" s="64" t="s">
        <v>2518</v>
      </c>
      <c r="I828" s="16">
        <f>IF(@Table1[[#This Row],[Delivery Date]]="","NA",@Table1[[#This Row],[Delivery Date]]+30)</f>
        <v>46098.0</v>
      </c>
      <c r="J828" s="35" t="s">
        <f t="shared" si="15"/>
        <v>28</v>
      </c>
      <c r="K828" s="87"/>
      <c r="L828" s="89"/>
      <c r="M828" s="89"/>
      <c r="N828" s="89"/>
    </row>
    <row r="829" customHeight="1" ht="14.0">
      <c r="A829" s="64" t="s">
        <v>2519</v>
      </c>
      <c r="B829" s="22" t="s">
        <v>2520</v>
      </c>
      <c r="C829" s="64" t="s">
        <v>1047</v>
      </c>
      <c r="D829" s="65">
        <v>2052.0</v>
      </c>
      <c r="E829" s="34">
        <v>46070</v>
      </c>
      <c r="F829" s="109" t="s">
        <v>565</v>
      </c>
      <c r="G829" s="104">
        <v>2.86599718E8</v>
      </c>
      <c r="H829" s="64" t="s">
        <v>2521</v>
      </c>
      <c r="I829" s="16">
        <f>IF(@Table1[[#This Row],[Delivery Date]]="","NA",@Table1[[#This Row],[Delivery Date]]+30)</f>
        <v>46100.0</v>
      </c>
      <c r="J829" s="35" t="s">
        <f t="shared" si="15"/>
        <v>28</v>
      </c>
      <c r="K829" s="87"/>
      <c r="L829" s="89"/>
      <c r="M829" s="89"/>
      <c r="N829" s="89"/>
    </row>
    <row r="830" customHeight="1" ht="14.0">
      <c r="A830" s="64" t="s">
        <v>2522</v>
      </c>
      <c r="B830" s="22" t="s">
        <v>2523</v>
      </c>
      <c r="C830" s="64" t="s">
        <v>1717</v>
      </c>
      <c r="D830" s="65">
        <v>1416.0</v>
      </c>
      <c r="E830" s="34">
        <v>46067</v>
      </c>
      <c r="F830" s="109" t="s">
        <v>565</v>
      </c>
      <c r="G830" s="104">
        <v>2.86599719E8</v>
      </c>
      <c r="H830" s="64" t="s">
        <v>2524</v>
      </c>
      <c r="I830" s="16">
        <f>IF(@Table1[[#This Row],[Delivery Date]]="","NA",@Table1[[#This Row],[Delivery Date]]+30)</f>
        <v>46097.0</v>
      </c>
      <c r="J830" s="35" t="s">
        <f t="shared" si="15"/>
        <v>28</v>
      </c>
      <c r="K830" s="87"/>
      <c r="L830" s="89"/>
      <c r="M830" s="89"/>
      <c r="N830" s="89"/>
    </row>
    <row r="831" customHeight="1" ht="14.0">
      <c r="A831" s="64" t="s">
        <v>2525</v>
      </c>
      <c r="B831" s="22" t="s">
        <v>2526</v>
      </c>
      <c r="C831" s="64" t="s">
        <v>1039</v>
      </c>
      <c r="D831" s="65">
        <v>3696.0</v>
      </c>
      <c r="E831" s="34">
        <v>46066</v>
      </c>
      <c r="F831" s="109" t="s">
        <v>565</v>
      </c>
      <c r="G831" s="104">
        <v>2.86599722E8</v>
      </c>
      <c r="H831" s="64" t="s">
        <v>2527</v>
      </c>
      <c r="I831" s="16">
        <f>IF(@Table1[[#This Row],[Delivery Date]]="","NA",@Table1[[#This Row],[Delivery Date]]+30)</f>
        <v>46096.0</v>
      </c>
      <c r="J831" s="35" t="s">
        <f t="shared" si="15"/>
        <v>28</v>
      </c>
      <c r="K831" s="87"/>
      <c r="L831" s="89"/>
      <c r="M831" s="89"/>
      <c r="N831" s="89"/>
    </row>
    <row r="832" customHeight="1" ht="14.0">
      <c r="A832" s="64" t="s">
        <v>2528</v>
      </c>
      <c r="B832" s="22" t="s">
        <v>2529</v>
      </c>
      <c r="C832" s="64" t="s">
        <v>1561</v>
      </c>
      <c r="D832" s="65">
        <v>396.0</v>
      </c>
      <c r="E832" s="34">
        <v>46070</v>
      </c>
      <c r="F832" s="109" t="s">
        <v>565</v>
      </c>
      <c r="G832" s="104">
        <v>2.86599784E8</v>
      </c>
      <c r="H832" s="64" t="s">
        <v>2530</v>
      </c>
      <c r="I832" s="16">
        <f>IF(@Table1[[#This Row],[Delivery Date]]="","NA",@Table1[[#This Row],[Delivery Date]]+30)</f>
        <v>46100.0</v>
      </c>
      <c r="J832" s="35" t="s">
        <f t="shared" si="15"/>
        <v>28</v>
      </c>
      <c r="K832" s="87"/>
      <c r="L832" s="89"/>
      <c r="M832" s="89"/>
      <c r="N832" s="89"/>
    </row>
    <row r="833" customHeight="1" ht="14.0">
      <c r="A833" s="64" t="s">
        <v>2531</v>
      </c>
      <c r="B833" s="22" t="s">
        <v>2532</v>
      </c>
      <c r="C833" s="22" t="s">
        <v>1035</v>
      </c>
      <c r="D833" s="65">
        <v>848.0</v>
      </c>
      <c r="E833" s="34">
        <v>46070</v>
      </c>
      <c r="F833" s="109" t="s">
        <v>565</v>
      </c>
      <c r="G833" s="104">
        <v>2.86599785E8</v>
      </c>
      <c r="H833" s="64" t="s">
        <v>2533</v>
      </c>
      <c r="I833" s="16">
        <f>IF(@Table1[[#This Row],[Delivery Date]]="","NA",@Table1[[#This Row],[Delivery Date]]+30)</f>
        <v>46100.0</v>
      </c>
      <c r="J833" s="35" t="s">
        <f t="shared" si="15"/>
        <v>28</v>
      </c>
      <c r="K833" s="87"/>
      <c r="L833" s="89"/>
      <c r="M833" s="89"/>
      <c r="N833" s="89"/>
    </row>
    <row r="834" customHeight="1" ht="14.0">
      <c r="A834" s="64" t="s">
        <v>2534</v>
      </c>
      <c r="B834" s="22" t="s">
        <v>2535</v>
      </c>
      <c r="C834" s="64" t="s">
        <v>1066</v>
      </c>
      <c r="D834" s="65">
        <v>348.0</v>
      </c>
      <c r="E834" s="34">
        <v>46070</v>
      </c>
      <c r="F834" s="109" t="s">
        <v>565</v>
      </c>
      <c r="G834" s="104">
        <v>2.86599783E8</v>
      </c>
      <c r="H834" s="64" t="s">
        <v>2536</v>
      </c>
      <c r="I834" s="16">
        <f>IF(@Table1[[#This Row],[Delivery Date]]="","NA",@Table1[[#This Row],[Delivery Date]]+30)</f>
        <v>46100.0</v>
      </c>
      <c r="J834" s="35" t="s">
        <f t="shared" si="15"/>
        <v>28</v>
      </c>
      <c r="K834" s="87"/>
      <c r="L834" s="89"/>
      <c r="M834" s="89"/>
      <c r="N834" s="89"/>
    </row>
    <row r="835" customHeight="1" ht="14.0">
      <c r="A835" s="64" t="s">
        <v>2537</v>
      </c>
      <c r="B835" s="22" t="s">
        <v>2538</v>
      </c>
      <c r="C835" s="64" t="s">
        <v>1427</v>
      </c>
      <c r="D835" s="65">
        <v>213.0</v>
      </c>
      <c r="E835" s="34">
        <v>46070</v>
      </c>
      <c r="F835" s="109" t="s">
        <v>565</v>
      </c>
      <c r="G835" s="104">
        <v>2.86599786E8</v>
      </c>
      <c r="H835" s="64" t="s">
        <v>2539</v>
      </c>
      <c r="I835" s="16">
        <f>IF(@Table1[[#This Row],[Delivery Date]]="","NA",@Table1[[#This Row],[Delivery Date]]+30)</f>
        <v>46100.0</v>
      </c>
      <c r="J835" s="35" t="s">
        <f t="shared" si="15"/>
        <v>28</v>
      </c>
      <c r="K835" s="87"/>
      <c r="L835" s="89"/>
      <c r="M835" s="89"/>
      <c r="N835" s="89"/>
    </row>
    <row r="836" customHeight="1" ht="14.0">
      <c r="A836" s="64" t="s">
        <v>2540</v>
      </c>
      <c r="B836" s="22" t="s">
        <v>2541</v>
      </c>
      <c r="C836" s="64" t="s">
        <v>2125</v>
      </c>
      <c r="D836" s="65">
        <v>319.0</v>
      </c>
      <c r="E836" s="34">
        <v>46071</v>
      </c>
      <c r="F836" s="109" t="s">
        <v>565</v>
      </c>
      <c r="G836" s="104">
        <v>2.86599787E8</v>
      </c>
      <c r="H836" s="64" t="s">
        <v>2542</v>
      </c>
      <c r="I836" s="16">
        <f>IF(@Table1[[#This Row],[Delivery Date]]="","NA",@Table1[[#This Row],[Delivery Date]]+30)</f>
        <v>46101.0</v>
      </c>
      <c r="J836" s="35" t="s">
        <f t="shared" si="15"/>
        <v>28</v>
      </c>
      <c r="K836" s="87"/>
      <c r="L836" s="89"/>
      <c r="M836" s="89"/>
      <c r="N836" s="89"/>
    </row>
    <row r="837" customHeight="1" ht="14.0">
      <c r="A837" s="64" t="s">
        <v>2543</v>
      </c>
      <c r="B837" s="22" t="s">
        <v>2544</v>
      </c>
      <c r="C837" s="64" t="s">
        <v>1427</v>
      </c>
      <c r="D837" s="65">
        <v>563.0</v>
      </c>
      <c r="E837" s="34">
        <v>46071</v>
      </c>
      <c r="F837" s="109" t="s">
        <v>565</v>
      </c>
      <c r="G837" s="104">
        <v>2.86599805E8</v>
      </c>
      <c r="H837" s="64" t="s">
        <v>2545</v>
      </c>
      <c r="I837" s="16">
        <f>IF(@Table1[[#This Row],[Delivery Date]]="","NA",@Table1[[#This Row],[Delivery Date]]+30)</f>
        <v>46101.0</v>
      </c>
      <c r="J837" s="35" t="s">
        <f t="shared" si="15"/>
        <v>28</v>
      </c>
      <c r="K837" s="87"/>
      <c r="L837" s="89"/>
      <c r="M837" s="89"/>
      <c r="N837" s="89"/>
    </row>
    <row r="838" customHeight="1" ht="14.0">
      <c r="A838" s="64" t="s">
        <v>2546</v>
      </c>
      <c r="B838" s="22" t="s">
        <v>2547</v>
      </c>
      <c r="C838" s="64" t="s">
        <v>1427</v>
      </c>
      <c r="D838" s="65">
        <v>700.0</v>
      </c>
      <c r="E838" s="34">
        <v>46071</v>
      </c>
      <c r="F838" s="109" t="s">
        <v>565</v>
      </c>
      <c r="G838" s="104">
        <v>2.86599805E8</v>
      </c>
      <c r="H838" s="64" t="s">
        <v>2548</v>
      </c>
      <c r="I838" s="16">
        <f>IF(@Table1[[#This Row],[Delivery Date]]="","NA",@Table1[[#This Row],[Delivery Date]]+30)</f>
        <v>46101.0</v>
      </c>
      <c r="J838" s="35" t="s">
        <f t="shared" si="15"/>
        <v>28</v>
      </c>
      <c r="K838" s="87"/>
      <c r="L838" s="89"/>
      <c r="M838" s="89"/>
      <c r="N838" s="89"/>
    </row>
    <row r="839" customHeight="1" ht="14.0">
      <c r="A839" s="64" t="s">
        <v>2549</v>
      </c>
      <c r="B839" s="22" t="s">
        <v>2550</v>
      </c>
      <c r="C839" s="64" t="s">
        <v>1717</v>
      </c>
      <c r="D839" s="65">
        <v>266.0</v>
      </c>
      <c r="E839" s="34">
        <v>46074</v>
      </c>
      <c r="F839" s="109" t="s">
        <v>565</v>
      </c>
      <c r="G839" s="104">
        <v>2.86599806E8</v>
      </c>
      <c r="H839" s="64" t="s">
        <v>2551</v>
      </c>
      <c r="I839" s="16">
        <f>IF(@Table1[[#This Row],[Delivery Date]]="","NA",@Table1[[#This Row],[Delivery Date]]+30)</f>
        <v>46104.0</v>
      </c>
      <c r="J839" s="35" t="s">
        <f t="shared" si="15"/>
        <v>28</v>
      </c>
      <c r="K839" s="87"/>
      <c r="L839" s="89"/>
      <c r="M839" s="89"/>
      <c r="N839" s="89"/>
    </row>
    <row r="840" customHeight="1" ht="14.0">
      <c r="A840" s="64" t="s">
        <v>2552</v>
      </c>
      <c r="B840" s="22" t="s">
        <v>2553</v>
      </c>
      <c r="C840" s="64" t="s">
        <v>1039</v>
      </c>
      <c r="D840" s="65">
        <v>288.0</v>
      </c>
      <c r="E840" s="34">
        <v>46072</v>
      </c>
      <c r="F840" s="109" t="s">
        <v>565</v>
      </c>
      <c r="G840" s="104">
        <v>2.86599807E8</v>
      </c>
      <c r="H840" s="64" t="s">
        <v>2554</v>
      </c>
      <c r="I840" s="16">
        <f>IF(@Table1[[#This Row],[Delivery Date]]="","NA",@Table1[[#This Row],[Delivery Date]]+30)</f>
        <v>46102.0</v>
      </c>
      <c r="J840" s="35" t="s">
        <f t="shared" si="15"/>
        <v>28</v>
      </c>
      <c r="K840" s="87"/>
      <c r="L840" s="89"/>
      <c r="M840" s="89"/>
      <c r="N840" s="89"/>
    </row>
    <row r="841" customHeight="1" ht="14.0">
      <c r="A841" s="64" t="s">
        <v>2555</v>
      </c>
      <c r="B841" s="22" t="s">
        <v>2556</v>
      </c>
      <c r="C841" s="64" t="s">
        <v>1650</v>
      </c>
      <c r="D841" s="65">
        <v>268.0</v>
      </c>
      <c r="E841" s="34">
        <v>46076</v>
      </c>
      <c r="F841" s="109" t="s">
        <v>565</v>
      </c>
      <c r="G841" s="104">
        <v>2.86599808E8</v>
      </c>
      <c r="H841" s="64" t="s">
        <v>2557</v>
      </c>
      <c r="I841" s="16">
        <f>IF(@Table1[[#This Row],[Delivery Date]]="","NA",@Table1[[#This Row],[Delivery Date]]+30)</f>
        <v>46106.0</v>
      </c>
      <c r="J841" s="35" t="s">
        <f t="shared" si="15"/>
        <v>28</v>
      </c>
      <c r="K841" s="87"/>
      <c r="L841" s="89"/>
      <c r="M841" s="89"/>
      <c r="N841" s="89"/>
    </row>
    <row r="842" customHeight="1" ht="14.0">
      <c r="A842" s="64" t="s">
        <v>2558</v>
      </c>
      <c r="B842" s="22" t="s">
        <v>2559</v>
      </c>
      <c r="C842" s="64" t="s">
        <v>2125</v>
      </c>
      <c r="D842" s="65">
        <v>213.0</v>
      </c>
      <c r="E842" s="34">
        <v>46071</v>
      </c>
      <c r="F842" s="109" t="s">
        <v>565</v>
      </c>
      <c r="G842" s="104">
        <v>2.8659981E8</v>
      </c>
      <c r="H842" s="64" t="s">
        <v>2560</v>
      </c>
      <c r="I842" s="16">
        <f>IF(@Table1[[#This Row],[Delivery Date]]="","NA",@Table1[[#This Row],[Delivery Date]]+30)</f>
        <v>46101.0</v>
      </c>
      <c r="J842" s="35" t="s">
        <f t="shared" si="15"/>
        <v>28</v>
      </c>
      <c r="K842" s="87"/>
      <c r="L842" s="89"/>
      <c r="M842" s="89"/>
      <c r="N842" s="89"/>
    </row>
    <row r="843" customHeight="1" ht="14.0">
      <c r="A843" s="64" t="s">
        <v>2561</v>
      </c>
      <c r="B843" s="22" t="s">
        <v>2562</v>
      </c>
      <c r="C843" s="64" t="s">
        <v>1717</v>
      </c>
      <c r="D843" s="65">
        <v>160.0</v>
      </c>
      <c r="E843" s="34">
        <v>46075</v>
      </c>
      <c r="F843" s="109" t="s">
        <v>565</v>
      </c>
      <c r="G843" s="104">
        <v>2.86599832E8</v>
      </c>
      <c r="H843" s="64" t="s">
        <v>2563</v>
      </c>
      <c r="I843" s="16">
        <f>IF(@Table1[[#This Row],[Delivery Date]]="","NA",@Table1[[#This Row],[Delivery Date]]+30)</f>
        <v>46105.0</v>
      </c>
      <c r="J843" s="35" t="s">
        <f t="shared" si="15"/>
        <v>28</v>
      </c>
      <c r="K843" s="87"/>
      <c r="L843" s="89"/>
      <c r="M843" s="89"/>
      <c r="N843" s="89"/>
    </row>
    <row r="844" customHeight="1" ht="14.0">
      <c r="A844" s="64" t="s">
        <v>2564</v>
      </c>
      <c r="B844" s="22" t="s">
        <v>2565</v>
      </c>
      <c r="C844" s="64" t="s">
        <v>1284</v>
      </c>
      <c r="D844" s="65">
        <v>681.0</v>
      </c>
      <c r="E844" s="34">
        <v>46071</v>
      </c>
      <c r="F844" s="109" t="s">
        <v>565</v>
      </c>
      <c r="G844" s="104">
        <v>2.86599841E8</v>
      </c>
      <c r="H844" s="64" t="s">
        <v>2566</v>
      </c>
      <c r="I844" s="16">
        <f>IF(@Table1[[#This Row],[Delivery Date]]="","NA",@Table1[[#This Row],[Delivery Date]]+30)</f>
        <v>46101.0</v>
      </c>
      <c r="J844" s="35" t="s">
        <f t="shared" si="15"/>
        <v>28</v>
      </c>
      <c r="K844" s="87"/>
      <c r="L844" s="89"/>
      <c r="M844" s="89"/>
      <c r="N844" s="89"/>
    </row>
    <row r="845" customHeight="1" ht="14.0">
      <c r="A845" s="118" t="s">
        <v>2567</v>
      </c>
      <c r="B845" s="42" t="s">
        <v>2568</v>
      </c>
      <c r="C845" s="118" t="s">
        <v>1284</v>
      </c>
      <c r="D845" s="137">
        <v>492.0</v>
      </c>
      <c r="E845" s="120">
        <v>46071</v>
      </c>
      <c r="F845" s="122" t="s">
        <v>565</v>
      </c>
      <c r="G845" s="138">
        <v>2.86599841E8</v>
      </c>
      <c r="H845" s="118" t="s">
        <v>108</v>
      </c>
      <c r="I845" s="16">
        <f>IF(@Table1[[#This Row],[Delivery Date]]="","NA",@Table1[[#This Row],[Delivery Date]]+30)</f>
        <v>46101.0</v>
      </c>
      <c r="J845" s="35" t="s">
        <f t="shared" si="15"/>
        <v>28</v>
      </c>
      <c r="K845" s="87"/>
      <c r="L845" s="89"/>
      <c r="M845" s="89"/>
      <c r="N845" s="89"/>
    </row>
    <row r="846" customHeight="1" ht="14.0">
      <c r="A846" s="64" t="s">
        <v>2569</v>
      </c>
      <c r="B846" s="22" t="s">
        <v>2570</v>
      </c>
      <c r="C846" s="64" t="s">
        <v>1047</v>
      </c>
      <c r="D846" s="65">
        <v>612.0</v>
      </c>
      <c r="E846" s="34">
        <v>46073</v>
      </c>
      <c r="F846" s="109" t="s">
        <v>565</v>
      </c>
      <c r="G846" s="104">
        <v>2.86599833E8</v>
      </c>
      <c r="H846" s="64" t="s">
        <v>2571</v>
      </c>
      <c r="I846" s="16">
        <f>IF(@Table1[[#This Row],[Delivery Date]]="","NA",@Table1[[#This Row],[Delivery Date]]+30)</f>
        <v>46103.0</v>
      </c>
      <c r="J846" s="35" t="s">
        <f t="shared" si="15"/>
        <v>28</v>
      </c>
      <c r="K846" s="87"/>
      <c r="L846" s="89"/>
      <c r="M846" s="89"/>
      <c r="N846" s="89"/>
    </row>
    <row r="847" customHeight="1" ht="14.0">
      <c r="A847" s="64" t="s">
        <v>2572</v>
      </c>
      <c r="B847" s="22" t="s">
        <v>2573</v>
      </c>
      <c r="C847" s="64" t="s">
        <v>1319</v>
      </c>
      <c r="D847" s="65">
        <v>534.0</v>
      </c>
      <c r="E847" s="34">
        <v>46071</v>
      </c>
      <c r="F847" s="109" t="s">
        <v>565</v>
      </c>
      <c r="G847" s="104">
        <v>2.86599825E8</v>
      </c>
      <c r="H847" s="64" t="s">
        <v>2574</v>
      </c>
      <c r="I847" s="16">
        <f>IF(@Table1[[#This Row],[Delivery Date]]="","NA",@Table1[[#This Row],[Delivery Date]]+30)</f>
        <v>46101.0</v>
      </c>
      <c r="J847" s="35" t="s">
        <f t="shared" si="15"/>
        <v>28</v>
      </c>
      <c r="K847" s="87"/>
      <c r="L847" s="89"/>
      <c r="M847" s="89"/>
      <c r="N847" s="89"/>
    </row>
    <row r="848" customHeight="1" ht="14.0">
      <c r="A848" s="64" t="s">
        <v>2575</v>
      </c>
      <c r="B848" s="22" t="s">
        <v>2576</v>
      </c>
      <c r="C848" s="64" t="s">
        <v>1669</v>
      </c>
      <c r="D848" s="65">
        <v>228.0</v>
      </c>
      <c r="E848" s="34">
        <v>46071</v>
      </c>
      <c r="F848" s="109" t="s">
        <v>565</v>
      </c>
      <c r="G848" s="104">
        <v>2.86599824E8</v>
      </c>
      <c r="H848" s="64" t="s">
        <v>2577</v>
      </c>
      <c r="I848" s="16">
        <f>IF(@Table1[[#This Row],[Delivery Date]]="","NA",@Table1[[#This Row],[Delivery Date]]+30)</f>
        <v>46101.0</v>
      </c>
      <c r="J848" s="35" t="s">
        <f t="shared" si="15"/>
        <v>28</v>
      </c>
      <c r="K848" s="87"/>
      <c r="L848" s="89"/>
      <c r="M848" s="89"/>
      <c r="N848" s="89"/>
    </row>
    <row r="849" customHeight="1" ht="14.0">
      <c r="A849" s="64" t="s">
        <v>2578</v>
      </c>
      <c r="B849" s="22" t="s">
        <v>2579</v>
      </c>
      <c r="C849" s="64" t="s">
        <v>1669</v>
      </c>
      <c r="D849" s="65">
        <v>357.0</v>
      </c>
      <c r="E849" s="34">
        <v>46071</v>
      </c>
      <c r="F849" s="109" t="s">
        <v>565</v>
      </c>
      <c r="G849" s="104">
        <v>2.86599824E8</v>
      </c>
      <c r="H849" s="64" t="s">
        <v>2580</v>
      </c>
      <c r="I849" s="16">
        <f>IF(@Table1[[#This Row],[Delivery Date]]="","NA",@Table1[[#This Row],[Delivery Date]]+30)</f>
        <v>46101.0</v>
      </c>
      <c r="J849" s="35" t="s">
        <f t="shared" si="15"/>
        <v>28</v>
      </c>
      <c r="K849" s="87"/>
      <c r="L849" s="89"/>
      <c r="M849" s="89"/>
      <c r="N849" s="89"/>
    </row>
    <row r="850" customHeight="1" ht="14.0">
      <c r="A850" s="64" t="s">
        <v>2581</v>
      </c>
      <c r="B850" s="22" t="s">
        <v>2582</v>
      </c>
      <c r="C850" s="64" t="s">
        <v>1561</v>
      </c>
      <c r="D850" s="65">
        <v>608.0</v>
      </c>
      <c r="E850" s="34">
        <v>46071</v>
      </c>
      <c r="F850" s="109" t="s">
        <v>565</v>
      </c>
      <c r="G850" s="104">
        <v>2.86599823E8</v>
      </c>
      <c r="H850" s="64" t="s">
        <v>2583</v>
      </c>
      <c r="I850" s="16">
        <f>IF(@Table1[[#This Row],[Delivery Date]]="","NA",@Table1[[#This Row],[Delivery Date]]+30)</f>
        <v>46101.0</v>
      </c>
      <c r="J850" s="35" t="s">
        <f t="shared" si="15"/>
        <v>28</v>
      </c>
      <c r="K850" s="87"/>
      <c r="L850" s="89"/>
      <c r="M850" s="89"/>
      <c r="N850" s="89"/>
    </row>
    <row r="851" customHeight="1" ht="14.0">
      <c r="A851" s="64" t="s">
        <v>2584</v>
      </c>
      <c r="B851" s="22" t="s">
        <v>2585</v>
      </c>
      <c r="C851" s="64" t="s">
        <v>1039</v>
      </c>
      <c r="D851" s="65">
        <v>1356.0</v>
      </c>
      <c r="E851" s="34">
        <v>46072</v>
      </c>
      <c r="F851" s="109" t="s">
        <v>565</v>
      </c>
      <c r="G851" s="104">
        <v>2.86599827E8</v>
      </c>
      <c r="H851" s="64" t="s">
        <v>2586</v>
      </c>
      <c r="I851" s="16">
        <f>IF(@Table1[[#This Row],[Delivery Date]]="","NA",@Table1[[#This Row],[Delivery Date]]+30)</f>
        <v>46102.0</v>
      </c>
      <c r="J851" s="35" t="s">
        <f t="shared" si="15"/>
        <v>28</v>
      </c>
      <c r="K851" s="87"/>
      <c r="L851" s="89"/>
      <c r="M851" s="89"/>
      <c r="N851" s="89"/>
    </row>
    <row r="852" customHeight="1" ht="14.0">
      <c r="A852" s="64" t="s">
        <v>2587</v>
      </c>
      <c r="B852" s="22" t="s">
        <v>2588</v>
      </c>
      <c r="C852" s="64" t="s">
        <v>1066</v>
      </c>
      <c r="D852" s="65">
        <v>585.0</v>
      </c>
      <c r="E852" s="34">
        <v>46075</v>
      </c>
      <c r="F852" s="109" t="s">
        <v>565</v>
      </c>
      <c r="G852" s="104">
        <v>2.8659983E8</v>
      </c>
      <c r="H852" s="64" t="s">
        <v>2589</v>
      </c>
      <c r="I852" s="16">
        <f>IF(@Table1[[#This Row],[Delivery Date]]="","NA",@Table1[[#This Row],[Delivery Date]]+30)</f>
        <v>46105.0</v>
      </c>
      <c r="J852" s="35" t="s">
        <f t="shared" si="15"/>
        <v>28</v>
      </c>
      <c r="K852" s="87"/>
      <c r="L852" s="89"/>
      <c r="M852" s="89"/>
      <c r="N852" s="89"/>
    </row>
    <row r="853" customHeight="1" ht="14.0">
      <c r="A853" s="64" t="s">
        <v>2590</v>
      </c>
      <c r="B853" s="22" t="s">
        <v>2591</v>
      </c>
      <c r="C853" s="64" t="s">
        <v>1728</v>
      </c>
      <c r="D853" s="65">
        <v>1108.0</v>
      </c>
      <c r="E853" s="34">
        <v>46071</v>
      </c>
      <c r="F853" s="109" t="s">
        <v>565</v>
      </c>
      <c r="G853" s="104">
        <v>2.86599829E8</v>
      </c>
      <c r="H853" s="64" t="s">
        <v>2592</v>
      </c>
      <c r="I853" s="16">
        <f>IF(@Table1[[#This Row],[Delivery Date]]="","NA",@Table1[[#This Row],[Delivery Date]]+30)</f>
        <v>46101.0</v>
      </c>
      <c r="J853" s="35" t="s">
        <f t="shared" si="15"/>
        <v>28</v>
      </c>
      <c r="K853" s="87"/>
      <c r="L853" s="89"/>
      <c r="M853" s="89"/>
      <c r="N853" s="89"/>
    </row>
    <row r="854" customHeight="1" ht="14.0">
      <c r="A854" s="64" t="s">
        <v>2593</v>
      </c>
      <c r="B854" s="22" t="s">
        <v>2594</v>
      </c>
      <c r="C854" s="22" t="s">
        <v>1035</v>
      </c>
      <c r="D854" s="65">
        <v>846.0</v>
      </c>
      <c r="E854" s="34">
        <v>46072</v>
      </c>
      <c r="F854" s="109" t="s">
        <v>565</v>
      </c>
      <c r="G854" s="104">
        <v>2.86599835E8</v>
      </c>
      <c r="H854" s="64" t="s">
        <v>2595</v>
      </c>
      <c r="I854" s="16">
        <f>IF(@Table1[[#This Row],[Delivery Date]]="","NA",@Table1[[#This Row],[Delivery Date]]+30)</f>
        <v>46102.0</v>
      </c>
      <c r="J854" s="35" t="s">
        <f t="shared" si="15"/>
        <v>28</v>
      </c>
      <c r="K854" s="87"/>
      <c r="L854" s="89"/>
      <c r="M854" s="89"/>
      <c r="N854" s="89"/>
    </row>
    <row r="855" customHeight="1" ht="14.0">
      <c r="A855" s="64" t="s">
        <v>2596</v>
      </c>
      <c r="B855" s="22" t="s">
        <v>2597</v>
      </c>
      <c r="C855" s="64" t="s">
        <v>2195</v>
      </c>
      <c r="D855" s="65">
        <v>1212.0</v>
      </c>
      <c r="E855" s="34">
        <v>46078</v>
      </c>
      <c r="F855" s="109" t="s">
        <v>565</v>
      </c>
      <c r="G855" s="104">
        <v>2.86599826E8</v>
      </c>
      <c r="H855" s="64" t="s">
        <v>2598</v>
      </c>
      <c r="I855" s="16">
        <f>IF(@Table1[[#This Row],[Delivery Date]]="","NA",@Table1[[#This Row],[Delivery Date]]+30)</f>
        <v>46108.0</v>
      </c>
      <c r="J855" s="35" t="s">
        <f t="shared" si="15"/>
        <v>28</v>
      </c>
      <c r="K855" s="87"/>
      <c r="L855" s="89"/>
      <c r="M855" s="89"/>
      <c r="N855" s="89"/>
    </row>
    <row r="856" customHeight="1" ht="14.0">
      <c r="A856" s="64" t="s">
        <v>2599</v>
      </c>
      <c r="B856" s="22" t="s">
        <v>2600</v>
      </c>
      <c r="C856" s="64" t="s">
        <v>141</v>
      </c>
      <c r="D856" s="65">
        <v>2736.0</v>
      </c>
      <c r="E856" s="34">
        <v>46085</v>
      </c>
      <c r="F856" s="109" t="s">
        <v>565</v>
      </c>
      <c r="G856" s="104">
        <v>2.86599831E8</v>
      </c>
      <c r="H856" s="64" t="s">
        <v>2601</v>
      </c>
      <c r="I856" s="16">
        <f>IF(@Table1[[#This Row],[Delivery Date]]="","NA",@Table1[[#This Row],[Delivery Date]]+30)</f>
        <v>46115.0</v>
      </c>
      <c r="J856" s="35" t="s">
        <f t="shared" si="15"/>
        <v>28</v>
      </c>
      <c r="K856" s="87"/>
      <c r="L856" s="89"/>
      <c r="M856" s="89"/>
      <c r="N856" s="89"/>
    </row>
    <row r="857" customHeight="1" ht="14.0">
      <c r="A857" s="64" t="s">
        <v>2602</v>
      </c>
      <c r="B857" s="22" t="s">
        <v>2603</v>
      </c>
      <c r="C857" s="64" t="s">
        <v>1231</v>
      </c>
      <c r="D857" s="65">
        <v>792.0</v>
      </c>
      <c r="E857" s="34">
        <v>46072</v>
      </c>
      <c r="F857" s="109" t="s">
        <v>1919</v>
      </c>
      <c r="G857" s="104" t="s">
        <v>1919</v>
      </c>
      <c r="H857" s="64" t="s">
        <v>2604</v>
      </c>
      <c r="I857" s="16">
        <f>IF(@Table1[[#This Row],[Delivery Date]]="","NA",@Table1[[#This Row],[Delivery Date]]+30)</f>
        <v>46102.0</v>
      </c>
      <c r="J857" s="35" t="s">
        <f t="shared" si="15"/>
        <v>28</v>
      </c>
      <c r="K857" s="87"/>
      <c r="L857" s="89"/>
      <c r="M857" s="89"/>
      <c r="N857" s="89"/>
    </row>
    <row r="858" customHeight="1" ht="14.0">
      <c r="A858" s="64" t="s">
        <v>2605</v>
      </c>
      <c r="B858" s="22" t="s">
        <v>2606</v>
      </c>
      <c r="C858" s="64" t="s">
        <v>1231</v>
      </c>
      <c r="D858" s="65">
        <v>954.0</v>
      </c>
      <c r="E858" s="34">
        <v>46070</v>
      </c>
      <c r="F858" s="109" t="s">
        <v>1919</v>
      </c>
      <c r="G858" s="104" t="s">
        <v>1919</v>
      </c>
      <c r="H858" s="64" t="s">
        <v>2607</v>
      </c>
      <c r="I858" s="16">
        <f>IF(@Table1[[#This Row],[Delivery Date]]="","NA",@Table1[[#This Row],[Delivery Date]]+30)</f>
        <v>46100.0</v>
      </c>
      <c r="J858" s="35" t="s">
        <f t="shared" si="15"/>
        <v>28</v>
      </c>
      <c r="K858" s="87"/>
      <c r="L858" s="89"/>
      <c r="M858" s="89"/>
      <c r="N858" s="89"/>
    </row>
    <row r="859" customHeight="1" ht="14.0">
      <c r="A859" s="64" t="s">
        <v>2608</v>
      </c>
      <c r="B859" s="22" t="s">
        <v>2609</v>
      </c>
      <c r="C859" s="64" t="s">
        <v>2125</v>
      </c>
      <c r="D859" s="65">
        <v>195.0</v>
      </c>
      <c r="E859" s="34">
        <v>46079</v>
      </c>
      <c r="F859" s="109" t="s">
        <v>565</v>
      </c>
      <c r="G859" s="104">
        <v>2.86599947E8</v>
      </c>
      <c r="H859" s="64" t="s">
        <v>2610</v>
      </c>
      <c r="I859" s="16">
        <f>IF(@Table1[[#This Row],[Delivery Date]]="","NA",@Table1[[#This Row],[Delivery Date]]+30)</f>
        <v>46109.0</v>
      </c>
      <c r="J859" s="35" t="s">
        <f t="shared" si="15"/>
        <v>28</v>
      </c>
      <c r="K859" s="87"/>
      <c r="L859" s="89"/>
      <c r="M859" s="89"/>
      <c r="N859" s="89"/>
    </row>
    <row r="860" customHeight="1" ht="14.0">
      <c r="A860" s="64" t="s">
        <v>2611</v>
      </c>
      <c r="B860" s="22" t="s">
        <v>2612</v>
      </c>
      <c r="C860" s="64" t="s">
        <v>1717</v>
      </c>
      <c r="D860" s="65">
        <v>316.0</v>
      </c>
      <c r="E860" s="34">
        <v>46079</v>
      </c>
      <c r="F860" s="109" t="s">
        <v>565</v>
      </c>
      <c r="G860" s="104">
        <v>2.86599948E8</v>
      </c>
      <c r="H860" s="64" t="s">
        <v>2613</v>
      </c>
      <c r="I860" s="16">
        <f>IF(@Table1[[#This Row],[Delivery Date]]="","NA",@Table1[[#This Row],[Delivery Date]]+30)</f>
        <v>46109.0</v>
      </c>
      <c r="J860" s="35" t="s">
        <f t="shared" si="15"/>
        <v>28</v>
      </c>
      <c r="K860" s="87"/>
      <c r="L860" s="89"/>
      <c r="M860" s="89"/>
      <c r="N860" s="89"/>
    </row>
    <row r="861" customHeight="1" ht="14.0">
      <c r="A861" s="64" t="s">
        <v>2614</v>
      </c>
      <c r="B861" s="22" t="s">
        <v>2615</v>
      </c>
      <c r="C861" s="64" t="s">
        <v>1427</v>
      </c>
      <c r="D861" s="65">
        <v>480.0</v>
      </c>
      <c r="E861" s="34">
        <v>46079</v>
      </c>
      <c r="F861" s="109" t="s">
        <v>565</v>
      </c>
      <c r="G861" s="104">
        <v>2.86599949E8</v>
      </c>
      <c r="H861" s="64" t="s">
        <v>2616</v>
      </c>
      <c r="I861" s="16">
        <f>IF(@Table1[[#This Row],[Delivery Date]]="","NA",@Table1[[#This Row],[Delivery Date]]+30)</f>
        <v>46109.0</v>
      </c>
      <c r="J861" s="35" t="s">
        <f t="shared" si="15"/>
        <v>28</v>
      </c>
      <c r="K861" s="87"/>
      <c r="L861" s="89"/>
      <c r="M861" s="89"/>
      <c r="N861" s="89"/>
    </row>
    <row r="862" customHeight="1" ht="14.0">
      <c r="A862" s="64" t="s">
        <v>2617</v>
      </c>
      <c r="B862" s="22" t="s">
        <v>2618</v>
      </c>
      <c r="C862" s="64" t="s">
        <v>141</v>
      </c>
      <c r="D862" s="65">
        <v>279.0</v>
      </c>
      <c r="E862" s="34">
        <v>46085</v>
      </c>
      <c r="F862" s="109" t="s">
        <v>565</v>
      </c>
      <c r="G862" s="104">
        <v>2.8659995E8</v>
      </c>
      <c r="H862" s="64" t="s">
        <v>2619</v>
      </c>
      <c r="I862" s="16">
        <f>IF(@Table1[[#This Row],[Delivery Date]]="","NA",@Table1[[#This Row],[Delivery Date]]+30)</f>
        <v>46115.0</v>
      </c>
      <c r="J862" s="35" t="s">
        <f t="shared" si="15"/>
        <v>28</v>
      </c>
      <c r="K862" s="87"/>
      <c r="L862" s="89"/>
      <c r="M862" s="89"/>
      <c r="N862" s="89"/>
    </row>
    <row r="863" customHeight="1" ht="14.0">
      <c r="A863" s="64" t="s">
        <v>2620</v>
      </c>
      <c r="B863" s="22" t="s">
        <v>2621</v>
      </c>
      <c r="C863" s="64" t="s">
        <v>1650</v>
      </c>
      <c r="D863" s="65">
        <v>200.0</v>
      </c>
      <c r="E863" s="34">
        <v>46081</v>
      </c>
      <c r="F863" s="109" t="s">
        <v>565</v>
      </c>
      <c r="G863" s="104">
        <v>2.86599952E8</v>
      </c>
      <c r="H863" s="64" t="s">
        <v>2622</v>
      </c>
      <c r="I863" s="16">
        <f>IF(@Table1[[#This Row],[Delivery Date]]="","NA",@Table1[[#This Row],[Delivery Date]]+30)</f>
        <v>46111.0</v>
      </c>
      <c r="J863" s="35" t="s">
        <f t="shared" si="15"/>
        <v>28</v>
      </c>
      <c r="K863" s="87"/>
      <c r="L863" s="89"/>
      <c r="M863" s="89"/>
      <c r="N863" s="89"/>
    </row>
    <row r="864" customHeight="1" ht="14.0">
      <c r="A864" s="64" t="s">
        <v>2623</v>
      </c>
      <c r="B864" s="22" t="s">
        <v>2624</v>
      </c>
      <c r="C864" s="64" t="s">
        <v>1650</v>
      </c>
      <c r="D864" s="65">
        <v>300.0</v>
      </c>
      <c r="E864" s="34">
        <v>46081</v>
      </c>
      <c r="F864" s="109" t="s">
        <v>565</v>
      </c>
      <c r="G864" s="104">
        <v>2.86599952E8</v>
      </c>
      <c r="H864" s="64" t="s">
        <v>2625</v>
      </c>
      <c r="I864" s="16">
        <f>IF(@Table1[[#This Row],[Delivery Date]]="","NA",@Table1[[#This Row],[Delivery Date]]+30)</f>
        <v>46111.0</v>
      </c>
      <c r="J864" s="35" t="s">
        <f t="shared" si="15"/>
        <v>28</v>
      </c>
      <c r="K864" s="87"/>
      <c r="L864" s="89"/>
      <c r="M864" s="89"/>
      <c r="N864" s="89"/>
    </row>
    <row r="865" customHeight="1" ht="14.0">
      <c r="A865" s="64" t="s">
        <v>2626</v>
      </c>
      <c r="B865" s="22" t="s">
        <v>2627</v>
      </c>
      <c r="C865" s="64" t="s">
        <v>1650</v>
      </c>
      <c r="D865" s="65">
        <v>216.0</v>
      </c>
      <c r="E865" s="34">
        <v>46085</v>
      </c>
      <c r="F865" s="109" t="s">
        <v>565</v>
      </c>
      <c r="G865" s="104">
        <v>2.86599971E8</v>
      </c>
      <c r="H865" s="64" t="s">
        <v>2628</v>
      </c>
      <c r="I865" s="16">
        <f>IF(@Table1[[#This Row],[Delivery Date]]="","NA",@Table1[[#This Row],[Delivery Date]]+30)</f>
        <v>46115.0</v>
      </c>
      <c r="J865" s="35" t="s">
        <f t="shared" si="15"/>
        <v>28</v>
      </c>
      <c r="K865" s="87"/>
      <c r="L865" s="89"/>
      <c r="M865" s="89"/>
      <c r="N865" s="89"/>
    </row>
    <row r="866" customHeight="1" ht="14.0">
      <c r="A866" s="64" t="s">
        <v>2629</v>
      </c>
      <c r="B866" s="22" t="s">
        <v>2630</v>
      </c>
      <c r="C866" s="64" t="s">
        <v>1650</v>
      </c>
      <c r="D866" s="65">
        <v>876.0</v>
      </c>
      <c r="E866" s="34">
        <v>46085</v>
      </c>
      <c r="F866" s="109" t="s">
        <v>565</v>
      </c>
      <c r="G866" s="104">
        <v>2.86599971E8</v>
      </c>
      <c r="H866" s="64" t="s">
        <v>2631</v>
      </c>
      <c r="I866" s="16">
        <f>IF(@Table1[[#This Row],[Delivery Date]]="","NA",@Table1[[#This Row],[Delivery Date]]+30)</f>
        <v>46115.0</v>
      </c>
      <c r="J866" s="35" t="s">
        <f t="shared" si="15"/>
        <v>28</v>
      </c>
      <c r="K866" s="87"/>
      <c r="L866" s="89"/>
      <c r="M866" s="89"/>
      <c r="N866" s="89"/>
    </row>
    <row r="867" customHeight="1" ht="14.0">
      <c r="A867" s="64" t="s">
        <v>2632</v>
      </c>
      <c r="B867" s="22" t="s">
        <v>2633</v>
      </c>
      <c r="C867" s="64" t="s">
        <v>1319</v>
      </c>
      <c r="D867" s="65">
        <v>2592.0</v>
      </c>
      <c r="E867" s="34">
        <v>46085</v>
      </c>
      <c r="F867" s="109" t="s">
        <v>565</v>
      </c>
      <c r="G867" s="104">
        <v>2.86599973E8</v>
      </c>
      <c r="H867" s="64" t="s">
        <v>2634</v>
      </c>
      <c r="I867" s="16">
        <f>IF(@Table1[[#This Row],[Delivery Date]]="","NA",@Table1[[#This Row],[Delivery Date]]+30)</f>
        <v>46115.0</v>
      </c>
      <c r="J867" s="35" t="s">
        <f t="shared" si="15"/>
        <v>28</v>
      </c>
      <c r="K867" s="87"/>
      <c r="L867" s="89"/>
      <c r="M867" s="89"/>
      <c r="N867" s="89"/>
    </row>
    <row r="868" customHeight="1" ht="14.0">
      <c r="A868" s="64" t="s">
        <v>2635</v>
      </c>
      <c r="B868" s="22" t="s">
        <v>2636</v>
      </c>
      <c r="C868" s="64" t="s">
        <v>1319</v>
      </c>
      <c r="D868" s="65">
        <v>153.0</v>
      </c>
      <c r="E868" s="34">
        <v>46085</v>
      </c>
      <c r="F868" s="109" t="s">
        <v>565</v>
      </c>
      <c r="G868" s="104">
        <v>2.86599973E8</v>
      </c>
      <c r="H868" s="64" t="s">
        <v>2637</v>
      </c>
      <c r="I868" s="16">
        <f>IF(@Table1[[#This Row],[Delivery Date]]="","NA",@Table1[[#This Row],[Delivery Date]]+30)</f>
        <v>46115.0</v>
      </c>
      <c r="J868" s="35" t="s">
        <f t="shared" si="15"/>
        <v>28</v>
      </c>
      <c r="K868" s="87"/>
      <c r="L868" s="89"/>
      <c r="M868" s="89"/>
      <c r="N868" s="89"/>
    </row>
    <row r="869" customHeight="1" ht="14.0">
      <c r="A869" s="64" t="s">
        <v>2638</v>
      </c>
      <c r="B869" s="22" t="s">
        <v>2639</v>
      </c>
      <c r="C869" s="64" t="s">
        <v>1669</v>
      </c>
      <c r="D869" s="65">
        <v>1218.0</v>
      </c>
      <c r="E869" s="34">
        <v>46082</v>
      </c>
      <c r="F869" s="109" t="s">
        <v>565</v>
      </c>
      <c r="G869" s="104">
        <v>2.86599974E8</v>
      </c>
      <c r="H869" s="64" t="s">
        <v>2640</v>
      </c>
      <c r="I869" s="16">
        <f>IF(@Table1[[#This Row],[Delivery Date]]="","NA",@Table1[[#This Row],[Delivery Date]]+30)</f>
        <v>46112.0</v>
      </c>
      <c r="J869" s="35" t="s">
        <f t="shared" si="15"/>
        <v>28</v>
      </c>
      <c r="K869" s="87"/>
      <c r="L869" s="89"/>
      <c r="M869" s="89"/>
      <c r="N869" s="89"/>
    </row>
    <row r="870" customHeight="1" ht="14.0">
      <c r="A870" s="64" t="s">
        <v>2641</v>
      </c>
      <c r="B870" s="22" t="s">
        <v>2642</v>
      </c>
      <c r="C870" s="64" t="s">
        <v>1669</v>
      </c>
      <c r="D870" s="65">
        <v>849.0</v>
      </c>
      <c r="E870" s="34">
        <v>46082</v>
      </c>
      <c r="F870" s="109" t="s">
        <v>565</v>
      </c>
      <c r="G870" s="104">
        <v>2.86599974E8</v>
      </c>
      <c r="H870" s="64" t="s">
        <v>2643</v>
      </c>
      <c r="I870" s="16">
        <f>IF(@Table1[[#This Row],[Delivery Date]]="","NA",@Table1[[#This Row],[Delivery Date]]+30)</f>
        <v>46112.0</v>
      </c>
      <c r="J870" s="35" t="s">
        <f t="shared" si="15"/>
        <v>28</v>
      </c>
      <c r="K870" s="87"/>
      <c r="L870" s="89"/>
      <c r="M870" s="89"/>
      <c r="N870" s="89"/>
    </row>
    <row r="871" customHeight="1" ht="14.0">
      <c r="A871" s="64" t="s">
        <v>2644</v>
      </c>
      <c r="B871" s="22" t="s">
        <v>2645</v>
      </c>
      <c r="C871" s="64" t="s">
        <v>1561</v>
      </c>
      <c r="D871" s="65">
        <v>1208.0</v>
      </c>
      <c r="E871" s="34">
        <v>46079</v>
      </c>
      <c r="F871" s="109" t="s">
        <v>565</v>
      </c>
      <c r="G871" s="104">
        <v>2.8659997E8</v>
      </c>
      <c r="H871" s="64" t="s">
        <v>2646</v>
      </c>
      <c r="I871" s="16">
        <f>IF(@Table1[[#This Row],[Delivery Date]]="","NA",@Table1[[#This Row],[Delivery Date]]+30)</f>
        <v>46109.0</v>
      </c>
      <c r="J871" s="35" t="s">
        <f t="shared" si="15"/>
        <v>28</v>
      </c>
      <c r="K871" s="87"/>
      <c r="L871" s="89"/>
      <c r="M871" s="89"/>
      <c r="N871" s="89"/>
    </row>
    <row r="872" customHeight="1" ht="14.0">
      <c r="A872" s="64" t="s">
        <v>2647</v>
      </c>
      <c r="B872" s="22" t="s">
        <v>2648</v>
      </c>
      <c r="C872" s="64" t="s">
        <v>1561</v>
      </c>
      <c r="D872" s="65">
        <v>284.0</v>
      </c>
      <c r="E872" s="34">
        <v>46079</v>
      </c>
      <c r="F872" s="109" t="s">
        <v>565</v>
      </c>
      <c r="G872" s="104">
        <v>2.8659997E8</v>
      </c>
      <c r="H872" s="64" t="s">
        <v>2649</v>
      </c>
      <c r="I872" s="16">
        <f>IF(@Table1[[#This Row],[Delivery Date]]="","NA",@Table1[[#This Row],[Delivery Date]]+30)</f>
        <v>46109.0</v>
      </c>
      <c r="J872" s="35" t="s">
        <f t="shared" si="15"/>
        <v>28</v>
      </c>
      <c r="K872" s="87"/>
      <c r="L872" s="89"/>
      <c r="M872" s="89"/>
      <c r="N872" s="89"/>
    </row>
    <row r="873" customHeight="1" ht="14.0">
      <c r="A873" s="64" t="s">
        <v>2650</v>
      </c>
      <c r="B873" s="22" t="s">
        <v>2651</v>
      </c>
      <c r="C873" s="64" t="s">
        <v>1066</v>
      </c>
      <c r="D873" s="65">
        <v>219.0</v>
      </c>
      <c r="E873" s="34">
        <v>46093</v>
      </c>
      <c r="F873" s="109" t="s">
        <v>565</v>
      </c>
      <c r="G873" s="104">
        <v>2.86599975E8</v>
      </c>
      <c r="H873" s="64" t="s">
        <v>2652</v>
      </c>
      <c r="I873" s="16">
        <f>IF(@Table1[[#This Row],[Delivery Date]]="","NA",@Table1[[#This Row],[Delivery Date]]+30)</f>
        <v>46123.0</v>
      </c>
      <c r="J873" s="35" t="s">
        <f t="shared" si="15"/>
        <v>28</v>
      </c>
      <c r="K873" s="87"/>
      <c r="L873" s="89"/>
      <c r="M873" s="89"/>
      <c r="N873" s="89"/>
    </row>
    <row r="874" customHeight="1" ht="14.0">
      <c r="A874" s="64" t="s">
        <v>2653</v>
      </c>
      <c r="B874" s="22" t="s">
        <v>2654</v>
      </c>
      <c r="C874" s="64" t="s">
        <v>1066</v>
      </c>
      <c r="D874" s="65">
        <v>246.0</v>
      </c>
      <c r="E874" s="34">
        <v>46093</v>
      </c>
      <c r="F874" s="109" t="s">
        <v>565</v>
      </c>
      <c r="G874" s="104">
        <v>2.86599975E8</v>
      </c>
      <c r="H874" s="64" t="s">
        <v>2655</v>
      </c>
      <c r="I874" s="16">
        <f>IF(@Table1[[#This Row],[Delivery Date]]="","NA",@Table1[[#This Row],[Delivery Date]]+30)</f>
        <v>46123.0</v>
      </c>
      <c r="J874" s="35" t="s">
        <f t="shared" si="15"/>
        <v>28</v>
      </c>
      <c r="K874" s="87"/>
      <c r="L874" s="89"/>
      <c r="M874" s="89"/>
      <c r="N874" s="89"/>
    </row>
    <row r="875" customHeight="1" ht="14.0">
      <c r="A875" s="64" t="s">
        <v>2656</v>
      </c>
      <c r="B875" s="22" t="s">
        <v>2657</v>
      </c>
      <c r="C875" s="64" t="s">
        <v>1284</v>
      </c>
      <c r="D875" s="65">
        <v>1278.0</v>
      </c>
      <c r="E875" s="34">
        <v>46079</v>
      </c>
      <c r="F875" s="109" t="s">
        <v>565</v>
      </c>
      <c r="G875" s="104">
        <v>2.86599963E8</v>
      </c>
      <c r="H875" s="64" t="s">
        <v>2658</v>
      </c>
      <c r="I875" s="16">
        <f>IF(@Table1[[#This Row],[Delivery Date]]="","NA",@Table1[[#This Row],[Delivery Date]]+30)</f>
        <v>46109.0</v>
      </c>
      <c r="J875" s="35" t="s">
        <f t="shared" si="15"/>
        <v>28</v>
      </c>
      <c r="K875" s="87"/>
      <c r="L875" s="89"/>
      <c r="M875" s="89"/>
      <c r="N875" s="89"/>
    </row>
    <row r="876" customHeight="1" ht="14.0">
      <c r="A876" s="64" t="s">
        <v>2659</v>
      </c>
      <c r="B876" s="22" t="s">
        <v>2660</v>
      </c>
      <c r="C876" s="64" t="s">
        <v>1047</v>
      </c>
      <c r="D876" s="65">
        <v>1524.0</v>
      </c>
      <c r="E876" s="34">
        <v>46079</v>
      </c>
      <c r="F876" s="109" t="s">
        <v>565</v>
      </c>
      <c r="G876" s="104">
        <v>2.86599964E8</v>
      </c>
      <c r="H876" s="64" t="s">
        <v>2661</v>
      </c>
      <c r="I876" s="16">
        <f>IF(@Table1[[#This Row],[Delivery Date]]="","NA",@Table1[[#This Row],[Delivery Date]]+30)</f>
        <v>46109.0</v>
      </c>
      <c r="J876" s="35" t="s">
        <f t="shared" si="15"/>
        <v>28</v>
      </c>
      <c r="K876" s="87"/>
      <c r="L876" s="89"/>
      <c r="M876" s="89"/>
      <c r="N876" s="89"/>
    </row>
    <row r="877" customHeight="1" ht="14.0">
      <c r="A877" s="64" t="s">
        <v>2662</v>
      </c>
      <c r="B877" s="22" t="s">
        <v>2663</v>
      </c>
      <c r="C877" s="64" t="s">
        <v>1728</v>
      </c>
      <c r="D877" s="65">
        <v>1644.0</v>
      </c>
      <c r="E877" s="34">
        <v>46087</v>
      </c>
      <c r="F877" s="109" t="s">
        <v>565</v>
      </c>
      <c r="G877" s="104">
        <v>2.86599357E8</v>
      </c>
      <c r="H877" s="64" t="s">
        <v>2664</v>
      </c>
      <c r="I877" s="16">
        <f>IF(@Table1[[#This Row],[Delivery Date]]="","NA",@Table1[[#This Row],[Delivery Date]]+30)</f>
        <v>46117.0</v>
      </c>
      <c r="J877" s="35" t="s">
        <f t="shared" si="15"/>
        <v>28</v>
      </c>
      <c r="K877" s="87"/>
      <c r="L877" s="89"/>
      <c r="M877" s="89"/>
      <c r="N877" s="89"/>
    </row>
    <row r="878" customHeight="1" ht="14.0">
      <c r="A878" s="64" t="s">
        <v>2665</v>
      </c>
      <c r="B878" s="22" t="s">
        <v>2666</v>
      </c>
      <c r="C878" s="22" t="s">
        <v>1035</v>
      </c>
      <c r="D878" s="65">
        <v>561.0</v>
      </c>
      <c r="E878" s="34">
        <v>46082</v>
      </c>
      <c r="F878" s="109" t="s">
        <v>565</v>
      </c>
      <c r="G878" s="104">
        <v>2.86599965E8</v>
      </c>
      <c r="H878" s="64" t="s">
        <v>2667</v>
      </c>
      <c r="I878" s="16">
        <f>IF(@Table1[[#This Row],[Delivery Date]]="","NA",@Table1[[#This Row],[Delivery Date]]+30)</f>
        <v>46112.0</v>
      </c>
      <c r="J878" s="35" t="s">
        <f t="shared" si="15"/>
        <v>28</v>
      </c>
      <c r="K878" s="87"/>
      <c r="L878" s="89"/>
      <c r="M878" s="89"/>
      <c r="N878" s="89"/>
    </row>
    <row r="879" customHeight="1" ht="14.0">
      <c r="A879" s="64" t="s">
        <v>2668</v>
      </c>
      <c r="B879" s="22" t="s">
        <v>2669</v>
      </c>
      <c r="C879" s="64" t="s">
        <v>2195</v>
      </c>
      <c r="D879" s="65">
        <v>1605.0</v>
      </c>
      <c r="E879" s="34">
        <v>46085</v>
      </c>
      <c r="F879" s="109" t="s">
        <v>565</v>
      </c>
      <c r="G879" s="104">
        <v>2.86600004E8</v>
      </c>
      <c r="H879" s="64" t="s">
        <v>2670</v>
      </c>
      <c r="I879" s="16">
        <f>IF(@Table1[[#This Row],[Delivery Date]]="","NA",@Table1[[#This Row],[Delivery Date]]+30)</f>
        <v>46115.0</v>
      </c>
      <c r="J879" s="35" t="s">
        <f t="shared" si="15"/>
        <v>28</v>
      </c>
      <c r="K879" s="87"/>
      <c r="L879" s="89"/>
      <c r="M879" s="89"/>
      <c r="N879" s="89"/>
    </row>
    <row r="880" customHeight="1" ht="14.0">
      <c r="A880" s="64" t="s">
        <v>2671</v>
      </c>
      <c r="B880" s="22" t="s">
        <v>2672</v>
      </c>
      <c r="C880" s="64" t="s">
        <v>1717</v>
      </c>
      <c r="D880" s="65">
        <v>672.0</v>
      </c>
      <c r="E880" s="34">
        <v>46081</v>
      </c>
      <c r="F880" s="109" t="s">
        <v>565</v>
      </c>
      <c r="G880" s="104">
        <v>2.86599985E8</v>
      </c>
      <c r="H880" s="64" t="s">
        <v>2673</v>
      </c>
      <c r="I880" s="16">
        <f>IF(@Table1[[#This Row],[Delivery Date]]="","NA",@Table1[[#This Row],[Delivery Date]]+30)</f>
        <v>46111.0</v>
      </c>
      <c r="J880" s="35" t="s">
        <f t="shared" si="15"/>
        <v>28</v>
      </c>
      <c r="K880" s="87"/>
      <c r="L880" s="89"/>
      <c r="M880" s="89"/>
      <c r="N880" s="89"/>
    </row>
    <row r="881" customHeight="1" ht="14.0">
      <c r="A881" s="64" t="s">
        <v>2674</v>
      </c>
      <c r="B881" s="22" t="s">
        <v>2675</v>
      </c>
      <c r="C881" s="64" t="s">
        <v>1717</v>
      </c>
      <c r="D881" s="65">
        <v>1156.0</v>
      </c>
      <c r="E881" s="34">
        <v>46081</v>
      </c>
      <c r="F881" s="109" t="s">
        <v>565</v>
      </c>
      <c r="G881" s="104">
        <v>2.86599985E8</v>
      </c>
      <c r="H881" s="64" t="s">
        <v>2676</v>
      </c>
      <c r="I881" s="16">
        <f>IF(@Table1[[#This Row],[Delivery Date]]="","NA",@Table1[[#This Row],[Delivery Date]]+30)</f>
        <v>46111.0</v>
      </c>
      <c r="J881" s="35" t="s">
        <f t="shared" si="15"/>
        <v>28</v>
      </c>
      <c r="K881" s="87"/>
      <c r="L881" s="89"/>
      <c r="M881" s="89" t="s">
        <v>2677</v>
      </c>
      <c r="N881" s="89"/>
    </row>
    <row r="882" customHeight="1" ht="14.0">
      <c r="A882" s="64" t="s">
        <v>2678</v>
      </c>
      <c r="B882" s="22" t="s">
        <v>2679</v>
      </c>
      <c r="C882" s="64" t="s">
        <v>1039</v>
      </c>
      <c r="D882" s="65">
        <v>456.0</v>
      </c>
      <c r="E882" s="34">
        <v>46081</v>
      </c>
      <c r="F882" s="109" t="s">
        <v>565</v>
      </c>
      <c r="G882" s="104">
        <v>2.86599986E8</v>
      </c>
      <c r="H882" s="64" t="s">
        <v>2680</v>
      </c>
      <c r="I882" s="16">
        <f>IF(@Table1[[#This Row],[Delivery Date]]="","NA",@Table1[[#This Row],[Delivery Date]]+30)</f>
        <v>46111.0</v>
      </c>
      <c r="J882" s="35" t="s">
        <f t="shared" si="15"/>
        <v>28</v>
      </c>
      <c r="K882" s="87"/>
      <c r="L882" s="89"/>
      <c r="M882" s="89"/>
      <c r="N882" s="89"/>
    </row>
    <row r="883" customHeight="1" ht="14.0">
      <c r="A883" s="64" t="s">
        <v>2681</v>
      </c>
      <c r="B883" s="22" t="s">
        <v>2682</v>
      </c>
      <c r="C883" s="64" t="s">
        <v>1427</v>
      </c>
      <c r="D883" s="65">
        <v>162.0</v>
      </c>
      <c r="E883" s="34">
        <v>46081</v>
      </c>
      <c r="F883" s="109" t="s">
        <v>565</v>
      </c>
      <c r="G883" s="104">
        <v>2.86599987E8</v>
      </c>
      <c r="H883" s="64" t="s">
        <v>2683</v>
      </c>
      <c r="I883" s="16">
        <f>IF(@Table1[[#This Row],[Delivery Date]]="","NA",@Table1[[#This Row],[Delivery Date]]+30)</f>
        <v>46111.0</v>
      </c>
      <c r="J883" s="35" t="s">
        <f t="shared" si="15"/>
        <v>28</v>
      </c>
      <c r="K883" s="87"/>
      <c r="L883" s="89"/>
      <c r="M883" s="89"/>
      <c r="N883" s="89"/>
    </row>
    <row r="884" customHeight="1" ht="14.0">
      <c r="A884" s="64" t="s">
        <v>2684</v>
      </c>
      <c r="B884" s="22" t="s">
        <v>2685</v>
      </c>
      <c r="C884" s="64" t="s">
        <v>1427</v>
      </c>
      <c r="D884" s="65">
        <v>599.0</v>
      </c>
      <c r="E884" s="34">
        <v>46081</v>
      </c>
      <c r="F884" s="109" t="s">
        <v>565</v>
      </c>
      <c r="G884" s="104">
        <v>2.86599987E8</v>
      </c>
      <c r="H884" s="64" t="s">
        <v>2686</v>
      </c>
      <c r="I884" s="16">
        <f>IF(@Table1[[#This Row],[Delivery Date]]="","NA",@Table1[[#This Row],[Delivery Date]]+30)</f>
        <v>46111.0</v>
      </c>
      <c r="J884" s="35" t="s">
        <f t="shared" si="15"/>
        <v>28</v>
      </c>
      <c r="K884" s="87"/>
      <c r="L884" s="89"/>
      <c r="M884" s="89"/>
      <c r="N884" s="89"/>
    </row>
    <row r="885" customHeight="1" ht="14.0">
      <c r="A885" s="64" t="s">
        <v>2687</v>
      </c>
      <c r="B885" s="22" t="s">
        <v>2688</v>
      </c>
      <c r="C885" s="64" t="s">
        <v>1761</v>
      </c>
      <c r="D885" s="65">
        <v>392.0</v>
      </c>
      <c r="E885" s="34">
        <v>46081</v>
      </c>
      <c r="F885" s="109" t="s">
        <v>565</v>
      </c>
      <c r="G885" s="104">
        <v>2.86599988E8</v>
      </c>
      <c r="H885" s="64" t="s">
        <v>2689</v>
      </c>
      <c r="I885" s="16">
        <f>IF(@Table1[[#This Row],[Delivery Date]]="","NA",@Table1[[#This Row],[Delivery Date]]+30)</f>
        <v>46111.0</v>
      </c>
      <c r="J885" s="35" t="s">
        <f t="shared" si="15"/>
        <v>28</v>
      </c>
      <c r="K885" s="87"/>
      <c r="L885" s="89"/>
      <c r="M885" s="89"/>
      <c r="N885" s="89"/>
    </row>
    <row r="886" customHeight="1" ht="14.0">
      <c r="A886" s="64" t="s">
        <v>2690</v>
      </c>
      <c r="B886" s="22" t="s">
        <v>2691</v>
      </c>
      <c r="C886" s="64" t="s">
        <v>2125</v>
      </c>
      <c r="D886" s="65">
        <v>1248.0</v>
      </c>
      <c r="E886" s="34">
        <v>46081</v>
      </c>
      <c r="F886" s="109" t="s">
        <v>565</v>
      </c>
      <c r="G886" s="104">
        <v>2.86600007E8</v>
      </c>
      <c r="H886" s="64" t="s">
        <v>2692</v>
      </c>
      <c r="I886" s="16">
        <f>IF(@Table1[[#This Row],[Delivery Date]]="","NA",@Table1[[#This Row],[Delivery Date]]+30)</f>
        <v>46111.0</v>
      </c>
      <c r="J886" s="35" t="s">
        <f t="shared" si="15"/>
        <v>28</v>
      </c>
      <c r="K886" s="87"/>
      <c r="L886" s="89"/>
      <c r="M886" s="89"/>
      <c r="N886" s="89"/>
    </row>
    <row r="887" customHeight="1" ht="14.0">
      <c r="A887" s="64" t="s">
        <v>2693</v>
      </c>
      <c r="B887" s="22" t="s">
        <v>2694</v>
      </c>
      <c r="C887" s="64" t="s">
        <v>2125</v>
      </c>
      <c r="D887" s="65">
        <v>540.0</v>
      </c>
      <c r="E887" s="34">
        <v>46085</v>
      </c>
      <c r="F887" s="109" t="s">
        <v>565</v>
      </c>
      <c r="G887" s="104">
        <v>2.86600008E8</v>
      </c>
      <c r="H887" s="64" t="s">
        <v>2695</v>
      </c>
      <c r="I887" s="16">
        <f>IF(@Table1[[#This Row],[Delivery Date]]="","NA",@Table1[[#This Row],[Delivery Date]]+30)</f>
        <v>46115.0</v>
      </c>
      <c r="J887" s="35" t="s">
        <f t="shared" si="15"/>
        <v>28</v>
      </c>
      <c r="K887" s="87"/>
      <c r="L887" s="89"/>
      <c r="M887" s="89"/>
      <c r="N887" s="89"/>
    </row>
    <row r="888" customHeight="1" ht="14.0">
      <c r="A888" s="64" t="s">
        <v>2696</v>
      </c>
      <c r="B888" s="22" t="s">
        <v>2697</v>
      </c>
      <c r="C888" s="64" t="s">
        <v>1650</v>
      </c>
      <c r="D888" s="65">
        <v>1944.0</v>
      </c>
      <c r="E888" s="34">
        <v>46082</v>
      </c>
      <c r="F888" s="109" t="s">
        <v>565</v>
      </c>
      <c r="G888" s="104">
        <v>2.86600009E8</v>
      </c>
      <c r="H888" s="64" t="s">
        <v>2698</v>
      </c>
      <c r="I888" s="16">
        <f>IF(@Table1[[#This Row],[Delivery Date]]="","NA",@Table1[[#This Row],[Delivery Date]]+30)</f>
        <v>46112.0</v>
      </c>
      <c r="J888" s="35" t="s">
        <f t="shared" si="15"/>
        <v>28</v>
      </c>
      <c r="K888" s="87"/>
      <c r="L888" s="89"/>
      <c r="M888" s="89"/>
      <c r="N888" s="89"/>
    </row>
    <row r="889" customHeight="1" ht="14.0">
      <c r="A889" s="64" t="s">
        <v>2699</v>
      </c>
      <c r="B889" s="22" t="s">
        <v>2700</v>
      </c>
      <c r="C889" s="64" t="s">
        <v>1231</v>
      </c>
      <c r="D889" s="65">
        <v>1344.0</v>
      </c>
      <c r="E889" s="34">
        <v>46078</v>
      </c>
      <c r="F889" s="104" t="s">
        <v>1919</v>
      </c>
      <c r="G889" s="104" t="s">
        <v>1919</v>
      </c>
      <c r="H889" s="64" t="s">
        <v>2701</v>
      </c>
      <c r="I889" s="16">
        <f>IF(@Table1[[#This Row],[Delivery Date]]="","NA",@Table1[[#This Row],[Delivery Date]]+30)</f>
        <v>46108.0</v>
      </c>
      <c r="J889" s="35" t="s">
        <f t="shared" si="15"/>
        <v>28</v>
      </c>
      <c r="K889" s="87"/>
      <c r="L889" s="89"/>
      <c r="M889" s="89"/>
      <c r="N889" s="89"/>
    </row>
    <row r="890" customHeight="1" ht="14.0">
      <c r="A890" s="64" t="s">
        <v>2702</v>
      </c>
      <c r="B890" s="22" t="s">
        <v>2703</v>
      </c>
      <c r="C890" s="64" t="s">
        <v>1231</v>
      </c>
      <c r="D890" s="65">
        <v>656.0</v>
      </c>
      <c r="E890" s="34">
        <v>46078</v>
      </c>
      <c r="F890" s="104" t="s">
        <v>1919</v>
      </c>
      <c r="G890" s="104" t="s">
        <v>1919</v>
      </c>
      <c r="H890" s="64" t="s">
        <v>2704</v>
      </c>
      <c r="I890" s="16">
        <f>IF(@Table1[[#This Row],[Delivery Date]]="","NA",@Table1[[#This Row],[Delivery Date]]+30)</f>
        <v>46108.0</v>
      </c>
      <c r="J890" s="35" t="s">
        <f t="shared" si="15"/>
        <v>28</v>
      </c>
      <c r="K890" s="87"/>
      <c r="L890" s="89"/>
      <c r="M890" s="89"/>
      <c r="N890" s="89"/>
    </row>
    <row r="891" customHeight="1" ht="14.0">
      <c r="A891" s="64" t="s">
        <v>2705</v>
      </c>
      <c r="B891" s="22" t="s">
        <v>2706</v>
      </c>
      <c r="C891" s="64" t="s">
        <v>1231</v>
      </c>
      <c r="D891" s="65">
        <v>1513.0</v>
      </c>
      <c r="E891" s="34">
        <v>46078</v>
      </c>
      <c r="F891" s="104" t="s">
        <v>1919</v>
      </c>
      <c r="G891" s="104" t="s">
        <v>1919</v>
      </c>
      <c r="H891" s="64" t="s">
        <v>2707</v>
      </c>
      <c r="I891" s="16">
        <f>IF(@Table1[[#This Row],[Delivery Date]]="","NA",@Table1[[#This Row],[Delivery Date]]+30)</f>
        <v>46108.0</v>
      </c>
      <c r="J891" s="35" t="s">
        <f t="shared" si="15"/>
        <v>28</v>
      </c>
      <c r="K891" s="87"/>
      <c r="L891" s="89"/>
      <c r="M891" s="89"/>
      <c r="N891" s="89"/>
    </row>
    <row r="892" customHeight="1" ht="14.0">
      <c r="A892" s="64" t="s">
        <v>2708</v>
      </c>
      <c r="B892" s="22" t="s">
        <v>2709</v>
      </c>
      <c r="C892" s="64" t="s">
        <v>1231</v>
      </c>
      <c r="D892" s="65">
        <v>1921.0</v>
      </c>
      <c r="E892" s="34">
        <v>46091</v>
      </c>
      <c r="F892" s="104" t="s">
        <v>1919</v>
      </c>
      <c r="G892" s="104" t="s">
        <v>1919</v>
      </c>
      <c r="H892" s="64" t="s">
        <v>2710</v>
      </c>
      <c r="I892" s="16">
        <f>IF(@Table1[[#This Row],[Delivery Date]]="","NA",@Table1[[#This Row],[Delivery Date]]+30)</f>
        <v>46121.0</v>
      </c>
      <c r="J892" s="35" t="s">
        <f t="shared" si="15"/>
        <v>28</v>
      </c>
      <c r="K892" s="87"/>
      <c r="L892" s="89"/>
      <c r="M892" s="89"/>
      <c r="N892" s="89"/>
    </row>
    <row r="893" customHeight="1" ht="14.0">
      <c r="A893" s="64" t="s">
        <v>2711</v>
      </c>
      <c r="B893" s="22" t="s">
        <v>2712</v>
      </c>
      <c r="C893" s="64" t="s">
        <v>1427</v>
      </c>
      <c r="D893" s="65">
        <v>1600.0</v>
      </c>
      <c r="E893" s="34">
        <v>46085</v>
      </c>
      <c r="F893" s="109" t="s">
        <v>565</v>
      </c>
      <c r="G893" s="104">
        <v>2.86600018E8</v>
      </c>
      <c r="H893" s="64" t="s">
        <v>2713</v>
      </c>
      <c r="I893" s="16">
        <f>IF(@Table1[[#This Row],[Delivery Date]]="","NA",@Table1[[#This Row],[Delivery Date]]+30)</f>
        <v>46115.0</v>
      </c>
      <c r="J893" s="35" t="s">
        <f t="shared" si="15"/>
        <v>28</v>
      </c>
      <c r="K893" s="87"/>
      <c r="L893" s="89"/>
      <c r="M893" s="89"/>
      <c r="N893" s="89"/>
    </row>
    <row r="894" customHeight="1" ht="14.0">
      <c r="A894" s="64" t="s">
        <v>2714</v>
      </c>
      <c r="B894" s="22" t="s">
        <v>2715</v>
      </c>
      <c r="C894" s="64" t="s">
        <v>1561</v>
      </c>
      <c r="D894" s="65">
        <v>520.0</v>
      </c>
      <c r="E894" s="34">
        <v>46082</v>
      </c>
      <c r="F894" s="109" t="s">
        <v>565</v>
      </c>
      <c r="G894" s="104">
        <v>2.86600019E8</v>
      </c>
      <c r="H894" s="64" t="s">
        <v>2716</v>
      </c>
      <c r="I894" s="16">
        <f>IF(@Table1[[#This Row],[Delivery Date]]="","NA",@Table1[[#This Row],[Delivery Date]]+30)</f>
        <v>46112.0</v>
      </c>
      <c r="J894" s="35" t="s">
        <f t="shared" si="15"/>
        <v>28</v>
      </c>
      <c r="K894" s="87"/>
      <c r="L894" s="89"/>
      <c r="M894" s="89"/>
      <c r="N894" s="89"/>
    </row>
    <row r="895" customHeight="1" ht="14.0">
      <c r="A895" s="64" t="s">
        <v>2717</v>
      </c>
      <c r="B895" s="22" t="s">
        <v>2718</v>
      </c>
      <c r="C895" s="64" t="s">
        <v>1319</v>
      </c>
      <c r="D895" s="65">
        <v>2.0</v>
      </c>
      <c r="E895" s="34"/>
      <c r="F895" s="109" t="s">
        <v>2719</v>
      </c>
      <c r="G895" s="109" t="s">
        <v>2719</v>
      </c>
      <c r="H895" s="64"/>
      <c r="I895" s="16" t="s">
        <f>IF(@Table1[[#This Row],[Delivery Date]]="","NA",@Table1[[#This Row],[Delivery Date]]+30)</f>
        <v>706</v>
      </c>
      <c r="J895" s="35" t="s">
        <f t="shared" si="15"/>
        <v>707</v>
      </c>
      <c r="K895" s="87"/>
      <c r="L895" s="89"/>
      <c r="M895" s="89"/>
      <c r="N895" s="89"/>
    </row>
    <row r="896" customHeight="1" ht="14.0">
      <c r="A896" s="64" t="s">
        <v>2720</v>
      </c>
      <c r="B896" s="22" t="s">
        <v>2721</v>
      </c>
      <c r="C896" s="64" t="s">
        <v>1039</v>
      </c>
      <c r="D896" s="65">
        <v>104.0</v>
      </c>
      <c r="E896" s="34">
        <v>46090</v>
      </c>
      <c r="F896" s="109" t="s">
        <v>2719</v>
      </c>
      <c r="G896" s="109" t="s">
        <v>2719</v>
      </c>
      <c r="H896" s="64" t="s">
        <v>2722</v>
      </c>
      <c r="I896" s="16">
        <f>IF(@Table1[[#This Row],[Delivery Date]]="","NA",@Table1[[#This Row],[Delivery Date]]+30)</f>
        <v>46120.0</v>
      </c>
      <c r="J896" s="35" t="s">
        <f t="shared" si="15"/>
        <v>28</v>
      </c>
      <c r="K896" s="87"/>
      <c r="L896" s="89"/>
      <c r="M896" s="89"/>
      <c r="N896" s="89"/>
    </row>
    <row r="897" customHeight="1" ht="14.0">
      <c r="A897" s="64" t="s">
        <v>2723</v>
      </c>
      <c r="B897" s="22" t="s">
        <v>2724</v>
      </c>
      <c r="C897" s="64" t="s">
        <v>1717</v>
      </c>
      <c r="D897" s="65">
        <v>91.0</v>
      </c>
      <c r="E897" s="34"/>
      <c r="F897" s="109" t="s">
        <v>2719</v>
      </c>
      <c r="G897" s="109" t="s">
        <v>2719</v>
      </c>
      <c r="H897" s="64"/>
      <c r="I897" s="16" t="s">
        <f>IF(@Table1[[#This Row],[Delivery Date]]="","NA",@Table1[[#This Row],[Delivery Date]]+30)</f>
        <v>706</v>
      </c>
      <c r="J897" s="35" t="s">
        <f t="shared" si="15"/>
        <v>707</v>
      </c>
      <c r="K897" s="87"/>
      <c r="L897" s="89"/>
      <c r="M897" s="89"/>
      <c r="N897" s="89"/>
    </row>
    <row r="898" customHeight="1" ht="14.0">
      <c r="A898" s="64" t="s">
        <v>2725</v>
      </c>
      <c r="B898" s="22" t="s">
        <v>2726</v>
      </c>
      <c r="C898" s="64" t="s">
        <v>141</v>
      </c>
      <c r="D898" s="65">
        <v>30.0</v>
      </c>
      <c r="E898" s="34"/>
      <c r="F898" s="109" t="s">
        <v>2719</v>
      </c>
      <c r="G898" s="109" t="s">
        <v>2719</v>
      </c>
      <c r="H898" s="64"/>
      <c r="I898" s="16" t="s">
        <f>IF(@Table1[[#This Row],[Delivery Date]]="","NA",@Table1[[#This Row],[Delivery Date]]+30)</f>
        <v>706</v>
      </c>
      <c r="J898" s="35" t="s">
        <f t="shared" si="15"/>
        <v>707</v>
      </c>
      <c r="K898" s="87"/>
      <c r="L898" s="89"/>
      <c r="M898" s="89"/>
      <c r="N898" s="89"/>
    </row>
    <row r="899" customHeight="1" ht="14.0">
      <c r="A899" s="64" t="s">
        <v>2727</v>
      </c>
      <c r="B899" s="22" t="s">
        <v>2728</v>
      </c>
      <c r="C899" s="64" t="s">
        <v>1669</v>
      </c>
      <c r="D899" s="65">
        <v>4.0</v>
      </c>
      <c r="E899" s="34"/>
      <c r="F899" s="109" t="s">
        <v>2719</v>
      </c>
      <c r="G899" s="109" t="s">
        <v>2719</v>
      </c>
      <c r="H899" s="64"/>
      <c r="I899" s="16" t="s">
        <f>IF(@Table1[[#This Row],[Delivery Date]]="","NA",@Table1[[#This Row],[Delivery Date]]+30)</f>
        <v>706</v>
      </c>
      <c r="J899" s="35" t="s">
        <f t="shared" si="15"/>
        <v>707</v>
      </c>
      <c r="K899" s="87"/>
      <c r="L899" s="89"/>
      <c r="M899" s="89"/>
      <c r="N899" s="89"/>
    </row>
    <row r="900" customHeight="1" ht="14.0">
      <c r="A900" s="64" t="s">
        <v>2729</v>
      </c>
      <c r="B900" s="22" t="s">
        <v>2730</v>
      </c>
      <c r="C900" s="22" t="s">
        <v>1035</v>
      </c>
      <c r="D900" s="65">
        <v>36.0</v>
      </c>
      <c r="E900" s="34">
        <v>46084</v>
      </c>
      <c r="F900" s="109" t="s">
        <v>2719</v>
      </c>
      <c r="G900" s="109" t="s">
        <v>2719</v>
      </c>
      <c r="H900" s="64" t="s">
        <v>2731</v>
      </c>
      <c r="I900" s="16">
        <f>IF(@Table1[[#This Row],[Delivery Date]]="","NA",@Table1[[#This Row],[Delivery Date]]+30)</f>
        <v>46114.0</v>
      </c>
      <c r="J900" s="35" t="s">
        <f t="shared" si="15"/>
        <v>28</v>
      </c>
      <c r="K900" s="87"/>
      <c r="L900" s="89"/>
      <c r="M900" s="89"/>
      <c r="N900" s="89"/>
    </row>
    <row r="901" customHeight="1" ht="14.0">
      <c r="A901" s="64" t="s">
        <v>2732</v>
      </c>
      <c r="B901" s="22" t="s">
        <v>2733</v>
      </c>
      <c r="C901" s="64" t="s">
        <v>1231</v>
      </c>
      <c r="D901" s="65">
        <v>18.0</v>
      </c>
      <c r="E901" s="34"/>
      <c r="F901" s="109" t="s">
        <v>2719</v>
      </c>
      <c r="G901" s="109" t="s">
        <v>2719</v>
      </c>
      <c r="H901" s="64"/>
      <c r="I901" s="16" t="s">
        <f>IF(@Table1[[#This Row],[Delivery Date]]="","NA",@Table1[[#This Row],[Delivery Date]]+30)</f>
        <v>706</v>
      </c>
      <c r="J901" s="35" t="s">
        <f t="shared" si="15"/>
        <v>707</v>
      </c>
      <c r="K901" s="87"/>
      <c r="L901" s="89"/>
      <c r="M901" s="89"/>
      <c r="N901" s="89"/>
    </row>
    <row r="902" customHeight="1" ht="14.0">
      <c r="A902" s="64" t="s">
        <v>2734</v>
      </c>
      <c r="B902" s="22" t="s">
        <v>2735</v>
      </c>
      <c r="C902" s="64" t="s">
        <v>2195</v>
      </c>
      <c r="D902" s="65">
        <v>8.0</v>
      </c>
      <c r="E902" s="34"/>
      <c r="F902" s="109" t="s">
        <v>2719</v>
      </c>
      <c r="G902" s="109" t="s">
        <v>2719</v>
      </c>
      <c r="H902" s="64"/>
      <c r="I902" s="16" t="s">
        <f>IF(@Table1[[#This Row],[Delivery Date]]="","NA",@Table1[[#This Row],[Delivery Date]]+30)</f>
        <v>706</v>
      </c>
      <c r="J902" s="35" t="s">
        <f t="shared" si="15"/>
        <v>707</v>
      </c>
      <c r="K902" s="87"/>
      <c r="L902" s="89"/>
      <c r="M902" s="89"/>
      <c r="N902" s="89"/>
    </row>
    <row r="903" customHeight="1" ht="14.0">
      <c r="A903" s="64" t="s">
        <v>2736</v>
      </c>
      <c r="B903" s="22" t="s">
        <v>2737</v>
      </c>
      <c r="C903" s="64" t="s">
        <v>2195</v>
      </c>
      <c r="D903" s="65">
        <v>192.0</v>
      </c>
      <c r="E903" s="34">
        <v>46085</v>
      </c>
      <c r="F903" s="109" t="s">
        <v>565</v>
      </c>
      <c r="G903" s="104">
        <v>2.86600052E8</v>
      </c>
      <c r="H903" s="64" t="s">
        <v>2738</v>
      </c>
      <c r="I903" s="16">
        <f>IF(@Table1[[#This Row],[Delivery Date]]="","NA",@Table1[[#This Row],[Delivery Date]]+30)</f>
        <v>46115.0</v>
      </c>
      <c r="J903" s="35" t="s">
        <f t="shared" si="15"/>
        <v>28</v>
      </c>
      <c r="K903" s="87"/>
      <c r="L903" s="89"/>
      <c r="M903" s="89"/>
      <c r="N903" s="89"/>
    </row>
    <row r="904" customHeight="1" ht="14.0">
      <c r="A904" s="64" t="s">
        <v>2739</v>
      </c>
      <c r="B904" s="22" t="s">
        <v>2740</v>
      </c>
      <c r="C904" s="64" t="s">
        <v>2195</v>
      </c>
      <c r="D904" s="65">
        <v>2824.0</v>
      </c>
      <c r="E904" s="34">
        <v>46085</v>
      </c>
      <c r="F904" s="109" t="s">
        <v>565</v>
      </c>
      <c r="G904" s="104">
        <v>2.86600052E8</v>
      </c>
      <c r="H904" s="64" t="s">
        <v>2741</v>
      </c>
      <c r="I904" s="16">
        <f>IF(@Table1[[#This Row],[Delivery Date]]="","NA",@Table1[[#This Row],[Delivery Date]]+30)</f>
        <v>46115.0</v>
      </c>
      <c r="J904" s="35" t="s">
        <f t="shared" si="15"/>
        <v>28</v>
      </c>
      <c r="K904" s="87"/>
      <c r="L904" s="89"/>
      <c r="M904" s="89"/>
      <c r="N904" s="89"/>
    </row>
    <row r="905" customHeight="1" ht="14.0">
      <c r="A905" s="64" t="s">
        <v>2742</v>
      </c>
      <c r="B905" s="22" t="s">
        <v>2743</v>
      </c>
      <c r="C905" s="64" t="s">
        <v>1039</v>
      </c>
      <c r="D905" s="65">
        <v>5616.0</v>
      </c>
      <c r="E905" s="34">
        <v>46085</v>
      </c>
      <c r="F905" s="109" t="s">
        <v>565</v>
      </c>
      <c r="G905" s="104">
        <v>2.86600054E8</v>
      </c>
      <c r="H905" s="64" t="s">
        <v>2744</v>
      </c>
      <c r="I905" s="16">
        <f>IF(@Table1[[#This Row],[Delivery Date]]="","NA",@Table1[[#This Row],[Delivery Date]]+30)</f>
        <v>46115.0</v>
      </c>
      <c r="J905" s="35" t="s">
        <f t="shared" si="15"/>
        <v>28</v>
      </c>
      <c r="K905" s="87"/>
      <c r="L905" s="89"/>
      <c r="M905" s="89"/>
      <c r="N905" s="89"/>
    </row>
    <row r="906" customHeight="1" ht="14.0">
      <c r="A906" s="64" t="s">
        <v>2745</v>
      </c>
      <c r="B906" s="22" t="s">
        <v>2746</v>
      </c>
      <c r="C906" s="64" t="s">
        <v>1728</v>
      </c>
      <c r="D906" s="65">
        <v>1088.0</v>
      </c>
      <c r="E906" s="34">
        <v>46087</v>
      </c>
      <c r="F906" s="109" t="s">
        <v>565</v>
      </c>
      <c r="G906" s="104">
        <v>2.86600055E8</v>
      </c>
      <c r="H906" s="64" t="s">
        <v>2747</v>
      </c>
      <c r="I906" s="16">
        <f>IF(@Table1[[#This Row],[Delivery Date]]="","NA",@Table1[[#This Row],[Delivery Date]]+30)</f>
        <v>46117.0</v>
      </c>
      <c r="J906" s="35" t="s">
        <f t="shared" si="15"/>
        <v>28</v>
      </c>
      <c r="K906" s="87"/>
      <c r="L906" s="89"/>
      <c r="M906" s="89"/>
      <c r="N906" s="89"/>
    </row>
    <row r="907" customHeight="1" ht="14.0">
      <c r="A907" s="64" t="s">
        <v>2748</v>
      </c>
      <c r="B907" s="22" t="s">
        <v>2749</v>
      </c>
      <c r="C907" s="64" t="s">
        <v>1319</v>
      </c>
      <c r="D907" s="65">
        <v>3428.0</v>
      </c>
      <c r="E907" s="34">
        <v>46092</v>
      </c>
      <c r="F907" s="109" t="s">
        <v>565</v>
      </c>
      <c r="G907" s="104">
        <v>2.86600056E8</v>
      </c>
      <c r="H907" s="64" t="s">
        <v>2750</v>
      </c>
      <c r="I907" s="16">
        <f>IF(@Table1[[#This Row],[Delivery Date]]="","NA",@Table1[[#This Row],[Delivery Date]]+30)</f>
        <v>46122.0</v>
      </c>
      <c r="J907" s="35" t="s">
        <f t="shared" si="15"/>
        <v>28</v>
      </c>
      <c r="K907" s="87"/>
      <c r="L907" s="89"/>
      <c r="M907" s="89"/>
      <c r="N907" s="89"/>
    </row>
    <row r="908" customHeight="1" ht="14.0">
      <c r="A908" s="64" t="s">
        <v>2751</v>
      </c>
      <c r="B908" s="22" t="s">
        <v>2752</v>
      </c>
      <c r="C908" s="64" t="s">
        <v>1284</v>
      </c>
      <c r="D908" s="65">
        <v>2960.0</v>
      </c>
      <c r="E908" s="34">
        <v>46089</v>
      </c>
      <c r="F908" s="109" t="s">
        <v>565</v>
      </c>
      <c r="G908" s="104">
        <v>2.86600058E8</v>
      </c>
      <c r="H908" s="64" t="s">
        <v>2753</v>
      </c>
      <c r="I908" s="16">
        <f>IF(@Table1[[#This Row],[Delivery Date]]="","NA",@Table1[[#This Row],[Delivery Date]]+30)</f>
        <v>46119.0</v>
      </c>
      <c r="J908" s="35" t="s">
        <f t="shared" si="15"/>
        <v>28</v>
      </c>
      <c r="K908" s="87"/>
      <c r="L908" s="89"/>
      <c r="M908" s="89"/>
      <c r="N908" s="89"/>
    </row>
    <row r="909" customHeight="1" ht="14.0">
      <c r="A909" s="64" t="s">
        <v>2754</v>
      </c>
      <c r="B909" s="22" t="s">
        <v>2755</v>
      </c>
      <c r="C909" s="64" t="s">
        <v>1650</v>
      </c>
      <c r="D909" s="65">
        <v>756.0</v>
      </c>
      <c r="E909" s="34">
        <v>46089</v>
      </c>
      <c r="F909" s="109" t="s">
        <v>565</v>
      </c>
      <c r="G909" s="104">
        <v>2.86600098E8</v>
      </c>
      <c r="H909" s="64" t="s">
        <v>2756</v>
      </c>
      <c r="I909" s="16">
        <f>IF(@Table1[[#This Row],[Delivery Date]]="","NA",@Table1[[#This Row],[Delivery Date]]+30)</f>
        <v>46119.0</v>
      </c>
      <c r="J909" s="35" t="s">
        <f t="shared" si="15"/>
        <v>28</v>
      </c>
      <c r="K909" s="87"/>
      <c r="L909" s="89"/>
      <c r="M909" s="89"/>
      <c r="N909" s="89"/>
    </row>
    <row r="910" customHeight="1" ht="14.0">
      <c r="A910" s="64" t="s">
        <v>2757</v>
      </c>
      <c r="B910" s="22" t="s">
        <v>2758</v>
      </c>
      <c r="C910" s="64" t="s">
        <v>1039</v>
      </c>
      <c r="D910" s="65">
        <v>2836.0</v>
      </c>
      <c r="E910" s="34">
        <v>46092</v>
      </c>
      <c r="F910" s="109" t="s">
        <v>565</v>
      </c>
      <c r="G910" s="104">
        <v>2.86599422E8</v>
      </c>
      <c r="H910" s="64" t="s">
        <v>2759</v>
      </c>
      <c r="I910" s="16">
        <f>IF(@Table1[[#This Row],[Delivery Date]]="","NA",@Table1[[#This Row],[Delivery Date]]+30)</f>
        <v>46122.0</v>
      </c>
      <c r="J910" s="35" t="s">
        <f t="shared" si="15"/>
        <v>28</v>
      </c>
      <c r="K910" s="87"/>
      <c r="L910" s="89"/>
      <c r="M910" s="89"/>
      <c r="N910" s="89"/>
    </row>
    <row r="911" customHeight="1" ht="14.0">
      <c r="A911" s="64" t="s">
        <v>2760</v>
      </c>
      <c r="B911" s="22" t="s">
        <v>2761</v>
      </c>
      <c r="C911" s="64" t="s">
        <v>1039</v>
      </c>
      <c r="D911" s="65">
        <v>2388.0</v>
      </c>
      <c r="E911" s="34">
        <v>46088</v>
      </c>
      <c r="F911" s="109" t="s">
        <v>565</v>
      </c>
      <c r="G911" s="104">
        <v>2.8659938E8</v>
      </c>
      <c r="H911" s="64" t="s">
        <v>2762</v>
      </c>
      <c r="I911" s="16">
        <f>IF(@Table1[[#This Row],[Delivery Date]]="","NA",@Table1[[#This Row],[Delivery Date]]+30)</f>
        <v>46118.0</v>
      </c>
      <c r="J911" s="35" t="s">
        <f t="shared" si="15"/>
        <v>28</v>
      </c>
      <c r="K911" s="87"/>
      <c r="L911" s="89"/>
      <c r="M911" s="89"/>
      <c r="N911" s="89"/>
    </row>
    <row r="912" customHeight="1" ht="14.0">
      <c r="A912" s="64" t="s">
        <v>2763</v>
      </c>
      <c r="B912" s="22" t="s">
        <v>2764</v>
      </c>
      <c r="C912" s="64" t="s">
        <v>1039</v>
      </c>
      <c r="D912" s="65">
        <v>356.0</v>
      </c>
      <c r="E912" s="34">
        <v>46088</v>
      </c>
      <c r="F912" s="109" t="s">
        <v>565</v>
      </c>
      <c r="G912" s="104">
        <v>2.8659938E8</v>
      </c>
      <c r="H912" s="64" t="s">
        <v>2765</v>
      </c>
      <c r="I912" s="16">
        <f>IF(@Table1[[#This Row],[Delivery Date]]="","NA",@Table1[[#This Row],[Delivery Date]]+30)</f>
        <v>46118.0</v>
      </c>
      <c r="J912" s="35" t="s">
        <f t="shared" si="15"/>
        <v>28</v>
      </c>
      <c r="K912" s="87"/>
      <c r="L912" s="89"/>
      <c r="M912" s="89"/>
      <c r="N912" s="89"/>
    </row>
    <row r="913" customHeight="1" ht="14.0">
      <c r="A913" s="64" t="s">
        <v>2766</v>
      </c>
      <c r="B913" s="22" t="s">
        <v>2767</v>
      </c>
      <c r="C913" s="64" t="s">
        <v>1284</v>
      </c>
      <c r="D913" s="65">
        <v>1050.0</v>
      </c>
      <c r="E913" s="34">
        <v>46088</v>
      </c>
      <c r="F913" s="109" t="s">
        <v>565</v>
      </c>
      <c r="G913" s="104">
        <v>2.86599351E8</v>
      </c>
      <c r="H913" s="64" t="s">
        <v>2768</v>
      </c>
      <c r="I913" s="16">
        <f>IF(@Table1[[#This Row],[Delivery Date]]="","NA",@Table1[[#This Row],[Delivery Date]]+30)</f>
        <v>46118.0</v>
      </c>
      <c r="J913" s="35" t="s">
        <f t="shared" si="15"/>
        <v>28</v>
      </c>
      <c r="K913" s="87"/>
      <c r="L913" s="89"/>
      <c r="M913" s="89"/>
      <c r="N913" s="89"/>
    </row>
    <row r="914" customHeight="1" ht="14.0">
      <c r="A914" s="64" t="s">
        <v>2769</v>
      </c>
      <c r="B914" s="22" t="s">
        <v>2770</v>
      </c>
      <c r="C914" s="64" t="s">
        <v>1284</v>
      </c>
      <c r="D914" s="65">
        <v>492.0</v>
      </c>
      <c r="E914" s="34">
        <v>46088</v>
      </c>
      <c r="F914" s="109" t="s">
        <v>565</v>
      </c>
      <c r="G914" s="104">
        <v>2.866001E8</v>
      </c>
      <c r="H914" s="64" t="s">
        <v>2771</v>
      </c>
      <c r="I914" s="16">
        <f>IF(@Table1[[#This Row],[Delivery Date]]="","NA",@Table1[[#This Row],[Delivery Date]]+30)</f>
        <v>46118.0</v>
      </c>
      <c r="J914" s="35" t="s">
        <f t="shared" si="15"/>
        <v>28</v>
      </c>
      <c r="K914" s="87"/>
      <c r="L914" s="89"/>
      <c r="M914" s="89"/>
      <c r="N914" s="89"/>
    </row>
    <row r="915" customHeight="1" ht="14.0">
      <c r="A915" s="64" t="s">
        <v>2772</v>
      </c>
      <c r="B915" s="22" t="s">
        <v>2773</v>
      </c>
      <c r="C915" s="64" t="s">
        <v>2195</v>
      </c>
      <c r="D915" s="65">
        <v>1825.0</v>
      </c>
      <c r="E915" s="34">
        <v>46087</v>
      </c>
      <c r="F915" s="109" t="s">
        <v>565</v>
      </c>
      <c r="G915" s="104">
        <v>2.86599361E8</v>
      </c>
      <c r="H915" s="64" t="s">
        <v>2774</v>
      </c>
      <c r="I915" s="16">
        <f>IF(@Table1[[#This Row],[Delivery Date]]="","NA",@Table1[[#This Row],[Delivery Date]]+30)</f>
        <v>46117.0</v>
      </c>
      <c r="J915" s="35" t="s">
        <f t="shared" si="15"/>
        <v>28</v>
      </c>
      <c r="K915" s="87"/>
      <c r="L915" s="89"/>
      <c r="M915" s="89"/>
      <c r="N915" s="89"/>
    </row>
    <row r="916" customHeight="1" ht="14.0">
      <c r="A916" s="64" t="s">
        <v>2775</v>
      </c>
      <c r="B916" s="22" t="s">
        <v>2776</v>
      </c>
      <c r="C916" s="64" t="s">
        <v>1231</v>
      </c>
      <c r="D916" s="65">
        <v>2196.0</v>
      </c>
      <c r="E916" s="34">
        <v>46091</v>
      </c>
      <c r="F916" s="109" t="s">
        <v>1919</v>
      </c>
      <c r="G916" s="104" t="s">
        <v>1919</v>
      </c>
      <c r="H916" s="64" t="s">
        <v>2777</v>
      </c>
      <c r="I916" s="16">
        <f>IF(@Table1[[#This Row],[Delivery Date]]="","NA",@Table1[[#This Row],[Delivery Date]]+30)</f>
        <v>46121.0</v>
      </c>
      <c r="J916" s="35" t="s">
        <f t="shared" si="15"/>
        <v>28</v>
      </c>
      <c r="K916" s="87"/>
      <c r="L916" s="89"/>
      <c r="M916" s="89"/>
      <c r="N916" s="89"/>
    </row>
    <row r="917" customHeight="1" ht="14.0">
      <c r="A917" s="64" t="s">
        <v>2778</v>
      </c>
      <c r="B917" s="22" t="s">
        <v>2779</v>
      </c>
      <c r="C917" s="64" t="s">
        <v>1231</v>
      </c>
      <c r="D917" s="65">
        <v>396.0</v>
      </c>
      <c r="E917" s="34">
        <v>46085</v>
      </c>
      <c r="F917" s="109" t="s">
        <v>1919</v>
      </c>
      <c r="G917" s="104" t="s">
        <v>1919</v>
      </c>
      <c r="H917" s="64" t="s">
        <v>2780</v>
      </c>
      <c r="I917" s="16">
        <f>IF(@Table1[[#This Row],[Delivery Date]]="","NA",@Table1[[#This Row],[Delivery Date]]+30)</f>
        <v>46115.0</v>
      </c>
      <c r="J917" s="35" t="s">
        <f t="shared" si="15"/>
        <v>28</v>
      </c>
      <c r="K917" s="87"/>
      <c r="L917" s="89"/>
      <c r="M917" s="89"/>
      <c r="N917" s="89"/>
    </row>
    <row r="918" customHeight="1" ht="14.0">
      <c r="A918" s="64" t="s">
        <v>2781</v>
      </c>
      <c r="B918" s="22" t="s">
        <v>2782</v>
      </c>
      <c r="C918" s="64" t="s">
        <v>1561</v>
      </c>
      <c r="D918" s="65">
        <v>652.0</v>
      </c>
      <c r="E918" s="34">
        <v>46089</v>
      </c>
      <c r="F918" s="109" t="s">
        <v>565</v>
      </c>
      <c r="G918" s="104">
        <v>2.86599355E8</v>
      </c>
      <c r="H918" s="64" t="s">
        <v>2783</v>
      </c>
      <c r="I918" s="16">
        <f>IF(@Table1[[#This Row],[Delivery Date]]="","NA",@Table1[[#This Row],[Delivery Date]]+30)</f>
        <v>46119.0</v>
      </c>
      <c r="J918" s="35" t="s">
        <f t="shared" si="15"/>
        <v>28</v>
      </c>
      <c r="K918" s="87"/>
      <c r="L918" s="89"/>
      <c r="M918" s="89"/>
      <c r="N918" s="89"/>
    </row>
    <row r="919" customHeight="1" ht="14.0">
      <c r="A919" s="64" t="s">
        <v>2784</v>
      </c>
      <c r="B919" s="22" t="s">
        <v>2785</v>
      </c>
      <c r="C919" s="64" t="s">
        <v>141</v>
      </c>
      <c r="D919" s="65">
        <v>480.0</v>
      </c>
      <c r="E919" s="34">
        <v>46102</v>
      </c>
      <c r="F919" s="109" t="s">
        <v>565</v>
      </c>
      <c r="G919" s="104">
        <v>2.8659941E8</v>
      </c>
      <c r="H919" s="64" t="s">
        <v>2786</v>
      </c>
      <c r="I919" s="16">
        <f>IF(@Table1[[#This Row],[Delivery Date]]="","NA",@Table1[[#This Row],[Delivery Date]]+30)</f>
        <v>46132.0</v>
      </c>
      <c r="J919" s="35" t="s">
        <f t="shared" si="15"/>
        <v>28</v>
      </c>
      <c r="K919" s="87"/>
      <c r="L919" s="89"/>
      <c r="M919" s="89"/>
      <c r="N919" s="89"/>
    </row>
    <row r="920" customHeight="1" ht="14.0">
      <c r="A920" s="64" t="s">
        <v>2787</v>
      </c>
      <c r="B920" s="22" t="s">
        <v>2788</v>
      </c>
      <c r="C920" s="64" t="s">
        <v>1717</v>
      </c>
      <c r="D920" s="65">
        <v>179.0</v>
      </c>
      <c r="E920" s="34">
        <v>46088</v>
      </c>
      <c r="F920" s="109" t="s">
        <v>565</v>
      </c>
      <c r="G920" s="104">
        <v>2.86599363E8</v>
      </c>
      <c r="H920" s="64" t="s">
        <v>2789</v>
      </c>
      <c r="I920" s="16">
        <f>IF(@Table1[[#This Row],[Delivery Date]]="","NA",@Table1[[#This Row],[Delivery Date]]+30)</f>
        <v>46118.0</v>
      </c>
      <c r="J920" s="35" t="s">
        <f t="shared" si="15"/>
        <v>28</v>
      </c>
      <c r="K920" s="87"/>
      <c r="L920" s="89"/>
      <c r="M920" s="89"/>
      <c r="N920" s="89"/>
    </row>
    <row r="921" customHeight="1" ht="14.0">
      <c r="A921" s="64" t="s">
        <v>2790</v>
      </c>
      <c r="B921" s="22" t="s">
        <v>2791</v>
      </c>
      <c r="C921" s="22" t="s">
        <v>1035</v>
      </c>
      <c r="D921" s="65">
        <v>912.0</v>
      </c>
      <c r="E921" s="34">
        <v>46096</v>
      </c>
      <c r="F921" s="109" t="s">
        <v>565</v>
      </c>
      <c r="G921" s="104">
        <v>2.86599362E8</v>
      </c>
      <c r="H921" s="64" t="s">
        <v>2792</v>
      </c>
      <c r="I921" s="16">
        <f>IF(@Table1[[#This Row],[Delivery Date]]="","NA",@Table1[[#This Row],[Delivery Date]]+30)</f>
        <v>46126.0</v>
      </c>
      <c r="J921" s="35" t="s">
        <f t="shared" si="15"/>
        <v>28</v>
      </c>
      <c r="K921" s="87"/>
      <c r="L921" s="89"/>
      <c r="M921" s="89"/>
      <c r="N921" s="89"/>
    </row>
    <row r="922" customHeight="1" ht="14.0">
      <c r="A922" s="64" t="s">
        <v>2793</v>
      </c>
      <c r="B922" s="22" t="s">
        <v>2794</v>
      </c>
      <c r="C922" s="22" t="s">
        <v>1035</v>
      </c>
      <c r="D922" s="65">
        <v>1268.0</v>
      </c>
      <c r="E922" s="34">
        <v>46096</v>
      </c>
      <c r="F922" s="109" t="s">
        <v>565</v>
      </c>
      <c r="G922" s="104">
        <v>2.86599362E8</v>
      </c>
      <c r="H922" s="64" t="s">
        <v>2795</v>
      </c>
      <c r="I922" s="16">
        <f>IF(@Table1[[#This Row],[Delivery Date]]="","NA",@Table1[[#This Row],[Delivery Date]]+30)</f>
        <v>46126.0</v>
      </c>
      <c r="J922" s="35" t="s">
        <f t="shared" si="15"/>
        <v>28</v>
      </c>
      <c r="K922" s="87"/>
      <c r="L922" s="89"/>
      <c r="M922" s="89"/>
      <c r="N922" s="89"/>
    </row>
    <row r="923" customHeight="1" ht="14.0">
      <c r="A923" s="64" t="s">
        <v>2796</v>
      </c>
      <c r="B923" s="22" t="s">
        <v>2797</v>
      </c>
      <c r="C923" s="64" t="s">
        <v>141</v>
      </c>
      <c r="D923" s="65">
        <v>1304.0</v>
      </c>
      <c r="E923" s="34">
        <v>46098</v>
      </c>
      <c r="F923" s="109" t="s">
        <v>565</v>
      </c>
      <c r="G923" s="104">
        <v>2.86599371E8</v>
      </c>
      <c r="H923" s="64" t="s">
        <v>2798</v>
      </c>
      <c r="I923" s="16">
        <f>IF(@Table1[[#This Row],[Delivery Date]]="","NA",@Table1[[#This Row],[Delivery Date]]+30)</f>
        <v>46128.0</v>
      </c>
      <c r="J923" s="35" t="s">
        <f t="shared" si="15"/>
        <v>28</v>
      </c>
      <c r="K923" s="87"/>
      <c r="L923" s="89"/>
      <c r="M923" s="89"/>
      <c r="N923" s="89"/>
    </row>
    <row r="924" customHeight="1" ht="14.0">
      <c r="A924" s="64" t="s">
        <v>2799</v>
      </c>
      <c r="B924" s="22" t="s">
        <v>2800</v>
      </c>
      <c r="C924" s="64" t="s">
        <v>141</v>
      </c>
      <c r="D924" s="65">
        <v>1184.0</v>
      </c>
      <c r="E924" s="34">
        <v>46098</v>
      </c>
      <c r="F924" s="109" t="s">
        <v>565</v>
      </c>
      <c r="G924" s="104">
        <v>2.86599371E8</v>
      </c>
      <c r="H924" s="64" t="s">
        <v>2801</v>
      </c>
      <c r="I924" s="16">
        <f>IF(@Table1[[#This Row],[Delivery Date]]="","NA",@Table1[[#This Row],[Delivery Date]]+30)</f>
        <v>46128.0</v>
      </c>
      <c r="J924" s="35" t="s">
        <f t="shared" si="15"/>
        <v>28</v>
      </c>
      <c r="K924" s="87"/>
      <c r="L924" s="89"/>
      <c r="M924" s="89"/>
      <c r="N924" s="89"/>
    </row>
    <row r="925" customHeight="1" ht="14.0">
      <c r="A925" s="64" t="s">
        <v>2802</v>
      </c>
      <c r="B925" s="22" t="s">
        <v>2803</v>
      </c>
      <c r="C925" s="64" t="s">
        <v>1284</v>
      </c>
      <c r="D925" s="65">
        <v>1420.0</v>
      </c>
      <c r="E925" s="34">
        <v>46089</v>
      </c>
      <c r="F925" s="109" t="s">
        <v>565</v>
      </c>
      <c r="G925" s="104">
        <v>2.86599352E8</v>
      </c>
      <c r="H925" s="64" t="s">
        <v>2804</v>
      </c>
      <c r="I925" s="16">
        <f>IF(@Table1[[#This Row],[Delivery Date]]="","NA",@Table1[[#This Row],[Delivery Date]]+30)</f>
        <v>46119.0</v>
      </c>
      <c r="J925" s="35" t="s">
        <f t="shared" si="15"/>
        <v>28</v>
      </c>
      <c r="K925" s="87"/>
      <c r="L925" s="89"/>
      <c r="M925" s="89"/>
      <c r="N925" s="89"/>
    </row>
    <row r="926" customHeight="1" ht="14.0">
      <c r="A926" s="64" t="s">
        <v>2805</v>
      </c>
      <c r="B926" s="22" t="s">
        <v>2806</v>
      </c>
      <c r="C926" s="64" t="s">
        <v>1319</v>
      </c>
      <c r="D926" s="65">
        <v>318.0</v>
      </c>
      <c r="E926" s="34">
        <v>46088</v>
      </c>
      <c r="F926" s="109" t="s">
        <v>565</v>
      </c>
      <c r="G926" s="104">
        <v>2.86599354E8</v>
      </c>
      <c r="H926" s="64" t="s">
        <v>2807</v>
      </c>
      <c r="I926" s="16">
        <f>IF(@Table1[[#This Row],[Delivery Date]]="","NA",@Table1[[#This Row],[Delivery Date]]+30)</f>
        <v>46118.0</v>
      </c>
      <c r="J926" s="35" t="s">
        <f t="shared" si="15"/>
        <v>28</v>
      </c>
      <c r="K926" s="87"/>
      <c r="L926" s="89"/>
      <c r="M926" s="89"/>
      <c r="N926" s="89"/>
    </row>
    <row r="927" customHeight="1" ht="14.0">
      <c r="A927" s="64" t="s">
        <v>2808</v>
      </c>
      <c r="B927" s="22" t="s">
        <v>2809</v>
      </c>
      <c r="C927" s="64" t="s">
        <v>1319</v>
      </c>
      <c r="D927" s="65">
        <v>180.0</v>
      </c>
      <c r="E927" s="34">
        <v>46088</v>
      </c>
      <c r="F927" s="109" t="s">
        <v>565</v>
      </c>
      <c r="G927" s="104">
        <v>2.86599354E8</v>
      </c>
      <c r="H927" s="64" t="s">
        <v>2810</v>
      </c>
      <c r="I927" s="16">
        <f>IF(@Table1[[#This Row],[Delivery Date]]="","NA",@Table1[[#This Row],[Delivery Date]]+30)</f>
        <v>46118.0</v>
      </c>
      <c r="J927" s="35" t="s">
        <f t="shared" si="15"/>
        <v>28</v>
      </c>
      <c r="K927" s="87"/>
      <c r="L927" s="89"/>
      <c r="M927" s="89"/>
      <c r="N927" s="89"/>
    </row>
    <row r="928" customHeight="1" ht="14.0">
      <c r="A928" s="64" t="s">
        <v>2811</v>
      </c>
      <c r="B928" s="22" t="s">
        <v>2812</v>
      </c>
      <c r="C928" s="64" t="s">
        <v>2195</v>
      </c>
      <c r="D928" s="65">
        <v>2246.0</v>
      </c>
      <c r="E928" s="34">
        <v>46093</v>
      </c>
      <c r="F928" s="109" t="s">
        <v>565</v>
      </c>
      <c r="G928" s="104">
        <v>2.86599379E8</v>
      </c>
      <c r="H928" s="64" t="s">
        <v>2813</v>
      </c>
      <c r="I928" s="16">
        <f>IF(@Table1[[#This Row],[Delivery Date]]="","NA",@Table1[[#This Row],[Delivery Date]]+30)</f>
        <v>46123.0</v>
      </c>
      <c r="J928" s="35" t="s">
        <f t="shared" si="15"/>
        <v>28</v>
      </c>
      <c r="K928" s="87"/>
      <c r="L928" s="89"/>
      <c r="M928" s="89"/>
      <c r="N928" s="89"/>
    </row>
    <row r="929" customHeight="1" ht="14.0">
      <c r="A929" s="64" t="s">
        <v>2814</v>
      </c>
      <c r="B929" s="22" t="s">
        <v>2815</v>
      </c>
      <c r="C929" s="64" t="s">
        <v>2195</v>
      </c>
      <c r="D929" s="65">
        <v>384.0</v>
      </c>
      <c r="E929" s="34">
        <v>46093</v>
      </c>
      <c r="F929" s="109" t="s">
        <v>565</v>
      </c>
      <c r="G929" s="104">
        <v>2.86599379E8</v>
      </c>
      <c r="H929" s="64" t="s">
        <v>2816</v>
      </c>
      <c r="I929" s="16">
        <f>IF(@Table1[[#This Row],[Delivery Date]]="","NA",@Table1[[#This Row],[Delivery Date]]+30)</f>
        <v>46123.0</v>
      </c>
      <c r="J929" s="35" t="s">
        <f t="shared" si="15"/>
        <v>28</v>
      </c>
      <c r="K929" s="87"/>
      <c r="L929" s="89"/>
      <c r="M929" s="89"/>
      <c r="N929" s="89"/>
    </row>
    <row r="930" customHeight="1" ht="14.0">
      <c r="A930" s="64" t="s">
        <v>2817</v>
      </c>
      <c r="B930" s="22" t="s">
        <v>2818</v>
      </c>
      <c r="C930" s="64" t="s">
        <v>1427</v>
      </c>
      <c r="D930" s="65">
        <v>1922.0</v>
      </c>
      <c r="E930" s="34">
        <v>46088</v>
      </c>
      <c r="F930" s="109" t="s">
        <v>565</v>
      </c>
      <c r="G930" s="104">
        <v>2.86599372E8</v>
      </c>
      <c r="H930" s="64" t="s">
        <v>2819</v>
      </c>
      <c r="I930" s="16">
        <f>IF(@Table1[[#This Row],[Delivery Date]]="","NA",@Table1[[#This Row],[Delivery Date]]+30)</f>
        <v>46118.0</v>
      </c>
      <c r="J930" s="35" t="s">
        <f t="shared" si="15"/>
        <v>28</v>
      </c>
      <c r="K930" s="87"/>
      <c r="L930" s="89"/>
      <c r="M930" s="89"/>
      <c r="N930" s="89"/>
    </row>
    <row r="931" customHeight="1" ht="14.0">
      <c r="A931" s="64" t="s">
        <v>2820</v>
      </c>
      <c r="B931" s="22" t="s">
        <v>2821</v>
      </c>
      <c r="C931" s="64" t="s">
        <v>1427</v>
      </c>
      <c r="D931" s="65">
        <v>101.0</v>
      </c>
      <c r="E931" s="34">
        <v>46088</v>
      </c>
      <c r="F931" s="109" t="s">
        <v>565</v>
      </c>
      <c r="G931" s="104">
        <v>2.86599372E8</v>
      </c>
      <c r="H931" s="64" t="s">
        <v>2822</v>
      </c>
      <c r="I931" s="16">
        <f>IF(@Table1[[#This Row],[Delivery Date]]="","NA",@Table1[[#This Row],[Delivery Date]]+30)</f>
        <v>46118.0</v>
      </c>
      <c r="J931" s="35" t="s">
        <f t="shared" si="15"/>
        <v>28</v>
      </c>
      <c r="K931" s="87"/>
      <c r="L931" s="89"/>
      <c r="M931" s="89"/>
      <c r="N931" s="89"/>
    </row>
    <row r="932" customHeight="1" ht="14.0">
      <c r="A932" s="64" t="s">
        <v>2823</v>
      </c>
      <c r="B932" s="22" t="s">
        <v>2824</v>
      </c>
      <c r="C932" s="64" t="s">
        <v>1669</v>
      </c>
      <c r="D932" s="65">
        <v>2103.0</v>
      </c>
      <c r="E932" s="34">
        <v>46094</v>
      </c>
      <c r="F932" s="109" t="s">
        <v>565</v>
      </c>
      <c r="G932" s="104">
        <v>2.86599409E8</v>
      </c>
      <c r="H932" s="64" t="s">
        <v>2825</v>
      </c>
      <c r="I932" s="16">
        <f>IF(@Table1[[#This Row],[Delivery Date]]="","NA",@Table1[[#This Row],[Delivery Date]]+30)</f>
        <v>46124.0</v>
      </c>
      <c r="J932" s="35" t="s">
        <f t="shared" si="15"/>
        <v>28</v>
      </c>
      <c r="K932" s="87"/>
      <c r="L932" s="89"/>
      <c r="M932" s="89"/>
      <c r="N932" s="89"/>
    </row>
    <row r="933" customHeight="1" ht="14.0">
      <c r="A933" s="64" t="s">
        <v>2826</v>
      </c>
      <c r="B933" s="22" t="s">
        <v>2827</v>
      </c>
      <c r="C933" s="64" t="s">
        <v>2125</v>
      </c>
      <c r="D933" s="65">
        <v>1517.0</v>
      </c>
      <c r="E933" s="34">
        <v>46088</v>
      </c>
      <c r="F933" s="109" t="s">
        <v>565</v>
      </c>
      <c r="G933" s="104">
        <v>2.86600099E8</v>
      </c>
      <c r="H933" s="64" t="s">
        <v>2828</v>
      </c>
      <c r="I933" s="16">
        <f>IF(@Table1[[#This Row],[Delivery Date]]="","NA",@Table1[[#This Row],[Delivery Date]]+30)</f>
        <v>46118.0</v>
      </c>
      <c r="J933" s="35" t="s">
        <f t="shared" si="15"/>
        <v>28</v>
      </c>
      <c r="K933" s="87"/>
      <c r="L933" s="89"/>
      <c r="M933" s="89"/>
      <c r="N933" s="89"/>
    </row>
    <row r="934" customHeight="1" ht="14.0">
      <c r="A934" s="64" t="s">
        <v>2829</v>
      </c>
      <c r="B934" s="22" t="s">
        <v>2830</v>
      </c>
      <c r="C934" s="64" t="s">
        <v>1717</v>
      </c>
      <c r="D934" s="65">
        <v>2224.0</v>
      </c>
      <c r="E934" s="34">
        <v>46088</v>
      </c>
      <c r="F934" s="109" t="s">
        <v>565</v>
      </c>
      <c r="G934" s="104">
        <v>2.86599363E8</v>
      </c>
      <c r="H934" s="64" t="s">
        <v>2831</v>
      </c>
      <c r="I934" s="16">
        <f>IF(@Table1[[#This Row],[Delivery Date]]="","NA",@Table1[[#This Row],[Delivery Date]]+30)</f>
        <v>46118.0</v>
      </c>
      <c r="J934" s="35" t="s">
        <f t="shared" si="15"/>
        <v>28</v>
      </c>
      <c r="K934" s="87"/>
      <c r="L934" s="89"/>
      <c r="M934" s="89"/>
      <c r="N934" s="89"/>
    </row>
    <row r="935" customHeight="1" ht="14.0">
      <c r="A935" s="64" t="s">
        <v>2832</v>
      </c>
      <c r="B935" s="22" t="s">
        <v>2833</v>
      </c>
      <c r="C935" s="64" t="s">
        <v>1047</v>
      </c>
      <c r="D935" s="65">
        <v>1104.0</v>
      </c>
      <c r="E935" s="34">
        <v>46087</v>
      </c>
      <c r="F935" s="109" t="s">
        <v>565</v>
      </c>
      <c r="G935" s="104">
        <v>2.86599373E8</v>
      </c>
      <c r="H935" s="64" t="s">
        <v>2834</v>
      </c>
      <c r="I935" s="16">
        <f>IF(@Table1[[#This Row],[Delivery Date]]="","NA",@Table1[[#This Row],[Delivery Date]]+30)</f>
        <v>46117.0</v>
      </c>
      <c r="J935" s="35" t="s">
        <f t="shared" si="15"/>
        <v>28</v>
      </c>
      <c r="K935" s="87"/>
      <c r="L935" s="89"/>
      <c r="M935" s="89"/>
      <c r="N935" s="89"/>
    </row>
    <row r="936" customHeight="1" ht="14.0">
      <c r="A936" s="64" t="s">
        <v>2835</v>
      </c>
      <c r="B936" s="22" t="s">
        <v>2836</v>
      </c>
      <c r="C936" s="64" t="s">
        <v>1039</v>
      </c>
      <c r="D936" s="65">
        <v>7296.0</v>
      </c>
      <c r="E936" s="34">
        <v>46093</v>
      </c>
      <c r="F936" s="109" t="s">
        <v>565</v>
      </c>
      <c r="G936" s="104">
        <v>2.86599408E8</v>
      </c>
      <c r="H936" s="64" t="s">
        <v>2837</v>
      </c>
      <c r="I936" s="16">
        <f>IF(@Table1[[#This Row],[Delivery Date]]="","NA",@Table1[[#This Row],[Delivery Date]]+30)</f>
        <v>46123.0</v>
      </c>
      <c r="J936" s="35" t="s">
        <f t="shared" si="15"/>
        <v>28</v>
      </c>
      <c r="K936" s="87"/>
      <c r="L936" s="89"/>
      <c r="M936" s="89"/>
      <c r="N936" s="89"/>
    </row>
    <row r="937" customHeight="1" ht="14.0">
      <c r="A937" s="64" t="s">
        <v>2838</v>
      </c>
      <c r="B937" s="22" t="s">
        <v>2839</v>
      </c>
      <c r="C937" s="64" t="s">
        <v>1066</v>
      </c>
      <c r="D937" s="65">
        <v>1506.0</v>
      </c>
      <c r="E937" s="34">
        <v>46089</v>
      </c>
      <c r="F937" s="109" t="s">
        <v>565</v>
      </c>
      <c r="G937" s="104">
        <v>2.86599356E8</v>
      </c>
      <c r="H937" s="64" t="s">
        <v>2840</v>
      </c>
      <c r="I937" s="16">
        <f>IF(@Table1[[#This Row],[Delivery Date]]="","NA",@Table1[[#This Row],[Delivery Date]]+30)</f>
        <v>46119.0</v>
      </c>
      <c r="J937" s="35" t="s">
        <f t="shared" si="15"/>
        <v>28</v>
      </c>
      <c r="K937" s="87"/>
      <c r="L937" s="89"/>
      <c r="M937" s="89"/>
      <c r="N937" s="89"/>
    </row>
    <row r="938" customHeight="1" ht="14.0">
      <c r="A938" s="64" t="s">
        <v>2841</v>
      </c>
      <c r="B938" s="22" t="s">
        <v>2842</v>
      </c>
      <c r="C938" s="64" t="s">
        <v>1728</v>
      </c>
      <c r="D938" s="65">
        <v>1824.0</v>
      </c>
      <c r="E938" s="34">
        <v>46099</v>
      </c>
      <c r="F938" s="109" t="s">
        <v>565</v>
      </c>
      <c r="G938" s="104">
        <v>2.86599358E8</v>
      </c>
      <c r="H938" s="64" t="s">
        <v>2843</v>
      </c>
      <c r="I938" s="16">
        <f>IF(@Table1[[#This Row],[Delivery Date]]="","NA",@Table1[[#This Row],[Delivery Date]]+30)</f>
        <v>46129.0</v>
      </c>
      <c r="J938" s="35" t="s">
        <f t="shared" si="15"/>
        <v>28</v>
      </c>
      <c r="K938" s="87"/>
      <c r="L938" s="89"/>
      <c r="M938" s="89"/>
      <c r="N938" s="89"/>
    </row>
    <row r="939" customHeight="1" ht="14.0">
      <c r="A939" s="64" t="s">
        <v>2844</v>
      </c>
      <c r="B939" s="22" t="s">
        <v>2845</v>
      </c>
      <c r="C939" s="22" t="s">
        <v>1035</v>
      </c>
      <c r="D939" s="65">
        <v>2260.0</v>
      </c>
      <c r="E939" s="34">
        <v>46087</v>
      </c>
      <c r="F939" s="109" t="s">
        <v>565</v>
      </c>
      <c r="G939" s="104">
        <v>2.8659936E8</v>
      </c>
      <c r="H939" s="64" t="s">
        <v>2846</v>
      </c>
      <c r="I939" s="16">
        <f>IF(@Table1[[#This Row],[Delivery Date]]="","NA",@Table1[[#This Row],[Delivery Date]]+30)</f>
        <v>46117.0</v>
      </c>
      <c r="J939" s="35" t="s">
        <f t="shared" si="15"/>
        <v>28</v>
      </c>
      <c r="K939" s="87"/>
      <c r="L939" s="89"/>
      <c r="M939" s="89"/>
      <c r="N939" s="89"/>
    </row>
    <row r="940" customHeight="1" ht="14.0">
      <c r="A940" s="64" t="s">
        <v>2847</v>
      </c>
      <c r="B940" s="22" t="s">
        <v>2848</v>
      </c>
      <c r="C940" s="64" t="s">
        <v>1231</v>
      </c>
      <c r="D940" s="65">
        <v>291.0</v>
      </c>
      <c r="E940" s="34">
        <v>46091</v>
      </c>
      <c r="F940" s="109" t="s">
        <v>1919</v>
      </c>
      <c r="G940" s="109" t="s">
        <v>1919</v>
      </c>
      <c r="H940" s="64" t="s">
        <v>2849</v>
      </c>
      <c r="I940" s="16">
        <f>IF(@Table1[[#This Row],[Delivery Date]]="","NA",@Table1[[#This Row],[Delivery Date]]+30)</f>
        <v>46121.0</v>
      </c>
      <c r="J940" s="35" t="s">
        <f t="shared" si="15"/>
        <v>28</v>
      </c>
      <c r="K940" s="87"/>
      <c r="L940" s="89"/>
      <c r="M940" s="89"/>
      <c r="N940" s="89"/>
    </row>
    <row r="941" customHeight="1" ht="14.0">
      <c r="A941" s="64" t="s">
        <v>2850</v>
      </c>
      <c r="B941" s="22" t="s">
        <v>2851</v>
      </c>
      <c r="C941" s="64" t="s">
        <v>1231</v>
      </c>
      <c r="D941" s="65">
        <v>333.0</v>
      </c>
      <c r="E941" s="34">
        <v>46085</v>
      </c>
      <c r="F941" s="109" t="s">
        <v>1919</v>
      </c>
      <c r="G941" s="109" t="s">
        <v>1919</v>
      </c>
      <c r="H941" s="64" t="s">
        <v>2852</v>
      </c>
      <c r="I941" s="16">
        <f>IF(@Table1[[#This Row],[Delivery Date]]="","NA",@Table1[[#This Row],[Delivery Date]]+30)</f>
        <v>46115.0</v>
      </c>
      <c r="J941" s="35" t="s">
        <f t="shared" si="15"/>
        <v>28</v>
      </c>
      <c r="K941" s="87"/>
      <c r="L941" s="89"/>
      <c r="M941" s="89"/>
      <c r="N941" s="89"/>
    </row>
    <row r="942" customHeight="1" ht="14.0">
      <c r="A942" s="64" t="s">
        <v>2853</v>
      </c>
      <c r="B942" s="22" t="s">
        <v>2854</v>
      </c>
      <c r="C942" s="64" t="s">
        <v>2195</v>
      </c>
      <c r="D942" s="65">
        <v>1233.0</v>
      </c>
      <c r="E942" s="34">
        <v>46094</v>
      </c>
      <c r="F942" s="109" t="s">
        <v>565</v>
      </c>
      <c r="G942" s="141">
        <v>2.86599465E8</v>
      </c>
      <c r="H942" s="64" t="s">
        <v>2855</v>
      </c>
      <c r="I942" s="16">
        <f>IF(@Table1[[#This Row],[Delivery Date]]="","NA",@Table1[[#This Row],[Delivery Date]]+30)</f>
        <v>46124.0</v>
      </c>
      <c r="J942" s="35" t="s">
        <f t="shared" si="15"/>
        <v>28</v>
      </c>
      <c r="K942" s="87"/>
      <c r="L942" s="89"/>
      <c r="M942" s="89"/>
      <c r="N942" s="89"/>
    </row>
    <row r="943" customHeight="1" ht="14.0">
      <c r="A943" s="64" t="s">
        <v>2856</v>
      </c>
      <c r="B943" s="22" t="s">
        <v>2857</v>
      </c>
      <c r="C943" s="64" t="s">
        <v>1650</v>
      </c>
      <c r="D943" s="65">
        <v>1164.0</v>
      </c>
      <c r="E943" s="34">
        <v>46099</v>
      </c>
      <c r="F943" s="109" t="s">
        <v>565</v>
      </c>
      <c r="G943" s="141">
        <v>2.86599435E8</v>
      </c>
      <c r="H943" s="64" t="s">
        <v>2858</v>
      </c>
      <c r="I943" s="16">
        <f>IF(@Table1[[#This Row],[Delivery Date]]="","NA",@Table1[[#This Row],[Delivery Date]]+30)</f>
        <v>46129.0</v>
      </c>
      <c r="J943" s="35" t="s">
        <f t="shared" si="15"/>
        <v>28</v>
      </c>
      <c r="K943" s="87"/>
      <c r="L943" s="89"/>
      <c r="M943" s="89"/>
      <c r="N943" s="89"/>
    </row>
    <row r="944" customHeight="1" ht="14.0">
      <c r="A944" s="64" t="s">
        <v>2859</v>
      </c>
      <c r="B944" s="22" t="s">
        <v>2860</v>
      </c>
      <c r="C944" s="64" t="s">
        <v>1039</v>
      </c>
      <c r="D944" s="65">
        <v>1860.0</v>
      </c>
      <c r="E944" s="34">
        <v>46097</v>
      </c>
      <c r="F944" s="109" t="s">
        <v>565</v>
      </c>
      <c r="G944" s="141">
        <v>2.86599431E8</v>
      </c>
      <c r="H944" s="64" t="s">
        <v>2861</v>
      </c>
      <c r="I944" s="16">
        <f>IF(@Table1[[#This Row],[Delivery Date]]="","NA",@Table1[[#This Row],[Delivery Date]]+30)</f>
        <v>46127.0</v>
      </c>
      <c r="J944" s="35" t="s">
        <f t="shared" si="15"/>
        <v>28</v>
      </c>
      <c r="K944" s="87"/>
      <c r="L944" s="89"/>
      <c r="M944" s="89"/>
      <c r="N944" s="89"/>
    </row>
    <row r="945" customHeight="1" ht="14.0">
      <c r="A945" s="64" t="s">
        <v>2862</v>
      </c>
      <c r="B945" s="22" t="s">
        <v>2863</v>
      </c>
      <c r="C945" s="64" t="s">
        <v>1717</v>
      </c>
      <c r="D945" s="65">
        <v>1436.0</v>
      </c>
      <c r="E945" s="34">
        <v>46099</v>
      </c>
      <c r="F945" s="109" t="s">
        <v>565</v>
      </c>
      <c r="G945" s="141">
        <v>2.86599466E8</v>
      </c>
      <c r="H945" s="64" t="s">
        <v>2864</v>
      </c>
      <c r="I945" s="16">
        <f>IF(@Table1[[#This Row],[Delivery Date]]="","NA",@Table1[[#This Row],[Delivery Date]]+30)</f>
        <v>46129.0</v>
      </c>
      <c r="J945" s="35" t="s">
        <f t="shared" si="15"/>
        <v>28</v>
      </c>
      <c r="K945" s="87"/>
      <c r="L945" s="89"/>
      <c r="M945" s="89"/>
      <c r="N945" s="89"/>
    </row>
    <row r="946" customHeight="1" ht="14.0">
      <c r="A946" s="64" t="s">
        <v>2865</v>
      </c>
      <c r="B946" s="22" t="s">
        <v>2866</v>
      </c>
      <c r="C946" s="22" t="s">
        <v>1035</v>
      </c>
      <c r="D946" s="65">
        <v>1109.0</v>
      </c>
      <c r="E946" s="34">
        <v>46094</v>
      </c>
      <c r="F946" s="109" t="s">
        <v>565</v>
      </c>
      <c r="G946" s="141">
        <v>2.86599467E8</v>
      </c>
      <c r="H946" s="64" t="s">
        <v>2867</v>
      </c>
      <c r="I946" s="16">
        <f>IF(@Table1[[#This Row],[Delivery Date]]="","NA",@Table1[[#This Row],[Delivery Date]]+30)</f>
        <v>46124.0</v>
      </c>
      <c r="J946" s="35" t="s">
        <f t="shared" si="15"/>
        <v>28</v>
      </c>
      <c r="K946" s="87"/>
      <c r="L946" s="89"/>
      <c r="M946" s="89"/>
      <c r="N946" s="89"/>
    </row>
    <row r="947" customHeight="1" ht="14.0">
      <c r="A947" s="64" t="s">
        <v>2868</v>
      </c>
      <c r="B947" s="22" t="s">
        <v>2869</v>
      </c>
      <c r="C947" s="64" t="s">
        <v>1284</v>
      </c>
      <c r="D947" s="65">
        <v>2668.0</v>
      </c>
      <c r="E947" s="34">
        <v>46104</v>
      </c>
      <c r="F947" s="109" t="s">
        <v>565</v>
      </c>
      <c r="G947" s="141">
        <v>2.86599468E8</v>
      </c>
      <c r="H947" s="64" t="s">
        <v>2870</v>
      </c>
      <c r="I947" s="16">
        <f>IF(@Table1[[#This Row],[Delivery Date]]="","NA",@Table1[[#This Row],[Delivery Date]]+30)</f>
        <v>46134.0</v>
      </c>
      <c r="J947" s="35" t="s">
        <f t="shared" si="15"/>
        <v>28</v>
      </c>
      <c r="K947" s="87"/>
      <c r="L947" s="89"/>
      <c r="M947" s="89"/>
      <c r="N947" s="89"/>
    </row>
    <row r="948" customHeight="1" ht="14.0">
      <c r="A948" s="64" t="s">
        <v>2871</v>
      </c>
      <c r="B948" s="22" t="s">
        <v>2872</v>
      </c>
      <c r="C948" s="64" t="s">
        <v>1039</v>
      </c>
      <c r="D948" s="65">
        <v>4932.0</v>
      </c>
      <c r="E948" s="34">
        <v>46094</v>
      </c>
      <c r="F948" s="109" t="s">
        <v>565</v>
      </c>
      <c r="G948" s="141">
        <v>2.86599479E8</v>
      </c>
      <c r="H948" s="64" t="s">
        <v>2873</v>
      </c>
      <c r="I948" s="16">
        <f>IF(@Table1[[#This Row],[Delivery Date]]="","NA",@Table1[[#This Row],[Delivery Date]]+30)</f>
        <v>46124.0</v>
      </c>
      <c r="J948" s="35" t="s">
        <f t="shared" si="15"/>
        <v>28</v>
      </c>
      <c r="K948" s="87"/>
      <c r="L948" s="89"/>
      <c r="M948" s="89"/>
      <c r="N948" s="89"/>
    </row>
    <row r="949" customHeight="1" ht="14.0">
      <c r="A949" s="64" t="s">
        <v>2874</v>
      </c>
      <c r="B949" s="22" t="s">
        <v>2875</v>
      </c>
      <c r="C949" s="64" t="s">
        <v>1650</v>
      </c>
      <c r="D949" s="65">
        <v>220.0</v>
      </c>
      <c r="E949" s="34">
        <v>46093</v>
      </c>
      <c r="F949" s="109" t="s">
        <v>565</v>
      </c>
      <c r="G949" s="104">
        <v>2.86599411E8</v>
      </c>
      <c r="H949" s="64" t="s">
        <v>2876</v>
      </c>
      <c r="I949" s="16">
        <f>IF(@Table1[[#This Row],[Delivery Date]]="","NA",@Table1[[#This Row],[Delivery Date]]+30)</f>
        <v>46123.0</v>
      </c>
      <c r="J949" s="35" t="s">
        <f t="shared" si="15"/>
        <v>28</v>
      </c>
      <c r="K949" s="87"/>
      <c r="L949" s="89"/>
      <c r="M949" s="89"/>
      <c r="N949" s="89"/>
    </row>
    <row r="950" customHeight="1" ht="14.0">
      <c r="A950" s="64" t="s">
        <v>2877</v>
      </c>
      <c r="B950" s="22" t="s">
        <v>2878</v>
      </c>
      <c r="C950" s="64" t="s">
        <v>1066</v>
      </c>
      <c r="D950" s="65">
        <v>336.0</v>
      </c>
      <c r="E950" s="34">
        <v>46091</v>
      </c>
      <c r="F950" s="109" t="s">
        <v>565</v>
      </c>
      <c r="G950" s="104">
        <v>2.86599412E8</v>
      </c>
      <c r="H950" s="64" t="s">
        <v>2879</v>
      </c>
      <c r="I950" s="16">
        <f>IF(@Table1[[#This Row],[Delivery Date]]="","NA",@Table1[[#This Row],[Delivery Date]]+30)</f>
        <v>46121.0</v>
      </c>
      <c r="J950" s="35" t="s">
        <f t="shared" si="15"/>
        <v>28</v>
      </c>
      <c r="K950" s="87"/>
      <c r="L950" s="89"/>
      <c r="M950" s="89"/>
      <c r="N950" s="89"/>
    </row>
    <row r="951" customHeight="1" ht="14.0">
      <c r="A951" s="64" t="s">
        <v>2880</v>
      </c>
      <c r="B951" s="22" t="s">
        <v>2881</v>
      </c>
      <c r="C951" s="64" t="s">
        <v>1047</v>
      </c>
      <c r="D951" s="65">
        <v>1164.0</v>
      </c>
      <c r="E951" s="34">
        <v>46096</v>
      </c>
      <c r="F951" s="109" t="s">
        <v>565</v>
      </c>
      <c r="G951" s="104">
        <v>2.86599421E8</v>
      </c>
      <c r="H951" s="64" t="s">
        <v>2882</v>
      </c>
      <c r="I951" s="16">
        <f>IF(@Table1[[#This Row],[Delivery Date]]="","NA",@Table1[[#This Row],[Delivery Date]]+30)</f>
        <v>46126.0</v>
      </c>
      <c r="J951" s="35" t="s">
        <f t="shared" si="15"/>
        <v>28</v>
      </c>
      <c r="K951" s="87"/>
      <c r="L951" s="89"/>
      <c r="M951" s="89"/>
      <c r="N951" s="89"/>
    </row>
    <row r="952" customHeight="1" ht="14.0">
      <c r="A952" s="64" t="s">
        <v>2883</v>
      </c>
      <c r="B952" s="22" t="s">
        <v>2884</v>
      </c>
      <c r="C952" s="64" t="s">
        <v>1650</v>
      </c>
      <c r="D952" s="65">
        <v>220.0</v>
      </c>
      <c r="E952" s="34">
        <v>46093</v>
      </c>
      <c r="F952" s="109" t="s">
        <v>565</v>
      </c>
      <c r="G952" s="104">
        <v>2.86599411E8</v>
      </c>
      <c r="H952" s="64" t="s">
        <v>2885</v>
      </c>
      <c r="I952" s="16">
        <f>IF(@Table1[[#This Row],[Delivery Date]]="","NA",@Table1[[#This Row],[Delivery Date]]+30)</f>
        <v>46123.0</v>
      </c>
      <c r="J952" s="35" t="s">
        <f t="shared" si="15"/>
        <v>28</v>
      </c>
      <c r="K952" s="87"/>
      <c r="L952" s="89"/>
      <c r="M952" s="89"/>
      <c r="N952" s="89"/>
    </row>
    <row r="953" customHeight="1" ht="14.0">
      <c r="A953" s="64" t="s">
        <v>2886</v>
      </c>
      <c r="B953" s="22" t="s">
        <v>2887</v>
      </c>
      <c r="C953" s="64" t="s">
        <v>1717</v>
      </c>
      <c r="D953" s="65">
        <v>1324.0</v>
      </c>
      <c r="E953" s="34">
        <v>46091</v>
      </c>
      <c r="F953" s="109" t="s">
        <v>565</v>
      </c>
      <c r="G953" s="104">
        <v>2.86599413E8</v>
      </c>
      <c r="H953" s="64" t="s">
        <v>2888</v>
      </c>
      <c r="I953" s="16">
        <f>IF(@Table1[[#This Row],[Delivery Date]]="","NA",@Table1[[#This Row],[Delivery Date]]+30)</f>
        <v>46121.0</v>
      </c>
      <c r="J953" s="35" t="s">
        <f t="shared" si="15"/>
        <v>28</v>
      </c>
      <c r="K953" s="87"/>
      <c r="L953" s="89"/>
      <c r="M953" s="89" t="s">
        <v>2889</v>
      </c>
      <c r="N953" s="89"/>
    </row>
    <row r="954" customHeight="1" ht="14.0">
      <c r="A954" s="64" t="s">
        <v>2890</v>
      </c>
      <c r="B954" s="22" t="s">
        <v>2891</v>
      </c>
      <c r="C954" s="64" t="s">
        <v>1047</v>
      </c>
      <c r="D954" s="65">
        <v>1068.0</v>
      </c>
      <c r="E954" s="34">
        <v>46091</v>
      </c>
      <c r="F954" s="109" t="s">
        <v>565</v>
      </c>
      <c r="G954" s="104">
        <v>2.86599414E8</v>
      </c>
      <c r="H954" s="64" t="s">
        <v>2892</v>
      </c>
      <c r="I954" s="16">
        <f>IF(@Table1[[#This Row],[Delivery Date]]="","NA",@Table1[[#This Row],[Delivery Date]]+30)</f>
        <v>46121.0</v>
      </c>
      <c r="J954" s="35" t="s">
        <f t="shared" si="15"/>
        <v>28</v>
      </c>
      <c r="K954" s="87"/>
      <c r="L954" s="89"/>
      <c r="M954" s="89"/>
      <c r="N954" s="89"/>
    </row>
    <row r="955" customHeight="1" ht="14.0">
      <c r="A955" s="64" t="s">
        <v>2893</v>
      </c>
      <c r="B955" s="22" t="s">
        <v>2894</v>
      </c>
      <c r="C955" s="64" t="s">
        <v>2895</v>
      </c>
      <c r="D955" s="65">
        <v>233.0</v>
      </c>
      <c r="E955" s="34">
        <v>46092</v>
      </c>
      <c r="F955" s="109" t="s">
        <v>565</v>
      </c>
      <c r="G955" s="104">
        <v>2.86599427E8</v>
      </c>
      <c r="H955" s="64" t="s">
        <v>2896</v>
      </c>
      <c r="I955" s="16">
        <f>IF(@Table1[[#This Row],[Delivery Date]]="","NA",@Table1[[#This Row],[Delivery Date]]+30)</f>
        <v>46122.0</v>
      </c>
      <c r="J955" s="35" t="s">
        <f t="shared" si="15"/>
        <v>28</v>
      </c>
      <c r="K955" s="87"/>
      <c r="L955" s="89"/>
      <c r="M955" s="89"/>
      <c r="N955" s="89"/>
    </row>
    <row r="956" customHeight="1" ht="14.0">
      <c r="A956" s="64" t="s">
        <v>2897</v>
      </c>
      <c r="B956" s="22" t="s">
        <v>2898</v>
      </c>
      <c r="C956" s="64" t="s">
        <v>1319</v>
      </c>
      <c r="D956" s="65">
        <v>216.0</v>
      </c>
      <c r="E956" s="34">
        <v>46092</v>
      </c>
      <c r="F956" s="109" t="s">
        <v>565</v>
      </c>
      <c r="G956" s="104">
        <v>2.86599428E8</v>
      </c>
      <c r="H956" s="64" t="s">
        <v>2899</v>
      </c>
      <c r="I956" s="16">
        <f>IF(@Table1[[#This Row],[Delivery Date]]="","NA",@Table1[[#This Row],[Delivery Date]]+30)</f>
        <v>46122.0</v>
      </c>
      <c r="J956" s="35" t="s">
        <f t="shared" si="15"/>
        <v>28</v>
      </c>
      <c r="K956" s="87"/>
      <c r="L956" s="89"/>
      <c r="M956" s="89"/>
      <c r="N956" s="89"/>
    </row>
    <row r="957" customHeight="1" ht="14.0">
      <c r="A957" s="64" t="s">
        <v>2900</v>
      </c>
      <c r="B957" s="22" t="s">
        <v>2901</v>
      </c>
      <c r="C957" s="64" t="s">
        <v>1669</v>
      </c>
      <c r="D957" s="65">
        <v>246.0</v>
      </c>
      <c r="E957" s="34">
        <v>46096</v>
      </c>
      <c r="F957" s="109" t="s">
        <v>565</v>
      </c>
      <c r="G957" s="104">
        <v>2.86599429E8</v>
      </c>
      <c r="H957" s="64" t="s">
        <v>2902</v>
      </c>
      <c r="I957" s="16">
        <f>IF(@Table1[[#This Row],[Delivery Date]]="","NA",@Table1[[#This Row],[Delivery Date]]+30)</f>
        <v>46126.0</v>
      </c>
      <c r="J957" s="35" t="s">
        <f t="shared" si="15"/>
        <v>28</v>
      </c>
      <c r="K957" s="87"/>
      <c r="L957" s="89"/>
      <c r="M957" s="89"/>
      <c r="N957" s="89"/>
    </row>
    <row r="958" customHeight="1" ht="14.0">
      <c r="A958" s="64" t="s">
        <v>2903</v>
      </c>
      <c r="B958" s="22" t="s">
        <v>2904</v>
      </c>
      <c r="C958" s="64" t="s">
        <v>1561</v>
      </c>
      <c r="D958" s="65">
        <v>400.0</v>
      </c>
      <c r="E958" s="34">
        <v>46095</v>
      </c>
      <c r="F958" s="109" t="s">
        <v>565</v>
      </c>
      <c r="G958" s="104">
        <v>2.8659943E8</v>
      </c>
      <c r="H958" s="64" t="s">
        <v>2905</v>
      </c>
      <c r="I958" s="16">
        <f>IF(@Table1[[#This Row],[Delivery Date]]="","NA",@Table1[[#This Row],[Delivery Date]]+30)</f>
        <v>46125.0</v>
      </c>
      <c r="J958" s="35" t="s">
        <f t="shared" si="15"/>
        <v>28</v>
      </c>
      <c r="K958" s="87"/>
      <c r="L958" s="89"/>
      <c r="M958" s="89"/>
      <c r="N958" s="89"/>
    </row>
    <row r="959" customHeight="1" ht="14.0">
      <c r="A959" s="64" t="s">
        <v>2906</v>
      </c>
      <c r="B959" s="22" t="s">
        <v>2907</v>
      </c>
      <c r="C959" s="64" t="s">
        <v>1561</v>
      </c>
      <c r="D959" s="65">
        <v>396.0</v>
      </c>
      <c r="E959" s="34">
        <v>46095</v>
      </c>
      <c r="F959" s="109" t="s">
        <v>565</v>
      </c>
      <c r="G959" s="104">
        <v>2.8659943E8</v>
      </c>
      <c r="H959" s="64" t="s">
        <v>2908</v>
      </c>
      <c r="I959" s="16">
        <f>IF(@Table1[[#This Row],[Delivery Date]]="","NA",@Table1[[#This Row],[Delivery Date]]+30)</f>
        <v>46125.0</v>
      </c>
      <c r="J959" s="35" t="s">
        <f t="shared" si="15"/>
        <v>28</v>
      </c>
      <c r="K959" s="87"/>
      <c r="L959" s="89"/>
      <c r="M959" s="89"/>
      <c r="N959" s="89"/>
    </row>
    <row r="960" customHeight="1" ht="14.0">
      <c r="A960" s="64" t="s">
        <v>2909</v>
      </c>
      <c r="B960" s="22" t="s">
        <v>2910</v>
      </c>
      <c r="C960" s="64" t="s">
        <v>2195</v>
      </c>
      <c r="D960" s="65">
        <v>852.0</v>
      </c>
      <c r="E960" s="34">
        <v>46091</v>
      </c>
      <c r="F960" s="109" t="s">
        <v>565</v>
      </c>
      <c r="G960" s="104">
        <v>2.86599432E8</v>
      </c>
      <c r="H960" s="64" t="s">
        <v>2911</v>
      </c>
      <c r="I960" s="16">
        <f>IF(@Table1[[#This Row],[Delivery Date]]="","NA",@Table1[[#This Row],[Delivery Date]]+30)</f>
        <v>46121.0</v>
      </c>
      <c r="J960" s="35" t="s">
        <f t="shared" si="15"/>
        <v>28</v>
      </c>
      <c r="K960" s="87"/>
      <c r="L960" s="89"/>
      <c r="M960" s="89"/>
      <c r="N960" s="89"/>
    </row>
    <row r="961" customHeight="1" ht="14.0">
      <c r="A961" s="64" t="s">
        <v>2912</v>
      </c>
      <c r="B961" s="22" t="s">
        <v>2913</v>
      </c>
      <c r="C961" s="64" t="s">
        <v>1427</v>
      </c>
      <c r="D961" s="65">
        <v>643.0</v>
      </c>
      <c r="E961" s="34">
        <v>46092</v>
      </c>
      <c r="F961" s="109" t="s">
        <v>565</v>
      </c>
      <c r="G961" s="104">
        <v>2.86599433E8</v>
      </c>
      <c r="H961" s="64" t="s">
        <v>2914</v>
      </c>
      <c r="I961" s="16">
        <f>IF(@Table1[[#This Row],[Delivery Date]]="","NA",@Table1[[#This Row],[Delivery Date]]+30)</f>
        <v>46122.0</v>
      </c>
      <c r="J961" s="35" t="s">
        <f t="shared" si="15"/>
        <v>28</v>
      </c>
      <c r="K961" s="87"/>
      <c r="L961" s="89"/>
      <c r="M961" s="89"/>
      <c r="N961" s="89"/>
    </row>
    <row r="962" customHeight="1" ht="14.0">
      <c r="A962" s="64" t="s">
        <v>2915</v>
      </c>
      <c r="B962" s="22" t="s">
        <v>2916</v>
      </c>
      <c r="C962" s="64" t="s">
        <v>1427</v>
      </c>
      <c r="D962" s="65">
        <v>72.0</v>
      </c>
      <c r="E962" s="34">
        <v>46092</v>
      </c>
      <c r="F962" s="109" t="s">
        <v>565</v>
      </c>
      <c r="G962" s="104">
        <v>2.86599433E8</v>
      </c>
      <c r="H962" s="64" t="s">
        <v>2917</v>
      </c>
      <c r="I962" s="16">
        <f>IF(@Table1[[#This Row],[Delivery Date]]="","NA",@Table1[[#This Row],[Delivery Date]]+30)</f>
        <v>46122.0</v>
      </c>
      <c r="J962" s="35" t="s">
        <f t="shared" si="15"/>
        <v>28</v>
      </c>
      <c r="K962" s="87"/>
      <c r="L962" s="89"/>
      <c r="M962" s="89"/>
      <c r="N962" s="89"/>
    </row>
    <row r="963" customHeight="1" ht="14.0">
      <c r="A963" s="64" t="s">
        <v>2918</v>
      </c>
      <c r="B963" s="22" t="s">
        <v>2919</v>
      </c>
      <c r="C963" s="64" t="s">
        <v>2895</v>
      </c>
      <c r="D963" s="65">
        <v>128.0</v>
      </c>
      <c r="E963" s="34">
        <v>46092</v>
      </c>
      <c r="F963" s="109" t="s">
        <v>565</v>
      </c>
      <c r="G963" s="104">
        <v>2.86599427E8</v>
      </c>
      <c r="H963" s="64" t="s">
        <v>2920</v>
      </c>
      <c r="I963" s="16">
        <f>IF(@Table1[[#This Row],[Delivery Date]]="","NA",@Table1[[#This Row],[Delivery Date]]+30)</f>
        <v>46122.0</v>
      </c>
      <c r="J963" s="35" t="s">
        <f t="shared" si="15"/>
        <v>28</v>
      </c>
      <c r="K963" s="87"/>
      <c r="L963" s="89"/>
      <c r="M963" s="89"/>
      <c r="N963" s="89"/>
    </row>
    <row r="964" customHeight="1" ht="14.0">
      <c r="A964" s="64" t="s">
        <v>2921</v>
      </c>
      <c r="B964" s="22" t="s">
        <v>2922</v>
      </c>
      <c r="C964" s="64" t="s">
        <v>1717</v>
      </c>
      <c r="D964" s="65">
        <v>464.0</v>
      </c>
      <c r="E964" s="34">
        <v>46093</v>
      </c>
      <c r="F964" s="109" t="s">
        <v>565</v>
      </c>
      <c r="G964" s="104">
        <v>2.86599451E8</v>
      </c>
      <c r="H964" s="64" t="s">
        <v>2923</v>
      </c>
      <c r="I964" s="16">
        <f>IF(@Table1[[#This Row],[Delivery Date]]="","NA",@Table1[[#This Row],[Delivery Date]]+30)</f>
        <v>46123.0</v>
      </c>
      <c r="J964" s="35" t="s">
        <f t="shared" si="15"/>
        <v>28</v>
      </c>
      <c r="K964" s="87"/>
      <c r="L964" s="89"/>
      <c r="M964" s="89"/>
      <c r="N964" s="89"/>
    </row>
    <row r="965" customHeight="1" ht="14.0">
      <c r="A965" s="64" t="s">
        <v>2924</v>
      </c>
      <c r="B965" s="22" t="s">
        <v>2925</v>
      </c>
      <c r="C965" s="64" t="s">
        <v>1650</v>
      </c>
      <c r="D965" s="65">
        <v>1080.0</v>
      </c>
      <c r="E965" s="34">
        <v>46096</v>
      </c>
      <c r="F965" s="109" t="s">
        <v>565</v>
      </c>
      <c r="G965" s="104">
        <v>2.86599452E8</v>
      </c>
      <c r="H965" s="64" t="s">
        <v>2926</v>
      </c>
      <c r="I965" s="16">
        <f>IF(@Table1[[#This Row],[Delivery Date]]="","NA",@Table1[[#This Row],[Delivery Date]]+30)</f>
        <v>46126.0</v>
      </c>
      <c r="J965" s="35" t="s">
        <f t="shared" si="15"/>
        <v>28</v>
      </c>
      <c r="K965" s="87"/>
      <c r="L965" s="89"/>
      <c r="M965" s="89"/>
      <c r="N965" s="89"/>
    </row>
    <row r="966" customHeight="1" ht="14.0">
      <c r="A966" s="64" t="s">
        <v>2927</v>
      </c>
      <c r="B966" s="22" t="s">
        <v>2928</v>
      </c>
      <c r="C966" s="64" t="s">
        <v>1284</v>
      </c>
      <c r="D966" s="65">
        <v>1120.0</v>
      </c>
      <c r="E966" s="34">
        <v>46098</v>
      </c>
      <c r="F966" s="109" t="s">
        <v>565</v>
      </c>
      <c r="G966" s="104">
        <v>2.8659948E8</v>
      </c>
      <c r="H966" s="64" t="s">
        <v>2929</v>
      </c>
      <c r="I966" s="16">
        <f>IF(@Table1[[#This Row],[Delivery Date]]="","NA",@Table1[[#This Row],[Delivery Date]]+30)</f>
        <v>46128.0</v>
      </c>
      <c r="J966" s="35" t="s">
        <f t="shared" si="15"/>
        <v>28</v>
      </c>
      <c r="K966" s="87"/>
      <c r="L966" s="89"/>
      <c r="M966" s="89"/>
      <c r="N966" s="89"/>
    </row>
    <row r="967" customHeight="1" ht="14.0">
      <c r="A967" s="64" t="s">
        <v>2930</v>
      </c>
      <c r="B967" s="22" t="s">
        <v>2931</v>
      </c>
      <c r="C967" s="64" t="s">
        <v>1231</v>
      </c>
      <c r="D967" s="65">
        <v>326.0</v>
      </c>
      <c r="E967" s="34">
        <v>46091</v>
      </c>
      <c r="F967" s="109" t="s">
        <v>1919</v>
      </c>
      <c r="G967" s="109" t="s">
        <v>1919</v>
      </c>
      <c r="H967" s="64" t="s">
        <v>2932</v>
      </c>
      <c r="I967" s="16">
        <f>IF(@Table1[[#This Row],[Delivery Date]]="","NA",@Table1[[#This Row],[Delivery Date]]+30)</f>
        <v>46121.0</v>
      </c>
      <c r="J967" s="35" t="s">
        <f t="shared" si="15"/>
        <v>28</v>
      </c>
      <c r="K967" s="87"/>
      <c r="L967" s="89"/>
      <c r="M967" s="89"/>
      <c r="N967" s="89"/>
    </row>
    <row r="968" customHeight="1" ht="14.0">
      <c r="A968" s="64" t="s">
        <v>2933</v>
      </c>
      <c r="B968" s="22" t="s">
        <v>2934</v>
      </c>
      <c r="C968" s="64" t="s">
        <v>1231</v>
      </c>
      <c r="D968" s="65">
        <v>388.0</v>
      </c>
      <c r="E968" s="34">
        <v>46091</v>
      </c>
      <c r="F968" s="109" t="s">
        <v>1919</v>
      </c>
      <c r="G968" s="109" t="s">
        <v>1919</v>
      </c>
      <c r="H968" s="64" t="s">
        <v>2935</v>
      </c>
      <c r="I968" s="16">
        <f>IF(@Table1[[#This Row],[Delivery Date]]="","NA",@Table1[[#This Row],[Delivery Date]]+30)</f>
        <v>46121.0</v>
      </c>
      <c r="J968" s="35" t="s">
        <f t="shared" si="15"/>
        <v>28</v>
      </c>
      <c r="K968" s="87"/>
      <c r="L968" s="89"/>
      <c r="M968" s="89"/>
      <c r="N968" s="89"/>
    </row>
    <row r="969" customHeight="1" ht="14.0">
      <c r="A969" s="64" t="s">
        <v>2936</v>
      </c>
      <c r="B969" s="22" t="s">
        <v>2937</v>
      </c>
      <c r="C969" s="64" t="s">
        <v>1231</v>
      </c>
      <c r="D969" s="65">
        <v>1046.0</v>
      </c>
      <c r="E969" s="34">
        <v>46091</v>
      </c>
      <c r="F969" s="109" t="s">
        <v>1919</v>
      </c>
      <c r="G969" s="109" t="s">
        <v>1919</v>
      </c>
      <c r="H969" s="64" t="s">
        <v>2938</v>
      </c>
      <c r="I969" s="16">
        <f>IF(@Table1[[#This Row],[Delivery Date]]="","NA",@Table1[[#This Row],[Delivery Date]]+30)</f>
        <v>46121.0</v>
      </c>
      <c r="J969" s="35" t="s">
        <f t="shared" si="15"/>
        <v>28</v>
      </c>
      <c r="K969" s="87"/>
      <c r="L969" s="89"/>
      <c r="M969" s="89"/>
      <c r="N969" s="89"/>
    </row>
    <row r="970" customHeight="1" ht="14.0">
      <c r="A970" s="64" t="s">
        <v>2939</v>
      </c>
      <c r="B970" s="22" t="s">
        <v>2940</v>
      </c>
      <c r="C970" s="64" t="s">
        <v>1231</v>
      </c>
      <c r="D970" s="65">
        <v>112.0</v>
      </c>
      <c r="E970" s="34">
        <v>46091</v>
      </c>
      <c r="F970" s="109" t="s">
        <v>1919</v>
      </c>
      <c r="G970" s="109" t="s">
        <v>1919</v>
      </c>
      <c r="H970" s="64" t="s">
        <v>2941</v>
      </c>
      <c r="I970" s="16">
        <f>IF(@Table1[[#This Row],[Delivery Date]]="","NA",@Table1[[#This Row],[Delivery Date]]+30)</f>
        <v>46121.0</v>
      </c>
      <c r="J970" s="35" t="s">
        <f t="shared" si="15"/>
        <v>28</v>
      </c>
      <c r="K970" s="87"/>
      <c r="L970" s="89"/>
      <c r="M970" s="89"/>
      <c r="N970" s="89"/>
    </row>
    <row r="971" customHeight="1" ht="14.0">
      <c r="A971" s="64" t="s">
        <v>2942</v>
      </c>
      <c r="B971" s="22" t="s">
        <v>2943</v>
      </c>
      <c r="C971" s="64" t="s">
        <v>1231</v>
      </c>
      <c r="D971" s="65">
        <v>346.0</v>
      </c>
      <c r="E971" s="34">
        <v>46091</v>
      </c>
      <c r="F971" s="109" t="s">
        <v>1919</v>
      </c>
      <c r="G971" s="109" t="s">
        <v>1919</v>
      </c>
      <c r="H971" s="64" t="s">
        <v>2944</v>
      </c>
      <c r="I971" s="16">
        <f>IF(@Table1[[#This Row],[Delivery Date]]="","NA",@Table1[[#This Row],[Delivery Date]]+30)</f>
        <v>46121.0</v>
      </c>
      <c r="J971" s="35" t="s">
        <f t="shared" si="15"/>
        <v>28</v>
      </c>
      <c r="K971" s="87"/>
      <c r="L971" s="89"/>
      <c r="M971" s="89"/>
      <c r="N971" s="89"/>
    </row>
    <row r="972" customHeight="1" ht="14.0">
      <c r="A972" s="64" t="s">
        <v>2945</v>
      </c>
      <c r="B972" s="22" t="s">
        <v>2946</v>
      </c>
      <c r="C972" s="64" t="s">
        <v>1231</v>
      </c>
      <c r="D972" s="65">
        <v>549.0</v>
      </c>
      <c r="E972" s="34">
        <v>46091</v>
      </c>
      <c r="F972" s="109" t="s">
        <v>1919</v>
      </c>
      <c r="G972" s="109" t="s">
        <v>1919</v>
      </c>
      <c r="H972" s="64" t="s">
        <v>2947</v>
      </c>
      <c r="I972" s="16">
        <f>IF(@Table1[[#This Row],[Delivery Date]]="","NA",@Table1[[#This Row],[Delivery Date]]+30)</f>
        <v>46121.0</v>
      </c>
      <c r="J972" s="35" t="s">
        <f t="shared" si="15"/>
        <v>28</v>
      </c>
      <c r="K972" s="87"/>
      <c r="L972" s="89"/>
      <c r="M972" s="89"/>
      <c r="N972" s="89"/>
    </row>
    <row r="973" customHeight="1" ht="14.0">
      <c r="A973" s="64" t="s">
        <v>2948</v>
      </c>
      <c r="B973" s="22" t="s">
        <v>2949</v>
      </c>
      <c r="C973" s="64" t="s">
        <v>2895</v>
      </c>
      <c r="D973" s="65">
        <v>121.0</v>
      </c>
      <c r="E973" s="34">
        <v>46099</v>
      </c>
      <c r="F973" s="109" t="s">
        <v>565</v>
      </c>
      <c r="G973" s="109">
        <v>2.86599521E8</v>
      </c>
      <c r="H973" s="64" t="s">
        <v>2950</v>
      </c>
      <c r="I973" s="16">
        <f>IF(@Table1[[#This Row],[Delivery Date]]="","NA",@Table1[[#This Row],[Delivery Date]]+30)</f>
        <v>46129.0</v>
      </c>
      <c r="J973" s="35" t="s">
        <f t="shared" si="15"/>
        <v>28</v>
      </c>
      <c r="K973" s="87"/>
      <c r="L973" s="89"/>
      <c r="M973" s="89"/>
      <c r="N973" s="89"/>
    </row>
    <row r="974" customHeight="1" ht="14.0">
      <c r="A974" s="64" t="s">
        <v>2951</v>
      </c>
      <c r="B974" s="22" t="s">
        <v>2952</v>
      </c>
      <c r="C974" s="64" t="s">
        <v>1319</v>
      </c>
      <c r="D974" s="65">
        <v>108.0</v>
      </c>
      <c r="E974" s="34">
        <v>46107</v>
      </c>
      <c r="F974" s="109" t="s">
        <v>565</v>
      </c>
      <c r="G974" s="109">
        <v>2.86599522E8</v>
      </c>
      <c r="H974" s="64" t="s">
        <v>2953</v>
      </c>
      <c r="I974" s="16">
        <f>IF(@Table1[[#This Row],[Delivery Date]]="","NA",@Table1[[#This Row],[Delivery Date]]+30)</f>
        <v>46137.0</v>
      </c>
      <c r="J974" s="35" t="s">
        <f t="shared" si="15"/>
        <v>28</v>
      </c>
      <c r="K974" s="87"/>
      <c r="L974" s="89"/>
      <c r="M974" s="89"/>
      <c r="N974" s="89"/>
    </row>
    <row r="975" customHeight="1" ht="14.0">
      <c r="A975" s="64" t="s">
        <v>2954</v>
      </c>
      <c r="B975" s="22" t="s">
        <v>2955</v>
      </c>
      <c r="C975" s="142" t="s">
        <v>2195</v>
      </c>
      <c r="D975" s="65">
        <v>699.0</v>
      </c>
      <c r="E975" s="34">
        <v>46106</v>
      </c>
      <c r="F975" s="109" t="s">
        <v>565</v>
      </c>
      <c r="G975" s="109">
        <v>2.86599524E8</v>
      </c>
      <c r="H975" s="64" t="s">
        <v>2956</v>
      </c>
      <c r="I975" s="16">
        <f>IF(@Table1[[#This Row],[Delivery Date]]="","NA",@Table1[[#This Row],[Delivery Date]]+30)</f>
        <v>46136.0</v>
      </c>
      <c r="J975" s="35" t="s">
        <f t="shared" si="15"/>
        <v>28</v>
      </c>
      <c r="K975" s="87"/>
      <c r="L975" s="89"/>
      <c r="M975" s="89" t="s">
        <v>2957</v>
      </c>
      <c r="N975" s="89"/>
    </row>
    <row r="976" customHeight="1" ht="14.0">
      <c r="A976" s="64" t="s">
        <v>2958</v>
      </c>
      <c r="B976" s="22" t="s">
        <v>2959</v>
      </c>
      <c r="C976" s="64" t="s">
        <v>1650</v>
      </c>
      <c r="D976" s="65">
        <v>256.0</v>
      </c>
      <c r="E976" s="34">
        <v>46103</v>
      </c>
      <c r="F976" s="109" t="s">
        <v>565</v>
      </c>
      <c r="G976" s="109">
        <v>2.86599572E8</v>
      </c>
      <c r="H976" s="64" t="s">
        <v>2960</v>
      </c>
      <c r="I976" s="16">
        <f>IF(@Table1[[#This Row],[Delivery Date]]="","NA",@Table1[[#This Row],[Delivery Date]]+30)</f>
        <v>46133.0</v>
      </c>
      <c r="J976" s="35" t="s">
        <f t="shared" si="15"/>
        <v>28</v>
      </c>
      <c r="K976" s="87"/>
      <c r="L976" s="89"/>
      <c r="M976" s="89"/>
      <c r="N976" s="89"/>
    </row>
    <row r="977" customHeight="1" ht="14.0">
      <c r="A977" s="64" t="s">
        <v>2961</v>
      </c>
      <c r="B977" s="22" t="s">
        <v>2962</v>
      </c>
      <c r="C977" s="64" t="s">
        <v>1669</v>
      </c>
      <c r="D977" s="65">
        <v>171.0</v>
      </c>
      <c r="E977" s="34">
        <v>46099</v>
      </c>
      <c r="F977" s="109" t="s">
        <v>565</v>
      </c>
      <c r="G977" s="109">
        <v>2.86599525E8</v>
      </c>
      <c r="H977" s="64" t="s">
        <v>2963</v>
      </c>
      <c r="I977" s="16">
        <f>IF(@Table1[[#This Row],[Delivery Date]]="","NA",@Table1[[#This Row],[Delivery Date]]+30)</f>
        <v>46129.0</v>
      </c>
      <c r="J977" s="35" t="s">
        <f t="shared" si="15"/>
        <v>28</v>
      </c>
      <c r="K977" s="87"/>
      <c r="L977" s="89"/>
      <c r="M977" s="89"/>
      <c r="N977" s="89"/>
    </row>
    <row r="978" customHeight="1" ht="14.0">
      <c r="A978" s="64" t="s">
        <v>2964</v>
      </c>
      <c r="B978" s="22" t="s">
        <v>2965</v>
      </c>
      <c r="C978" s="64" t="s">
        <v>1427</v>
      </c>
      <c r="D978" s="65">
        <v>576.0</v>
      </c>
      <c r="E978" s="34">
        <v>46097</v>
      </c>
      <c r="F978" s="109" t="s">
        <v>565</v>
      </c>
      <c r="G978" s="109">
        <v>2.86599523E8</v>
      </c>
      <c r="H978" s="64" t="s">
        <v>2966</v>
      </c>
      <c r="I978" s="16">
        <f>IF(@Table1[[#This Row],[Delivery Date]]="","NA",@Table1[[#This Row],[Delivery Date]]+30)</f>
        <v>46127.0</v>
      </c>
      <c r="J978" s="35" t="s">
        <f t="shared" si="15"/>
        <v>28</v>
      </c>
      <c r="K978" s="87"/>
      <c r="L978" s="89"/>
      <c r="M978" s="89"/>
      <c r="N978" s="89"/>
    </row>
    <row r="979" customHeight="1" ht="14.0">
      <c r="A979" s="64" t="s">
        <v>2967</v>
      </c>
      <c r="B979" s="22" t="s">
        <v>2968</v>
      </c>
      <c r="C979" s="22" t="s">
        <v>1035</v>
      </c>
      <c r="D979" s="65">
        <v>530.0</v>
      </c>
      <c r="E979" s="34">
        <v>46096</v>
      </c>
      <c r="F979" s="109" t="s">
        <v>565</v>
      </c>
      <c r="G979" s="104">
        <v>2.8659951E8</v>
      </c>
      <c r="H979" s="64" t="s">
        <v>2969</v>
      </c>
      <c r="I979" s="16">
        <f>IF(@Table1[[#This Row],[Delivery Date]]="","NA",@Table1[[#This Row],[Delivery Date]]+30)</f>
        <v>46126.0</v>
      </c>
      <c r="J979" s="35" t="s">
        <f t="shared" si="15"/>
        <v>28</v>
      </c>
      <c r="K979" s="87"/>
      <c r="L979" s="89"/>
      <c r="M979" s="89"/>
      <c r="N979" s="89"/>
    </row>
    <row r="980" customHeight="1" ht="14.0">
      <c r="A980" s="64" t="s">
        <v>2970</v>
      </c>
      <c r="B980" s="22" t="s">
        <v>2971</v>
      </c>
      <c r="C980" s="64" t="s">
        <v>2895</v>
      </c>
      <c r="D980" s="65">
        <v>957.0</v>
      </c>
      <c r="E980" s="34">
        <v>46098</v>
      </c>
      <c r="F980" s="109" t="s">
        <v>565</v>
      </c>
      <c r="G980" s="109">
        <v>2.86599511E8</v>
      </c>
      <c r="H980" s="64" t="s">
        <v>2972</v>
      </c>
      <c r="I980" s="16">
        <f>IF(@Table1[[#This Row],[Delivery Date]]="","NA",@Table1[[#This Row],[Delivery Date]]+30)</f>
        <v>46128.0</v>
      </c>
      <c r="J980" s="35" t="s">
        <f t="shared" si="15"/>
        <v>28</v>
      </c>
      <c r="K980" s="87"/>
      <c r="L980" s="89"/>
      <c r="M980" s="89"/>
      <c r="N980" s="89"/>
    </row>
    <row r="981" customHeight="1" ht="14.0">
      <c r="A981" s="64" t="s">
        <v>2973</v>
      </c>
      <c r="B981" s="22" t="s">
        <v>2974</v>
      </c>
      <c r="C981" s="64" t="s">
        <v>1427</v>
      </c>
      <c r="D981" s="65">
        <v>965.0</v>
      </c>
      <c r="E981" s="34">
        <v>46098</v>
      </c>
      <c r="F981" s="109" t="s">
        <v>565</v>
      </c>
      <c r="G981" s="109">
        <v>2.86599512E8</v>
      </c>
      <c r="H981" s="64" t="s">
        <v>2975</v>
      </c>
      <c r="I981" s="16">
        <f>IF(@Table1[[#This Row],[Delivery Date]]="","NA",@Table1[[#This Row],[Delivery Date]]+30)</f>
        <v>46128.0</v>
      </c>
      <c r="J981" s="35" t="s">
        <f t="shared" si="15"/>
        <v>28</v>
      </c>
      <c r="K981" s="87"/>
      <c r="L981" s="89"/>
      <c r="M981" s="89"/>
      <c r="N981" s="89"/>
    </row>
    <row r="982" customHeight="1" ht="14.0">
      <c r="A982" s="64" t="s">
        <v>2976</v>
      </c>
      <c r="B982" s="22" t="s">
        <v>2977</v>
      </c>
      <c r="C982" s="64" t="s">
        <v>1728</v>
      </c>
      <c r="D982" s="65">
        <v>408.0</v>
      </c>
      <c r="E982" s="34">
        <v>46098</v>
      </c>
      <c r="F982" s="109" t="s">
        <v>565</v>
      </c>
      <c r="G982" s="109">
        <v>2.86599513E8</v>
      </c>
      <c r="H982" s="64" t="s">
        <v>2978</v>
      </c>
      <c r="I982" s="16">
        <f>IF(@Table1[[#This Row],[Delivery Date]]="","NA",@Table1[[#This Row],[Delivery Date]]+30)</f>
        <v>46128.0</v>
      </c>
      <c r="J982" s="35" t="s">
        <f t="shared" si="15"/>
        <v>28</v>
      </c>
      <c r="K982" s="87"/>
      <c r="L982" s="89"/>
      <c r="M982" s="89"/>
      <c r="N982" s="89"/>
    </row>
    <row r="983" customHeight="1" ht="14.0">
      <c r="A983" s="64" t="s">
        <v>2979</v>
      </c>
      <c r="B983" s="22" t="s">
        <v>2980</v>
      </c>
      <c r="C983" s="64" t="s">
        <v>2981</v>
      </c>
      <c r="D983" s="65">
        <v>936.0</v>
      </c>
      <c r="E983" s="34">
        <v>46098</v>
      </c>
      <c r="F983" s="109" t="s">
        <v>565</v>
      </c>
      <c r="G983" s="109">
        <v>2.86599514E8</v>
      </c>
      <c r="H983" s="64" t="s">
        <v>2982</v>
      </c>
      <c r="I983" s="16">
        <f>IF(@Table1[[#This Row],[Delivery Date]]="","NA",@Table1[[#This Row],[Delivery Date]]+30)</f>
        <v>46128.0</v>
      </c>
      <c r="J983" s="35" t="s">
        <f t="shared" si="15"/>
        <v>28</v>
      </c>
      <c r="K983" s="87"/>
      <c r="L983" s="89"/>
      <c r="M983" s="89"/>
      <c r="N983" s="89"/>
    </row>
    <row r="984" customHeight="1" ht="14.0">
      <c r="A984" s="64" t="s">
        <v>2983</v>
      </c>
      <c r="B984" s="22" t="s">
        <v>2984</v>
      </c>
      <c r="C984" s="64" t="s">
        <v>2895</v>
      </c>
      <c r="D984" s="65">
        <v>414.0</v>
      </c>
      <c r="E984" s="34">
        <v>46101</v>
      </c>
      <c r="F984" s="109" t="s">
        <v>565</v>
      </c>
      <c r="G984" s="109">
        <v>2.86599515E8</v>
      </c>
      <c r="H984" s="64" t="s">
        <v>2985</v>
      </c>
      <c r="I984" s="16">
        <f>IF(@Table1[[#This Row],[Delivery Date]]="","NA",@Table1[[#This Row],[Delivery Date]]+30)</f>
        <v>46131.0</v>
      </c>
      <c r="J984" s="35" t="s">
        <f t="shared" si="15"/>
        <v>28</v>
      </c>
      <c r="K984" s="87" t="s">
        <v>2986</v>
      </c>
      <c r="L984" s="89"/>
      <c r="M984" s="89"/>
      <c r="N984" s="89"/>
    </row>
    <row r="985" customHeight="1" ht="14.0">
      <c r="A985" s="64" t="s">
        <v>2987</v>
      </c>
      <c r="B985" s="22" t="s">
        <v>2988</v>
      </c>
      <c r="C985" s="64" t="s">
        <v>2195</v>
      </c>
      <c r="D985" s="65">
        <v>553.0</v>
      </c>
      <c r="E985" s="34">
        <v>46096</v>
      </c>
      <c r="F985" s="109" t="s">
        <v>565</v>
      </c>
      <c r="G985" s="109">
        <v>2.86599516E8</v>
      </c>
      <c r="H985" s="64" t="s">
        <v>2989</v>
      </c>
      <c r="I985" s="16">
        <f>IF(@Table1[[#This Row],[Delivery Date]]="","NA",@Table1[[#This Row],[Delivery Date]]+30)</f>
        <v>46126.0</v>
      </c>
      <c r="J985" s="35" t="s">
        <f t="shared" si="15"/>
        <v>28</v>
      </c>
      <c r="K985" s="87"/>
      <c r="L985" s="89"/>
      <c r="M985" s="89"/>
      <c r="N985" s="89"/>
    </row>
    <row r="986" customHeight="1" ht="14.0">
      <c r="A986" s="64" t="s">
        <v>2990</v>
      </c>
      <c r="B986" s="22" t="s">
        <v>2991</v>
      </c>
      <c r="C986" s="64" t="s">
        <v>58</v>
      </c>
      <c r="D986" s="65">
        <v>556.0</v>
      </c>
      <c r="E986" s="34">
        <v>46098</v>
      </c>
      <c r="F986" s="109" t="s">
        <v>565</v>
      </c>
      <c r="G986" s="109">
        <v>2.86599517E8</v>
      </c>
      <c r="H986" s="64" t="s">
        <v>2992</v>
      </c>
      <c r="I986" s="16">
        <f>IF(@Table1[[#This Row],[Delivery Date]]="","NA",@Table1[[#This Row],[Delivery Date]]+30)</f>
        <v>46128.0</v>
      </c>
      <c r="J986" s="35" t="s">
        <f t="shared" si="15"/>
        <v>28</v>
      </c>
      <c r="K986" s="87"/>
      <c r="L986" s="89"/>
      <c r="M986" s="89"/>
      <c r="N986" s="89"/>
    </row>
    <row r="987" customHeight="1" ht="14.0">
      <c r="A987" s="64" t="s">
        <v>2993</v>
      </c>
      <c r="B987" s="22" t="s">
        <v>2994</v>
      </c>
      <c r="C987" s="64" t="s">
        <v>1669</v>
      </c>
      <c r="D987" s="65">
        <v>726.0</v>
      </c>
      <c r="E987" s="34">
        <v>46100</v>
      </c>
      <c r="F987" s="109" t="s">
        <v>565</v>
      </c>
      <c r="G987" s="109">
        <v>2.86599519E8</v>
      </c>
      <c r="H987" s="64" t="s">
        <v>2995</v>
      </c>
      <c r="I987" s="16">
        <f>IF(@Table1[[#This Row],[Delivery Date]]="","NA",@Table1[[#This Row],[Delivery Date]]+30)</f>
        <v>46130.0</v>
      </c>
      <c r="J987" s="35" t="s">
        <f t="shared" si="15"/>
        <v>28</v>
      </c>
      <c r="K987" s="87"/>
      <c r="L987" s="89"/>
      <c r="M987" s="89"/>
      <c r="N987" s="89"/>
    </row>
    <row r="988" customHeight="1" ht="14.0">
      <c r="A988" s="64" t="s">
        <v>2996</v>
      </c>
      <c r="B988" s="22" t="s">
        <v>2997</v>
      </c>
      <c r="C988" s="64" t="s">
        <v>1039</v>
      </c>
      <c r="D988" s="65">
        <v>1280.0</v>
      </c>
      <c r="E988" s="34">
        <v>46099</v>
      </c>
      <c r="F988" s="109" t="s">
        <v>565</v>
      </c>
      <c r="G988" s="109">
        <v>2.86599518E8</v>
      </c>
      <c r="H988" s="64" t="s">
        <v>2998</v>
      </c>
      <c r="I988" s="16">
        <f>IF(@Table1[[#This Row],[Delivery Date]]="","NA",@Table1[[#This Row],[Delivery Date]]+30)</f>
        <v>46129.0</v>
      </c>
      <c r="J988" s="35" t="s">
        <f t="shared" si="15"/>
        <v>28</v>
      </c>
      <c r="K988" s="87"/>
      <c r="L988" s="89"/>
      <c r="M988" s="89"/>
      <c r="N988" s="89"/>
    </row>
    <row r="989" customHeight="1" ht="14.0">
      <c r="A989" s="64" t="s">
        <v>2999</v>
      </c>
      <c r="B989" s="22" t="s">
        <v>3000</v>
      </c>
      <c r="C989" s="64" t="s">
        <v>1717</v>
      </c>
      <c r="D989" s="65">
        <v>859.0</v>
      </c>
      <c r="E989" s="34">
        <v>46099</v>
      </c>
      <c r="F989" s="109" t="s">
        <v>565</v>
      </c>
      <c r="G989" s="109">
        <v>2.8659952E8</v>
      </c>
      <c r="H989" s="64" t="s">
        <v>3001</v>
      </c>
      <c r="I989" s="16">
        <f>IF(@Table1[[#This Row],[Delivery Date]]="","NA",@Table1[[#This Row],[Delivery Date]]+30)</f>
        <v>46129.0</v>
      </c>
      <c r="J989" s="35" t="s">
        <f t="shared" si="15"/>
        <v>28</v>
      </c>
      <c r="K989" s="87"/>
      <c r="L989" s="89"/>
      <c r="M989" s="89"/>
      <c r="N989" s="89"/>
    </row>
    <row r="990" customHeight="1" ht="14.0">
      <c r="A990" s="64" t="s">
        <v>3002</v>
      </c>
      <c r="B990" s="22" t="s">
        <v>3003</v>
      </c>
      <c r="C990" s="64" t="s">
        <v>1039</v>
      </c>
      <c r="D990" s="65">
        <v>1536.0</v>
      </c>
      <c r="E990" s="34">
        <v>46099</v>
      </c>
      <c r="F990" s="109" t="s">
        <v>565</v>
      </c>
      <c r="G990" s="109">
        <v>2.86599542E8</v>
      </c>
      <c r="H990" s="64" t="s">
        <v>3004</v>
      </c>
      <c r="I990" s="16">
        <f>IF(@Table1[[#This Row],[Delivery Date]]="","NA",@Table1[[#This Row],[Delivery Date]]+30)</f>
        <v>46129.0</v>
      </c>
      <c r="J990" s="35" t="s">
        <f t="shared" si="15"/>
        <v>28</v>
      </c>
      <c r="K990" s="87"/>
      <c r="L990" s="89"/>
      <c r="M990" s="89"/>
      <c r="N990" s="89"/>
    </row>
    <row r="991" customHeight="1" ht="14.0">
      <c r="A991" s="64" t="s">
        <v>3005</v>
      </c>
      <c r="B991" s="22" t="s">
        <v>3006</v>
      </c>
      <c r="C991" s="64" t="s">
        <v>26</v>
      </c>
      <c r="D991" s="65">
        <v>810.0</v>
      </c>
      <c r="E991" s="34">
        <v>46102</v>
      </c>
      <c r="F991" s="109" t="s">
        <v>565</v>
      </c>
      <c r="G991" s="109">
        <v>2.86599559E8</v>
      </c>
      <c r="H991" s="64" t="s">
        <v>3007</v>
      </c>
      <c r="I991" s="16">
        <f>IF(@Table1[[#This Row],[Delivery Date]]="","NA",@Table1[[#This Row],[Delivery Date]]+30)</f>
        <v>46132.0</v>
      </c>
      <c r="J991" s="35" t="s">
        <f t="shared" si="15"/>
        <v>28</v>
      </c>
      <c r="K991" s="87"/>
      <c r="L991" s="89"/>
      <c r="M991" s="89"/>
      <c r="N991" s="89"/>
    </row>
    <row r="992" customHeight="1" ht="14.0">
      <c r="A992" s="64" t="s">
        <v>3008</v>
      </c>
      <c r="B992" s="22" t="s">
        <v>3009</v>
      </c>
      <c r="C992" s="64" t="s">
        <v>141</v>
      </c>
      <c r="D992" s="65">
        <v>2188.0</v>
      </c>
      <c r="E992" s="34">
        <v>46103</v>
      </c>
      <c r="F992" s="109" t="s">
        <v>565</v>
      </c>
      <c r="G992" s="109">
        <v>2.8659956E8</v>
      </c>
      <c r="H992" s="64" t="s">
        <v>3010</v>
      </c>
      <c r="I992" s="16">
        <f>IF(@Table1[[#This Row],[Delivery Date]]="","NA",@Table1[[#This Row],[Delivery Date]]+30)</f>
        <v>46133.0</v>
      </c>
      <c r="J992" s="35" t="s">
        <f t="shared" si="15"/>
        <v>28</v>
      </c>
      <c r="K992" s="87"/>
      <c r="L992" s="89"/>
      <c r="M992" s="89" t="s">
        <v>3011</v>
      </c>
      <c r="N992" s="89"/>
    </row>
    <row r="993" customHeight="1" ht="14.0">
      <c r="A993" s="64" t="s">
        <v>3012</v>
      </c>
      <c r="B993" s="22" t="s">
        <v>3013</v>
      </c>
      <c r="C993" s="64" t="s">
        <v>1066</v>
      </c>
      <c r="D993" s="65">
        <v>1014.0</v>
      </c>
      <c r="E993" s="34">
        <v>46103</v>
      </c>
      <c r="F993" s="109" t="s">
        <v>565</v>
      </c>
      <c r="G993" s="109">
        <v>2.86599561E8</v>
      </c>
      <c r="H993" s="64" t="s">
        <v>3014</v>
      </c>
      <c r="I993" s="16">
        <f>IF(@Table1[[#This Row],[Delivery Date]]="","NA",@Table1[[#This Row],[Delivery Date]]+30)</f>
        <v>46133.0</v>
      </c>
      <c r="J993" s="35" t="s">
        <f t="shared" si="15"/>
        <v>28</v>
      </c>
      <c r="K993" s="87"/>
      <c r="L993" s="89"/>
      <c r="M993" s="89"/>
      <c r="N993" s="89"/>
    </row>
    <row r="994" customHeight="1" ht="14.0">
      <c r="A994" s="64" t="s">
        <v>3015</v>
      </c>
      <c r="B994" s="22" t="s">
        <v>3016</v>
      </c>
      <c r="C994" s="64" t="s">
        <v>1717</v>
      </c>
      <c r="D994" s="65">
        <v>1498.0</v>
      </c>
      <c r="E994" s="34">
        <v>46100</v>
      </c>
      <c r="F994" s="109" t="s">
        <v>565</v>
      </c>
      <c r="G994" s="109">
        <v>2.86599563E8</v>
      </c>
      <c r="H994" s="64" t="s">
        <v>3017</v>
      </c>
      <c r="I994" s="16">
        <f>IF(@Table1[[#This Row],[Delivery Date]]="","NA",@Table1[[#This Row],[Delivery Date]]+30)</f>
        <v>46130.0</v>
      </c>
      <c r="J994" s="35" t="s">
        <f t="shared" si="15"/>
        <v>28</v>
      </c>
      <c r="K994" s="87"/>
      <c r="L994" s="89"/>
      <c r="M994" s="89"/>
      <c r="N994" s="89"/>
    </row>
    <row r="995" customHeight="1" ht="14.0">
      <c r="A995" s="64" t="s">
        <v>3018</v>
      </c>
      <c r="B995" s="22" t="s">
        <v>3019</v>
      </c>
      <c r="C995" s="64" t="s">
        <v>1650</v>
      </c>
      <c r="D995" s="65">
        <v>324.0</v>
      </c>
      <c r="E995" s="34">
        <v>46103</v>
      </c>
      <c r="F995" s="109" t="s">
        <v>565</v>
      </c>
      <c r="G995" s="109">
        <v>2.86599572E8</v>
      </c>
      <c r="H995" s="64" t="s">
        <v>3020</v>
      </c>
      <c r="I995" s="16">
        <f>IF(@Table1[[#This Row],[Delivery Date]]="","NA",@Table1[[#This Row],[Delivery Date]]+30)</f>
        <v>46133.0</v>
      </c>
      <c r="J995" s="35" t="s">
        <f t="shared" si="15"/>
        <v>28</v>
      </c>
      <c r="K995" s="87"/>
      <c r="L995" s="89"/>
      <c r="M995" s="89" t="s">
        <v>3021</v>
      </c>
      <c r="N995" s="89"/>
    </row>
    <row r="996" customHeight="1" ht="14.0">
      <c r="A996" s="64" t="s">
        <v>3022</v>
      </c>
      <c r="B996" s="22" t="s">
        <v>3023</v>
      </c>
      <c r="C996" s="64" t="s">
        <v>1284</v>
      </c>
      <c r="D996" s="65">
        <v>530.0</v>
      </c>
      <c r="E996" s="34">
        <v>46102</v>
      </c>
      <c r="F996" s="109" t="s">
        <v>565</v>
      </c>
      <c r="G996" s="109">
        <v>2.86599564E8</v>
      </c>
      <c r="H996" s="64" t="s">
        <v>3024</v>
      </c>
      <c r="I996" s="16">
        <f>IF(@Table1[[#This Row],[Delivery Date]]="","NA",@Table1[[#This Row],[Delivery Date]]+30)</f>
        <v>46132.0</v>
      </c>
      <c r="J996" s="35" t="s">
        <f t="shared" si="15"/>
        <v>28</v>
      </c>
      <c r="K996" s="87"/>
      <c r="L996" s="89"/>
      <c r="M996" s="89"/>
      <c r="N996" s="89"/>
    </row>
    <row r="997" customHeight="1" ht="14.0">
      <c r="A997" s="64" t="s">
        <v>3025</v>
      </c>
      <c r="B997" s="22" t="s">
        <v>3026</v>
      </c>
      <c r="C997" s="64" t="s">
        <v>1231</v>
      </c>
      <c r="D997" s="65">
        <v>262.0</v>
      </c>
      <c r="E997" s="34">
        <v>46097</v>
      </c>
      <c r="F997" s="109" t="s">
        <v>1919</v>
      </c>
      <c r="G997" s="109" t="s">
        <v>1919</v>
      </c>
      <c r="H997" s="64" t="s">
        <v>3027</v>
      </c>
      <c r="I997" s="16">
        <f>IF(@Table1[[#This Row],[Delivery Date]]="","NA",@Table1[[#This Row],[Delivery Date]]+30)</f>
        <v>46127.0</v>
      </c>
      <c r="J997" s="35" t="s">
        <f t="shared" si="15"/>
        <v>28</v>
      </c>
      <c r="K997" s="87"/>
      <c r="L997" s="89"/>
      <c r="M997" s="89"/>
      <c r="N997" s="89"/>
    </row>
    <row r="998" customHeight="1" ht="14.0">
      <c r="A998" s="64" t="s">
        <v>3028</v>
      </c>
      <c r="B998" s="22" t="s">
        <v>3029</v>
      </c>
      <c r="C998" s="64" t="s">
        <v>58</v>
      </c>
      <c r="D998" s="65">
        <v>1295.0</v>
      </c>
      <c r="E998" s="34">
        <v>46100</v>
      </c>
      <c r="F998" s="109" t="s">
        <v>565</v>
      </c>
      <c r="G998" s="109">
        <v>2.86599566E8</v>
      </c>
      <c r="H998" s="64" t="s">
        <v>3030</v>
      </c>
      <c r="I998" s="16">
        <f>IF(@Table1[[#This Row],[Delivery Date]]="","NA",@Table1[[#This Row],[Delivery Date]]+30)</f>
        <v>46130.0</v>
      </c>
      <c r="J998" s="35" t="s">
        <f t="shared" si="15"/>
        <v>28</v>
      </c>
      <c r="K998" s="87"/>
      <c r="L998" s="89"/>
      <c r="M998" s="89"/>
      <c r="N998" s="89"/>
    </row>
    <row r="999" customHeight="1" ht="14.0">
      <c r="A999" s="64" t="s">
        <v>3031</v>
      </c>
      <c r="B999" s="22" t="s">
        <v>3032</v>
      </c>
      <c r="C999" s="64" t="s">
        <v>1728</v>
      </c>
      <c r="D999" s="65">
        <v>344.0</v>
      </c>
      <c r="E999" s="34">
        <v>46101</v>
      </c>
      <c r="F999" s="109" t="s">
        <v>565</v>
      </c>
      <c r="G999" s="109">
        <v>2.86599565E8</v>
      </c>
      <c r="H999" s="64" t="s">
        <v>3033</v>
      </c>
      <c r="I999" s="16">
        <f>IF(@Table1[[#This Row],[Delivery Date]]="","NA",@Table1[[#This Row],[Delivery Date]]+30)</f>
        <v>46131.0</v>
      </c>
      <c r="J999" s="35" t="s">
        <f t="shared" si="15"/>
        <v>28</v>
      </c>
      <c r="K999" s="87"/>
      <c r="L999" s="89"/>
      <c r="M999" s="89"/>
      <c r="N999" s="89"/>
    </row>
    <row r="1000" customHeight="1" ht="14.0">
      <c r="A1000" s="64" t="s">
        <v>3034</v>
      </c>
      <c r="B1000" s="22" t="s">
        <v>3035</v>
      </c>
      <c r="C1000" s="64" t="s">
        <v>2895</v>
      </c>
      <c r="D1000" s="65">
        <v>738.0</v>
      </c>
      <c r="E1000" s="34">
        <v>46101</v>
      </c>
      <c r="F1000" s="109" t="s">
        <v>565</v>
      </c>
      <c r="G1000" s="109">
        <v>2.8659957E8</v>
      </c>
      <c r="H1000" s="64" t="s">
        <v>3036</v>
      </c>
      <c r="I1000" s="16">
        <f>IF(@Table1[[#This Row],[Delivery Date]]="","NA",@Table1[[#This Row],[Delivery Date]]+30)</f>
        <v>46131.0</v>
      </c>
      <c r="J1000" s="35" t="s">
        <f t="shared" si="15"/>
        <v>28</v>
      </c>
      <c r="K1000" s="87"/>
      <c r="L1000" s="89"/>
      <c r="M1000" s="89"/>
      <c r="N1000" s="89"/>
    </row>
    <row r="1001" customHeight="1" ht="14.0">
      <c r="A1001" s="64" t="s">
        <v>3037</v>
      </c>
      <c r="B1001" s="22" t="s">
        <v>3038</v>
      </c>
      <c r="C1001" s="64" t="s">
        <v>1066</v>
      </c>
      <c r="D1001" s="65">
        <v>273.0</v>
      </c>
      <c r="E1001" s="34">
        <v>46102</v>
      </c>
      <c r="F1001" s="109" t="s">
        <v>565</v>
      </c>
      <c r="G1001" s="109">
        <v>2.86599571E8</v>
      </c>
      <c r="H1001" s="64" t="s">
        <v>3039</v>
      </c>
      <c r="I1001" s="16">
        <f>IF(@Table1[[#This Row],[Delivery Date]]="","NA",@Table1[[#This Row],[Delivery Date]]+30)</f>
        <v>46132.0</v>
      </c>
      <c r="J1001" s="35" t="s">
        <f t="shared" si="15"/>
        <v>28</v>
      </c>
      <c r="K1001" s="87"/>
      <c r="L1001" s="89"/>
      <c r="M1001" s="89"/>
      <c r="N1001" s="89"/>
    </row>
    <row r="1002" customHeight="1" ht="14.0">
      <c r="A1002" s="64" t="s">
        <v>3040</v>
      </c>
      <c r="B1002" s="22" t="s">
        <v>3041</v>
      </c>
      <c r="C1002" s="64" t="s">
        <v>1561</v>
      </c>
      <c r="D1002" s="65">
        <v>464.0</v>
      </c>
      <c r="E1002" s="34">
        <v>46101</v>
      </c>
      <c r="F1002" s="109" t="s">
        <v>565</v>
      </c>
      <c r="G1002" s="109">
        <v>2.86599574E8</v>
      </c>
      <c r="H1002" s="64" t="s">
        <v>3042</v>
      </c>
      <c r="I1002" s="16">
        <f>IF(@Table1[[#This Row],[Delivery Date]]="","NA",@Table1[[#This Row],[Delivery Date]]+30)</f>
        <v>46131.0</v>
      </c>
      <c r="J1002" s="35" t="s">
        <f t="shared" si="15"/>
        <v>28</v>
      </c>
      <c r="K1002" s="87"/>
      <c r="L1002" s="89"/>
      <c r="M1002" s="89"/>
      <c r="N1002" s="89"/>
    </row>
    <row r="1003" customHeight="1" ht="14.0">
      <c r="A1003" s="64" t="s">
        <v>3043</v>
      </c>
      <c r="B1003" s="22" t="s">
        <v>3044</v>
      </c>
      <c r="C1003" s="64" t="s">
        <v>1319</v>
      </c>
      <c r="D1003" s="65">
        <v>1359.0</v>
      </c>
      <c r="E1003" s="34">
        <v>46102</v>
      </c>
      <c r="F1003" s="109" t="s">
        <v>565</v>
      </c>
      <c r="G1003" s="109">
        <v>2.86599575E8</v>
      </c>
      <c r="H1003" s="64" t="s">
        <v>3045</v>
      </c>
      <c r="I1003" s="16">
        <f>IF(@Table1[[#This Row],[Delivery Date]]="","NA",@Table1[[#This Row],[Delivery Date]]+30)</f>
        <v>46132.0</v>
      </c>
      <c r="J1003" s="35" t="s">
        <f t="shared" si="15"/>
        <v>28</v>
      </c>
      <c r="K1003" s="87"/>
      <c r="L1003" s="89"/>
      <c r="M1003" s="89"/>
      <c r="N1003" s="89"/>
    </row>
    <row r="1004" customHeight="1" ht="14.0">
      <c r="A1004" s="64" t="s">
        <v>3046</v>
      </c>
      <c r="B1004" s="22" t="s">
        <v>3047</v>
      </c>
      <c r="C1004" s="64" t="s">
        <v>3048</v>
      </c>
      <c r="D1004" s="65">
        <v>1176.0</v>
      </c>
      <c r="E1004" s="34">
        <v>46102</v>
      </c>
      <c r="F1004" s="109" t="s">
        <v>565</v>
      </c>
      <c r="G1004" s="109">
        <v>2.86599576E8</v>
      </c>
      <c r="H1004" s="64" t="s">
        <v>3049</v>
      </c>
      <c r="I1004" s="16">
        <f>IF(@Table1[[#This Row],[Delivery Date]]="","NA",@Table1[[#This Row],[Delivery Date]]+30)</f>
        <v>46132.0</v>
      </c>
      <c r="J1004" s="35" t="s">
        <f t="shared" si="15"/>
        <v>28</v>
      </c>
      <c r="K1004" s="87"/>
      <c r="L1004" s="89"/>
      <c r="M1004" s="89"/>
      <c r="N1004" s="89"/>
    </row>
    <row r="1005" customHeight="1" ht="14.0">
      <c r="A1005" s="64" t="s">
        <v>3050</v>
      </c>
      <c r="B1005" s="22" t="s">
        <v>3051</v>
      </c>
      <c r="C1005" s="64" t="s">
        <v>1319</v>
      </c>
      <c r="D1005" s="65">
        <v>516.0</v>
      </c>
      <c r="E1005" s="34">
        <v>46106</v>
      </c>
      <c r="F1005" s="109" t="s">
        <v>565</v>
      </c>
      <c r="G1005" s="109">
        <v>2.86599577E8</v>
      </c>
      <c r="H1005" s="64" t="s">
        <v>3052</v>
      </c>
      <c r="I1005" s="16">
        <f>IF(@Table1[[#This Row],[Delivery Date]]="","NA",@Table1[[#This Row],[Delivery Date]]+30)</f>
        <v>46136.0</v>
      </c>
      <c r="J1005" s="35" t="s">
        <f t="shared" si="15"/>
        <v>28</v>
      </c>
      <c r="K1005" s="87"/>
      <c r="L1005" s="89"/>
      <c r="M1005" s="89" t="s">
        <v>3053</v>
      </c>
      <c r="N1005" s="89"/>
    </row>
    <row r="1006" customHeight="1" ht="14.0">
      <c r="A1006" s="64" t="s">
        <v>3054</v>
      </c>
      <c r="B1006" s="22" t="s">
        <v>3055</v>
      </c>
      <c r="C1006" s="64" t="s">
        <v>2895</v>
      </c>
      <c r="D1006" s="65">
        <v>488.0</v>
      </c>
      <c r="E1006" s="34">
        <v>46101</v>
      </c>
      <c r="F1006" s="109" t="s">
        <v>565</v>
      </c>
      <c r="G1006" s="109">
        <v>2.86599578E8</v>
      </c>
      <c r="H1006" s="64" t="s">
        <v>3056</v>
      </c>
      <c r="I1006" s="16">
        <f>IF(@Table1[[#This Row],[Delivery Date]]="","NA",@Table1[[#This Row],[Delivery Date]]+30)</f>
        <v>46131.0</v>
      </c>
      <c r="J1006" s="35" t="s">
        <f t="shared" si="15"/>
        <v>28</v>
      </c>
      <c r="K1006" s="87"/>
      <c r="L1006" s="89"/>
      <c r="M1006" s="89"/>
      <c r="N1006" s="89"/>
    </row>
    <row r="1007" customHeight="1" ht="14.0">
      <c r="A1007" s="64" t="s">
        <v>3057</v>
      </c>
      <c r="B1007" s="22" t="s">
        <v>3058</v>
      </c>
      <c r="C1007" s="64" t="s">
        <v>1717</v>
      </c>
      <c r="D1007" s="65">
        <v>688.0</v>
      </c>
      <c r="E1007" s="34">
        <v>46101</v>
      </c>
      <c r="F1007" s="109" t="s">
        <v>565</v>
      </c>
      <c r="G1007" s="109">
        <v>2.86599579E8</v>
      </c>
      <c r="H1007" s="64" t="s">
        <v>3059</v>
      </c>
      <c r="I1007" s="16">
        <f>IF(@Table1[[#This Row],[Delivery Date]]="","NA",@Table1[[#This Row],[Delivery Date]]+30)</f>
        <v>46131.0</v>
      </c>
      <c r="J1007" s="35" t="s">
        <f t="shared" si="15"/>
        <v>28</v>
      </c>
      <c r="K1007" s="87"/>
      <c r="L1007" s="89"/>
      <c r="M1007" s="89"/>
      <c r="N1007" s="89"/>
    </row>
    <row r="1008" customHeight="1" ht="14.0">
      <c r="A1008" s="64" t="s">
        <v>3060</v>
      </c>
      <c r="B1008" s="22" t="s">
        <v>3061</v>
      </c>
      <c r="C1008" s="64" t="s">
        <v>58</v>
      </c>
      <c r="D1008" s="65">
        <v>312.0</v>
      </c>
      <c r="E1008" s="34">
        <v>46101</v>
      </c>
      <c r="F1008" s="109" t="s">
        <v>565</v>
      </c>
      <c r="G1008" s="109">
        <v>2.8659958E8</v>
      </c>
      <c r="H1008" s="64" t="s">
        <v>3062</v>
      </c>
      <c r="I1008" s="16">
        <f>IF(@Table1[[#This Row],[Delivery Date]]="","NA",@Table1[[#This Row],[Delivery Date]]+30)</f>
        <v>46131.0</v>
      </c>
      <c r="J1008" s="35" t="s">
        <f t="shared" si="15"/>
        <v>28</v>
      </c>
      <c r="K1008" s="87"/>
      <c r="L1008" s="89"/>
      <c r="M1008" s="89"/>
      <c r="N1008" s="89"/>
    </row>
    <row r="1009" customHeight="1" ht="14.0">
      <c r="A1009" s="64" t="s">
        <v>3063</v>
      </c>
      <c r="B1009" s="22" t="s">
        <v>3064</v>
      </c>
      <c r="C1009" s="64" t="s">
        <v>1047</v>
      </c>
      <c r="D1009" s="65">
        <v>1740.0</v>
      </c>
      <c r="E1009" s="34">
        <v>46102</v>
      </c>
      <c r="F1009" s="109" t="s">
        <v>565</v>
      </c>
      <c r="G1009" s="109">
        <v>2.86599599E8</v>
      </c>
      <c r="H1009" s="64" t="s">
        <v>3065</v>
      </c>
      <c r="I1009" s="16">
        <f>IF(@Table1[[#This Row],[Delivery Date]]="","NA",@Table1[[#This Row],[Delivery Date]]+30)</f>
        <v>46132.0</v>
      </c>
      <c r="J1009" s="35" t="s">
        <f t="shared" si="15"/>
        <v>28</v>
      </c>
      <c r="K1009" s="87"/>
      <c r="L1009" s="89"/>
      <c r="M1009" s="89"/>
      <c r="N1009" s="89"/>
    </row>
    <row r="1010" customHeight="1" ht="14.0">
      <c r="A1010" s="64" t="s">
        <v>3066</v>
      </c>
      <c r="B1010" s="22" t="s">
        <v>3067</v>
      </c>
      <c r="C1010" s="64" t="s">
        <v>2195</v>
      </c>
      <c r="D1010" s="65">
        <v>2138.0</v>
      </c>
      <c r="E1010" s="34">
        <v>46102</v>
      </c>
      <c r="F1010" s="109" t="s">
        <v>565</v>
      </c>
      <c r="G1010" s="109">
        <v>2.865996E8</v>
      </c>
      <c r="H1010" s="64" t="s">
        <v>3068</v>
      </c>
      <c r="I1010" s="16">
        <f>IF(@Table1[[#This Row],[Delivery Date]]="","NA",@Table1[[#This Row],[Delivery Date]]+30)</f>
        <v>46132.0</v>
      </c>
      <c r="J1010" s="35" t="s">
        <f t="shared" si="15"/>
        <v>28</v>
      </c>
      <c r="K1010" s="87"/>
      <c r="L1010" s="89"/>
      <c r="M1010" s="89" t="s">
        <v>3069</v>
      </c>
      <c r="N1010" s="89"/>
    </row>
    <row r="1011" customHeight="1" ht="14.0">
      <c r="A1011" s="64" t="s">
        <v>3070</v>
      </c>
      <c r="B1011" s="22" t="s">
        <v>3071</v>
      </c>
      <c r="C1011" s="64" t="s">
        <v>1561</v>
      </c>
      <c r="D1011" s="65">
        <v>2420.0</v>
      </c>
      <c r="E1011" s="34"/>
      <c r="F1011" s="109" t="s">
        <v>565</v>
      </c>
      <c r="G1011" s="109">
        <v>2.86616651E8</v>
      </c>
      <c r="H1011" s="64"/>
      <c r="I1011" s="16" t="s">
        <f>IF(@Table1[[#This Row],[Delivery Date]]="","NA",@Table1[[#This Row],[Delivery Date]]+30)</f>
        <v>706</v>
      </c>
      <c r="J1011" s="35" t="s">
        <f t="shared" si="15"/>
        <v>707</v>
      </c>
      <c r="K1011" s="87"/>
      <c r="L1011" s="89"/>
      <c r="M1011" s="89"/>
      <c r="N1011" s="89"/>
    </row>
    <row r="1012" customHeight="1" ht="14.0">
      <c r="A1012" s="64" t="s">
        <v>3072</v>
      </c>
      <c r="B1012" s="22" t="s">
        <v>3073</v>
      </c>
      <c r="C1012" s="64" t="s">
        <v>1047</v>
      </c>
      <c r="D1012" s="65">
        <v>1296.0</v>
      </c>
      <c r="E1012" s="34">
        <v>46102</v>
      </c>
      <c r="F1012" s="109" t="s">
        <v>565</v>
      </c>
      <c r="G1012" s="109">
        <v>2.86616652E8</v>
      </c>
      <c r="H1012" s="64" t="s">
        <v>3074</v>
      </c>
      <c r="I1012" s="16">
        <f>IF(@Table1[[#This Row],[Delivery Date]]="","NA",@Table1[[#This Row],[Delivery Date]]+30)</f>
        <v>46132.0</v>
      </c>
      <c r="J1012" s="35" t="s">
        <f t="shared" si="15"/>
        <v>28</v>
      </c>
      <c r="K1012" s="87"/>
      <c r="L1012" s="89"/>
      <c r="M1012" s="89"/>
      <c r="N1012" s="89"/>
    </row>
    <row r="1013" customHeight="1" ht="14.0">
      <c r="A1013" s="64" t="s">
        <v>3075</v>
      </c>
      <c r="B1013" s="22" t="s">
        <v>3076</v>
      </c>
      <c r="C1013" s="22" t="s">
        <v>1035</v>
      </c>
      <c r="D1013" s="65">
        <v>1477.0</v>
      </c>
      <c r="E1013" s="34">
        <v>46110</v>
      </c>
      <c r="F1013" s="109" t="s">
        <v>565</v>
      </c>
      <c r="G1013" s="109">
        <v>2.86616653E8</v>
      </c>
      <c r="H1013" s="64" t="s">
        <v>3077</v>
      </c>
      <c r="I1013" s="16">
        <f>IF(@Table1[[#This Row],[Delivery Date]]="","NA",@Table1[[#This Row],[Delivery Date]]+30)</f>
        <v>46140.0</v>
      </c>
      <c r="J1013" s="35" t="s">
        <f t="shared" si="15"/>
        <v>28</v>
      </c>
      <c r="K1013" s="87"/>
      <c r="L1013" s="89"/>
      <c r="M1013" s="89"/>
      <c r="N1013" s="89"/>
    </row>
    <row r="1014" customHeight="1" ht="14.0">
      <c r="A1014" s="64" t="s">
        <v>3078</v>
      </c>
      <c r="B1014" s="22" t="s">
        <v>3079</v>
      </c>
      <c r="C1014" s="64" t="s">
        <v>1231</v>
      </c>
      <c r="D1014" s="65">
        <v>561.0</v>
      </c>
      <c r="E1014" s="34">
        <v>46097</v>
      </c>
      <c r="F1014" s="109" t="s">
        <v>1919</v>
      </c>
      <c r="G1014" s="109" t="s">
        <v>1919</v>
      </c>
      <c r="H1014" s="64" t="s">
        <v>3080</v>
      </c>
      <c r="I1014" s="16">
        <f>IF(@Table1[[#This Row],[Delivery Date]]="","NA",@Table1[[#This Row],[Delivery Date]]+30)</f>
        <v>46127.0</v>
      </c>
      <c r="J1014" s="35" t="s">
        <f t="shared" si="15"/>
        <v>28</v>
      </c>
      <c r="K1014" s="87"/>
      <c r="L1014" s="89"/>
      <c r="M1014" s="89"/>
      <c r="N1014" s="89"/>
    </row>
    <row r="1015" customHeight="1" ht="14.0">
      <c r="A1015" s="64" t="s">
        <v>3081</v>
      </c>
      <c r="B1015" s="22" t="s">
        <v>3082</v>
      </c>
      <c r="C1015" s="64" t="s">
        <v>1231</v>
      </c>
      <c r="D1015" s="65">
        <v>544.0</v>
      </c>
      <c r="E1015" s="34">
        <v>46097</v>
      </c>
      <c r="F1015" s="109" t="s">
        <v>1919</v>
      </c>
      <c r="G1015" s="109" t="s">
        <v>1919</v>
      </c>
      <c r="H1015" s="64" t="s">
        <v>3083</v>
      </c>
      <c r="I1015" s="16">
        <f>IF(@Table1[[#This Row],[Delivery Date]]="","NA",@Table1[[#This Row],[Delivery Date]]+30)</f>
        <v>46127.0</v>
      </c>
      <c r="J1015" s="35" t="s">
        <f t="shared" si="15"/>
        <v>28</v>
      </c>
      <c r="K1015" s="87"/>
      <c r="L1015" s="89"/>
      <c r="M1015" s="89"/>
      <c r="N1015" s="89"/>
    </row>
    <row r="1016" customHeight="1" ht="14.0">
      <c r="A1016" s="64" t="s">
        <v>3084</v>
      </c>
      <c r="B1016" s="22" t="s">
        <v>3085</v>
      </c>
      <c r="C1016" s="64" t="s">
        <v>1231</v>
      </c>
      <c r="D1016" s="65">
        <v>761.0</v>
      </c>
      <c r="E1016" s="34">
        <v>46097</v>
      </c>
      <c r="F1016" s="109" t="s">
        <v>1919</v>
      </c>
      <c r="G1016" s="109" t="s">
        <v>1919</v>
      </c>
      <c r="H1016" s="64" t="s">
        <v>3086</v>
      </c>
      <c r="I1016" s="16">
        <f>IF(@Table1[[#This Row],[Delivery Date]]="","NA",@Table1[[#This Row],[Delivery Date]]+30)</f>
        <v>46127.0</v>
      </c>
      <c r="J1016" s="35" t="s">
        <f t="shared" si="15"/>
        <v>28</v>
      </c>
      <c r="K1016" s="87"/>
      <c r="L1016" s="89"/>
      <c r="M1016" s="89"/>
      <c r="N1016" s="89"/>
    </row>
    <row r="1017" customHeight="1" ht="14.0">
      <c r="A1017" s="64" t="s">
        <v>3087</v>
      </c>
      <c r="B1017" s="22" t="s">
        <v>3088</v>
      </c>
      <c r="C1017" s="64" t="s">
        <v>1717</v>
      </c>
      <c r="D1017" s="65">
        <v>1893.0</v>
      </c>
      <c r="E1017" s="34">
        <v>46105</v>
      </c>
      <c r="F1017" s="109" t="s">
        <v>565</v>
      </c>
      <c r="G1017" s="109">
        <v>2.86616663E8</v>
      </c>
      <c r="H1017" s="64" t="s">
        <v>3089</v>
      </c>
      <c r="I1017" s="16">
        <f>IF(@Table1[[#This Row],[Delivery Date]]="","NA",@Table1[[#This Row],[Delivery Date]]+30)</f>
        <v>46135.0</v>
      </c>
      <c r="J1017" s="35" t="s">
        <f t="shared" si="15"/>
        <v>28</v>
      </c>
      <c r="K1017" s="87"/>
      <c r="L1017" s="89"/>
      <c r="M1017" s="89"/>
      <c r="N1017" s="89"/>
    </row>
    <row r="1018" customHeight="1" ht="14.0">
      <c r="A1018" s="64" t="s">
        <v>3090</v>
      </c>
      <c r="B1018" s="22" t="s">
        <v>3091</v>
      </c>
      <c r="C1018" s="64" t="s">
        <v>2195</v>
      </c>
      <c r="D1018" s="65">
        <v>2879.0</v>
      </c>
      <c r="E1018" s="34">
        <v>46105</v>
      </c>
      <c r="F1018" s="109" t="s">
        <v>565</v>
      </c>
      <c r="G1018" s="109">
        <v>2.86616664E8</v>
      </c>
      <c r="H1018" s="64" t="s">
        <v>3092</v>
      </c>
      <c r="I1018" s="16">
        <f>IF(@Table1[[#This Row],[Delivery Date]]="","NA",@Table1[[#This Row],[Delivery Date]]+30)</f>
        <v>46135.0</v>
      </c>
      <c r="J1018" s="35" t="s">
        <f t="shared" si="15"/>
        <v>28</v>
      </c>
      <c r="K1018" s="87"/>
      <c r="L1018" s="89"/>
      <c r="M1018" s="89" t="s">
        <v>3093</v>
      </c>
      <c r="N1018" s="89"/>
    </row>
    <row r="1019" customHeight="1" ht="14.0">
      <c r="A1019" s="64" t="s">
        <v>3094</v>
      </c>
      <c r="B1019" s="22" t="s">
        <v>3095</v>
      </c>
      <c r="C1019" s="64" t="s">
        <v>2895</v>
      </c>
      <c r="D1019" s="65">
        <v>252.0</v>
      </c>
      <c r="E1019" s="34">
        <v>46106</v>
      </c>
      <c r="F1019" s="109" t="s">
        <v>565</v>
      </c>
      <c r="G1019" s="109">
        <v>2.86616707E8</v>
      </c>
      <c r="H1019" s="64" t="s">
        <v>3096</v>
      </c>
      <c r="I1019" s="16">
        <f>IF(@Table1[[#This Row],[Delivery Date]]="","NA",@Table1[[#This Row],[Delivery Date]]+30)</f>
        <v>46136.0</v>
      </c>
      <c r="J1019" s="35" t="s">
        <f t="shared" si="15"/>
        <v>28</v>
      </c>
      <c r="K1019" s="87"/>
      <c r="L1019" s="89"/>
      <c r="M1019" s="89"/>
      <c r="N1019" s="89"/>
    </row>
    <row r="1020" customHeight="1" ht="14.0">
      <c r="A1020" s="64" t="s">
        <v>3097</v>
      </c>
      <c r="B1020" s="22" t="s">
        <v>3098</v>
      </c>
      <c r="C1020" s="64" t="s">
        <v>1047</v>
      </c>
      <c r="D1020" s="65">
        <v>636.0</v>
      </c>
      <c r="E1020" s="34">
        <v>46105</v>
      </c>
      <c r="F1020" s="109" t="s">
        <v>565</v>
      </c>
      <c r="G1020" s="109">
        <v>2.86616708E8</v>
      </c>
      <c r="H1020" s="64" t="s">
        <v>3099</v>
      </c>
      <c r="I1020" s="16">
        <f>IF(@Table1[[#This Row],[Delivery Date]]="","NA",@Table1[[#This Row],[Delivery Date]]+30)</f>
        <v>46135.0</v>
      </c>
      <c r="J1020" s="35" t="s">
        <f t="shared" si="15"/>
        <v>28</v>
      </c>
      <c r="K1020" s="87"/>
      <c r="L1020" s="89"/>
      <c r="M1020" s="89"/>
      <c r="N1020" s="89"/>
    </row>
    <row r="1021" customHeight="1" ht="14.0">
      <c r="A1021" s="64" t="s">
        <v>3100</v>
      </c>
      <c r="B1021" s="22" t="s">
        <v>3101</v>
      </c>
      <c r="C1021" s="64" t="s">
        <v>1717</v>
      </c>
      <c r="D1021" s="65">
        <v>1479.0</v>
      </c>
      <c r="E1021" s="34">
        <v>46107</v>
      </c>
      <c r="F1021" s="109" t="s">
        <v>565</v>
      </c>
      <c r="G1021" s="109">
        <v>2.86616715E8</v>
      </c>
      <c r="H1021" s="64" t="s">
        <v>3102</v>
      </c>
      <c r="I1021" s="16">
        <f>IF(@Table1[[#This Row],[Delivery Date]]="","NA",@Table1[[#This Row],[Delivery Date]]+30)</f>
        <v>46137.0</v>
      </c>
      <c r="J1021" s="35" t="s">
        <f t="shared" si="15"/>
        <v>28</v>
      </c>
      <c r="K1021" s="87"/>
      <c r="L1021" s="89"/>
      <c r="M1021" s="89"/>
      <c r="N1021" s="89"/>
    </row>
    <row r="1022" customHeight="1" ht="14.0">
      <c r="A1022" s="118" t="s">
        <v>3103</v>
      </c>
      <c r="B1022" s="42" t="s">
        <v>3104</v>
      </c>
      <c r="C1022" s="118" t="s">
        <v>1717</v>
      </c>
      <c r="D1022" s="137">
        <v>776.0</v>
      </c>
      <c r="E1022" s="120">
        <v>46107</v>
      </c>
      <c r="F1022" s="122" t="s">
        <v>565</v>
      </c>
      <c r="G1022" s="122">
        <v>2.86616715E8</v>
      </c>
      <c r="H1022" s="118" t="s">
        <v>108</v>
      </c>
      <c r="I1022" s="16">
        <f>IF(@Table1[[#This Row],[Delivery Date]]="","NA",@Table1[[#This Row],[Delivery Date]]+30)</f>
        <v>46137.0</v>
      </c>
      <c r="J1022" s="35" t="s">
        <f t="shared" si="15"/>
        <v>28</v>
      </c>
      <c r="K1022" s="87"/>
      <c r="L1022" s="89"/>
      <c r="M1022" s="89"/>
      <c r="N1022" s="89"/>
    </row>
    <row r="1023" customHeight="1" ht="14.0">
      <c r="A1023" s="64" t="s">
        <v>3105</v>
      </c>
      <c r="B1023" s="22" t="s">
        <v>3106</v>
      </c>
      <c r="C1023" s="64" t="s">
        <v>58</v>
      </c>
      <c r="D1023" s="65">
        <v>975.0</v>
      </c>
      <c r="E1023" s="34">
        <v>46107</v>
      </c>
      <c r="F1023" s="109" t="s">
        <v>565</v>
      </c>
      <c r="G1023" s="109">
        <v>2.86616717E8</v>
      </c>
      <c r="H1023" s="64" t="s">
        <v>3107</v>
      </c>
      <c r="I1023" s="16">
        <f>IF(@Table1[[#This Row],[Delivery Date]]="","NA",@Table1[[#This Row],[Delivery Date]]+30)</f>
        <v>46137.0</v>
      </c>
      <c r="J1023" s="35" t="s">
        <f t="shared" si="15"/>
        <v>28</v>
      </c>
      <c r="K1023" s="87"/>
      <c r="L1023" s="89"/>
      <c r="M1023" s="89"/>
      <c r="N1023" s="89"/>
    </row>
    <row r="1024" customHeight="1" ht="14.0">
      <c r="A1024" s="64" t="s">
        <v>3108</v>
      </c>
      <c r="B1024" s="22" t="s">
        <v>3109</v>
      </c>
      <c r="C1024" s="64" t="s">
        <v>1427</v>
      </c>
      <c r="D1024" s="65">
        <v>526.0</v>
      </c>
      <c r="E1024" s="34">
        <v>46107</v>
      </c>
      <c r="F1024" s="109" t="s">
        <v>565</v>
      </c>
      <c r="G1024" s="109">
        <v>2.86616717E8</v>
      </c>
      <c r="H1024" s="64" t="s">
        <v>3110</v>
      </c>
      <c r="I1024" s="16">
        <f>IF(@Table1[[#This Row],[Delivery Date]]="","NA",@Table1[[#This Row],[Delivery Date]]+30)</f>
        <v>46137.0</v>
      </c>
      <c r="J1024" s="35" t="s">
        <f t="shared" si="15"/>
        <v>28</v>
      </c>
      <c r="K1024" s="87"/>
      <c r="L1024" s="89"/>
      <c r="M1024" s="89"/>
      <c r="N1024" s="89"/>
    </row>
    <row r="1025" customHeight="1" ht="14.0">
      <c r="A1025" s="64" t="s">
        <v>3111</v>
      </c>
      <c r="B1025" s="22" t="s">
        <v>3112</v>
      </c>
      <c r="C1025" s="64" t="s">
        <v>2195</v>
      </c>
      <c r="D1025" s="65">
        <v>1383.0</v>
      </c>
      <c r="E1025" s="34">
        <v>46111</v>
      </c>
      <c r="F1025" s="109" t="s">
        <v>565</v>
      </c>
      <c r="G1025" s="109">
        <v>2.86616719E8</v>
      </c>
      <c r="H1025" s="64" t="s">
        <v>3113</v>
      </c>
      <c r="I1025" s="16">
        <f>IF(@Table1[[#This Row],[Delivery Date]]="","NA",@Table1[[#This Row],[Delivery Date]]+30)</f>
        <v>46141.0</v>
      </c>
      <c r="J1025" s="35" t="s">
        <f t="shared" si="15"/>
        <v>28</v>
      </c>
      <c r="K1025" s="87"/>
      <c r="L1025" s="89"/>
      <c r="M1025" s="89"/>
      <c r="N1025" s="89"/>
    </row>
    <row r="1026" customHeight="1" ht="14.0">
      <c r="A1026" s="64" t="s">
        <v>3114</v>
      </c>
      <c r="B1026" s="22" t="s">
        <v>3115</v>
      </c>
      <c r="C1026" s="22" t="s">
        <v>1035</v>
      </c>
      <c r="D1026" s="65">
        <v>1378.0</v>
      </c>
      <c r="E1026" s="34">
        <v>46104</v>
      </c>
      <c r="F1026" s="109" t="s">
        <v>565</v>
      </c>
      <c r="G1026" s="109">
        <v>2.86616718E8</v>
      </c>
      <c r="H1026" s="64" t="s">
        <v>3116</v>
      </c>
      <c r="I1026" s="16">
        <f>IF(@Table1[[#This Row],[Delivery Date]]="","NA",@Table1[[#This Row],[Delivery Date]]+30)</f>
        <v>46134.0</v>
      </c>
      <c r="J1026" s="35" t="s">
        <f t="shared" si="15"/>
        <v>28</v>
      </c>
      <c r="K1026" s="87"/>
      <c r="L1026" s="89"/>
      <c r="M1026" s="89" t="s">
        <v>3117</v>
      </c>
      <c r="N1026" s="89"/>
    </row>
    <row r="1027" customHeight="1" ht="14.0">
      <c r="A1027" s="64" t="s">
        <v>3118</v>
      </c>
      <c r="B1027" s="22" t="s">
        <v>3119</v>
      </c>
      <c r="C1027" s="64" t="s">
        <v>1728</v>
      </c>
      <c r="D1027" s="65">
        <v>228.0</v>
      </c>
      <c r="E1027" s="34">
        <v>46105</v>
      </c>
      <c r="F1027" s="109" t="s">
        <v>565</v>
      </c>
      <c r="G1027" s="109">
        <v>2.8661672E8</v>
      </c>
      <c r="H1027" s="64" t="s">
        <v>3120</v>
      </c>
      <c r="I1027" s="16">
        <f>IF(@Table1[[#This Row],[Delivery Date]]="","NA",@Table1[[#This Row],[Delivery Date]]+30)</f>
        <v>46135.0</v>
      </c>
      <c r="J1027" s="35" t="s">
        <f t="shared" si="15"/>
        <v>28</v>
      </c>
      <c r="K1027" s="87"/>
      <c r="L1027" s="89"/>
      <c r="M1027" s="89"/>
      <c r="N1027" s="89"/>
    </row>
    <row r="1028" customHeight="1" ht="14.0">
      <c r="A1028" s="64" t="s">
        <v>3121</v>
      </c>
      <c r="B1028" s="22" t="s">
        <v>3122</v>
      </c>
      <c r="C1028" s="64" t="s">
        <v>1728</v>
      </c>
      <c r="D1028" s="65">
        <v>216.0</v>
      </c>
      <c r="E1028" s="34">
        <v>46105</v>
      </c>
      <c r="F1028" s="109" t="s">
        <v>565</v>
      </c>
      <c r="G1028" s="109">
        <v>2.8661672E8</v>
      </c>
      <c r="H1028" s="64" t="s">
        <v>3123</v>
      </c>
      <c r="I1028" s="16">
        <f>IF(@Table1[[#This Row],[Delivery Date]]="","NA",@Table1[[#This Row],[Delivery Date]]+30)</f>
        <v>46135.0</v>
      </c>
      <c r="J1028" s="35" t="s">
        <f t="shared" si="15"/>
        <v>28</v>
      </c>
      <c r="K1028" s="87"/>
      <c r="L1028" s="89"/>
      <c r="M1028" s="89"/>
      <c r="N1028" s="89"/>
    </row>
    <row r="1029" customHeight="1" ht="14.0">
      <c r="A1029" s="64" t="s">
        <v>3124</v>
      </c>
      <c r="B1029" s="22" t="s">
        <v>3125</v>
      </c>
      <c r="C1029" s="64" t="s">
        <v>3126</v>
      </c>
      <c r="D1029" s="65">
        <v>522.0</v>
      </c>
      <c r="E1029" s="34">
        <v>46107</v>
      </c>
      <c r="F1029" s="109" t="s">
        <v>565</v>
      </c>
      <c r="G1029" s="109">
        <v>2.86616721E8</v>
      </c>
      <c r="H1029" s="64" t="s">
        <v>3127</v>
      </c>
      <c r="I1029" s="16">
        <f>IF(@Table1[[#This Row],[Delivery Date]]="","NA",@Table1[[#This Row],[Delivery Date]]+30)</f>
        <v>46137.0</v>
      </c>
      <c r="J1029" s="35" t="s">
        <f t="shared" si="15"/>
        <v>28</v>
      </c>
      <c r="K1029" s="87"/>
      <c r="L1029" s="89"/>
      <c r="M1029" s="89"/>
      <c r="N1029" s="89"/>
    </row>
    <row r="1030" customHeight="1" ht="14.0">
      <c r="A1030" s="64" t="s">
        <v>3128</v>
      </c>
      <c r="B1030" s="22" t="s">
        <v>3129</v>
      </c>
      <c r="C1030" s="64" t="s">
        <v>141</v>
      </c>
      <c r="D1030" s="65">
        <v>1065.0</v>
      </c>
      <c r="E1030" s="34">
        <v>46106</v>
      </c>
      <c r="F1030" s="109" t="s">
        <v>565</v>
      </c>
      <c r="G1030" s="109">
        <v>2.86616722E8</v>
      </c>
      <c r="H1030" s="64" t="s">
        <v>3130</v>
      </c>
      <c r="I1030" s="16">
        <f>IF(@Table1[[#This Row],[Delivery Date]]="","NA",@Table1[[#This Row],[Delivery Date]]+30)</f>
        <v>46136.0</v>
      </c>
      <c r="J1030" s="35" t="s">
        <f t="shared" si="15"/>
        <v>28</v>
      </c>
      <c r="K1030" s="87"/>
      <c r="L1030" s="89"/>
      <c r="M1030" s="89"/>
      <c r="N1030" s="89"/>
    </row>
    <row r="1031" customHeight="1" ht="14.0">
      <c r="A1031" s="64" t="s">
        <v>3131</v>
      </c>
      <c r="B1031" s="22" t="s">
        <v>3132</v>
      </c>
      <c r="C1031" s="64" t="s">
        <v>3048</v>
      </c>
      <c r="D1031" s="65">
        <v>720.0</v>
      </c>
      <c r="E1031" s="34">
        <v>46105</v>
      </c>
      <c r="F1031" s="109" t="s">
        <v>565</v>
      </c>
      <c r="G1031" s="109">
        <v>2.86616723E8</v>
      </c>
      <c r="H1031" s="64" t="s">
        <v>3133</v>
      </c>
      <c r="I1031" s="16">
        <f>IF(@Table1[[#This Row],[Delivery Date]]="","NA",@Table1[[#This Row],[Delivery Date]]+30)</f>
        <v>46135.0</v>
      </c>
      <c r="J1031" s="35" t="s">
        <f t="shared" si="15"/>
        <v>28</v>
      </c>
      <c r="K1031" s="87"/>
      <c r="L1031" s="89"/>
      <c r="M1031" s="89"/>
      <c r="N1031" s="89"/>
    </row>
    <row r="1032" customHeight="1" ht="14.0">
      <c r="A1032" s="64" t="s">
        <v>3134</v>
      </c>
      <c r="B1032" s="22" t="s">
        <v>3135</v>
      </c>
      <c r="C1032" s="64" t="s">
        <v>1066</v>
      </c>
      <c r="D1032" s="65">
        <v>204.0</v>
      </c>
      <c r="E1032" s="34">
        <v>46107</v>
      </c>
      <c r="F1032" s="109" t="s">
        <v>565</v>
      </c>
      <c r="G1032" s="109">
        <v>2.86616724E8</v>
      </c>
      <c r="H1032" s="64" t="s">
        <v>3136</v>
      </c>
      <c r="I1032" s="16">
        <f>IF(@Table1[[#This Row],[Delivery Date]]="","NA",@Table1[[#This Row],[Delivery Date]]+30)</f>
        <v>46137.0</v>
      </c>
      <c r="J1032" s="35" t="s">
        <f t="shared" si="15"/>
        <v>28</v>
      </c>
      <c r="K1032" s="87"/>
      <c r="L1032" s="89"/>
      <c r="M1032" s="89"/>
      <c r="N1032" s="89"/>
    </row>
    <row r="1033" customHeight="1" ht="14.0">
      <c r="A1033" s="64" t="s">
        <v>3137</v>
      </c>
      <c r="B1033" s="22" t="s">
        <v>3138</v>
      </c>
      <c r="C1033" s="64" t="s">
        <v>1066</v>
      </c>
      <c r="D1033" s="65">
        <v>564.0</v>
      </c>
      <c r="E1033" s="34">
        <v>46107</v>
      </c>
      <c r="F1033" s="109" t="s">
        <v>565</v>
      </c>
      <c r="G1033" s="109">
        <v>2.86616724E8</v>
      </c>
      <c r="H1033" s="64" t="s">
        <v>3139</v>
      </c>
      <c r="I1033" s="16">
        <f>IF(@Table1[[#This Row],[Delivery Date]]="","NA",@Table1[[#This Row],[Delivery Date]]+30)</f>
        <v>46137.0</v>
      </c>
      <c r="J1033" s="35" t="s">
        <f t="shared" si="15"/>
        <v>28</v>
      </c>
      <c r="K1033" s="87"/>
      <c r="L1033" s="89"/>
      <c r="M1033" s="89"/>
      <c r="N1033" s="89"/>
    </row>
    <row r="1034" customHeight="1" ht="14.0">
      <c r="A1034" s="64" t="s">
        <v>3140</v>
      </c>
      <c r="B1034" s="22" t="s">
        <v>3141</v>
      </c>
      <c r="C1034" s="64" t="s">
        <v>1284</v>
      </c>
      <c r="D1034" s="65">
        <v>1252.0</v>
      </c>
      <c r="E1034" s="34">
        <v>46127</v>
      </c>
      <c r="F1034" s="109" t="s">
        <v>565</v>
      </c>
      <c r="G1034" s="109">
        <v>2.86616767E8</v>
      </c>
      <c r="H1034" s="64" t="s">
        <v>3142</v>
      </c>
      <c r="I1034" s="16">
        <f>IF(@Table1[[#This Row],[Delivery Date]]="","NA",@Table1[[#This Row],[Delivery Date]]+30)</f>
        <v>46157.0</v>
      </c>
      <c r="J1034" s="35" t="s">
        <f t="shared" si="15"/>
        <v>28</v>
      </c>
      <c r="K1034" s="87"/>
      <c r="L1034" s="89"/>
      <c r="M1034" s="89"/>
      <c r="N1034" s="89"/>
    </row>
    <row r="1035" customHeight="1" ht="14.0">
      <c r="A1035" s="64" t="s">
        <v>3143</v>
      </c>
      <c r="B1035" s="22" t="s">
        <v>3144</v>
      </c>
      <c r="C1035" s="64" t="s">
        <v>1669</v>
      </c>
      <c r="D1035" s="65">
        <v>565.0</v>
      </c>
      <c r="E1035" s="34">
        <v>46109</v>
      </c>
      <c r="F1035" s="109" t="s">
        <v>565</v>
      </c>
      <c r="G1035" s="109">
        <v>2.86616796E8</v>
      </c>
      <c r="H1035" s="64" t="s">
        <v>3145</v>
      </c>
      <c r="I1035" s="16">
        <f>IF(@Table1[[#This Row],[Delivery Date]]="","NA",@Table1[[#This Row],[Delivery Date]]+30)</f>
        <v>46139.0</v>
      </c>
      <c r="J1035" s="35" t="s">
        <f t="shared" si="15"/>
        <v>28</v>
      </c>
      <c r="K1035" s="87"/>
      <c r="L1035" s="89"/>
      <c r="M1035" s="89"/>
      <c r="N1035" s="89"/>
    </row>
    <row r="1036" customHeight="1" ht="14.0">
      <c r="A1036" s="64" t="s">
        <v>3146</v>
      </c>
      <c r="B1036" s="22" t="s">
        <v>3147</v>
      </c>
      <c r="C1036" s="64" t="s">
        <v>1669</v>
      </c>
      <c r="D1036" s="65">
        <v>1263.0</v>
      </c>
      <c r="E1036" s="34">
        <v>46109</v>
      </c>
      <c r="F1036" s="109" t="s">
        <v>565</v>
      </c>
      <c r="G1036" s="109">
        <v>2.86616766E8</v>
      </c>
      <c r="H1036" s="64" t="s">
        <v>3148</v>
      </c>
      <c r="I1036" s="16">
        <f>IF(@Table1[[#This Row],[Delivery Date]]="","NA",@Table1[[#This Row],[Delivery Date]]+30)</f>
        <v>46139.0</v>
      </c>
      <c r="J1036" s="35" t="s">
        <f t="shared" si="15"/>
        <v>28</v>
      </c>
      <c r="K1036" s="87"/>
      <c r="L1036" s="89"/>
      <c r="M1036" s="89"/>
      <c r="N1036" s="89"/>
    </row>
    <row r="1037" customHeight="1" ht="14.0">
      <c r="A1037" s="64" t="s">
        <v>3149</v>
      </c>
      <c r="B1037" s="22" t="s">
        <v>3150</v>
      </c>
      <c r="C1037" s="64" t="s">
        <v>1039</v>
      </c>
      <c r="D1037" s="65">
        <v>1008.0</v>
      </c>
      <c r="E1037" s="34">
        <v>46107</v>
      </c>
      <c r="F1037" s="109" t="s">
        <v>565</v>
      </c>
      <c r="G1037" s="109">
        <v>2.86616763E8</v>
      </c>
      <c r="H1037" s="64" t="s">
        <v>3151</v>
      </c>
      <c r="I1037" s="16">
        <f>IF(@Table1[[#This Row],[Delivery Date]]="","NA",@Table1[[#This Row],[Delivery Date]]+30)</f>
        <v>46137.0</v>
      </c>
      <c r="J1037" s="35" t="s">
        <f t="shared" si="15"/>
        <v>28</v>
      </c>
      <c r="K1037" s="87"/>
      <c r="L1037" s="89"/>
      <c r="M1037" s="89"/>
      <c r="N1037" s="89"/>
    </row>
    <row r="1038" customHeight="1" ht="14.0">
      <c r="A1038" s="64" t="s">
        <v>3152</v>
      </c>
      <c r="B1038" s="22" t="s">
        <v>3153</v>
      </c>
      <c r="C1038" s="64" t="s">
        <v>1039</v>
      </c>
      <c r="D1038" s="65">
        <v>3576.0</v>
      </c>
      <c r="E1038" s="34">
        <v>46111</v>
      </c>
      <c r="F1038" s="109" t="s">
        <v>565</v>
      </c>
      <c r="G1038" s="109">
        <v>2.8661751E8</v>
      </c>
      <c r="H1038" s="64" t="s">
        <v>3154</v>
      </c>
      <c r="I1038" s="16">
        <f>IF(@Table1[[#This Row],[Delivery Date]]="","NA",@Table1[[#This Row],[Delivery Date]]+30)</f>
        <v>46141.0</v>
      </c>
      <c r="J1038" s="35" t="s">
        <f t="shared" si="15"/>
        <v>28</v>
      </c>
      <c r="K1038" s="87"/>
      <c r="L1038" s="89"/>
      <c r="M1038" s="89"/>
      <c r="N1038" s="89"/>
    </row>
    <row r="1039" customHeight="1" ht="14.0">
      <c r="A1039" s="64" t="s">
        <v>3155</v>
      </c>
      <c r="B1039" s="22" t="s">
        <v>3156</v>
      </c>
      <c r="C1039" s="64" t="s">
        <v>2195</v>
      </c>
      <c r="D1039" s="65">
        <v>1148.0</v>
      </c>
      <c r="E1039" s="34">
        <v>46106</v>
      </c>
      <c r="F1039" s="109" t="s">
        <v>565</v>
      </c>
      <c r="G1039" s="109">
        <v>2.86616769E8</v>
      </c>
      <c r="H1039" s="64" t="s">
        <v>3157</v>
      </c>
      <c r="I1039" s="16">
        <f>IF(@Table1[[#This Row],[Delivery Date]]="","NA",@Table1[[#This Row],[Delivery Date]]+30)</f>
        <v>46136.0</v>
      </c>
      <c r="J1039" s="35" t="s">
        <f t="shared" si="15"/>
        <v>28</v>
      </c>
      <c r="K1039" s="87"/>
      <c r="L1039" s="89"/>
      <c r="M1039" s="89"/>
      <c r="N1039" s="89"/>
    </row>
    <row r="1040" customHeight="1" ht="14.0">
      <c r="A1040" s="64" t="s">
        <v>3158</v>
      </c>
      <c r="B1040" s="22" t="s">
        <v>3159</v>
      </c>
      <c r="C1040" s="64" t="s">
        <v>3048</v>
      </c>
      <c r="D1040" s="65">
        <v>648.0</v>
      </c>
      <c r="E1040" s="94">
        <v>46108</v>
      </c>
      <c r="F1040" s="109" t="s">
        <v>565</v>
      </c>
      <c r="G1040" s="109">
        <v>2.86616768E8</v>
      </c>
      <c r="H1040" s="64" t="s">
        <v>3160</v>
      </c>
      <c r="I1040" s="16">
        <f>IF(@Table1[[#This Row],[Delivery Date]]="","NA",@Table1[[#This Row],[Delivery Date]]+30)</f>
        <v>46138.0</v>
      </c>
      <c r="J1040" s="35" t="s">
        <f t="shared" si="15"/>
        <v>28</v>
      </c>
      <c r="K1040" s="87"/>
      <c r="L1040" s="89"/>
      <c r="M1040" s="89"/>
      <c r="N1040" s="89"/>
    </row>
    <row r="1041" customHeight="1" ht="14.0">
      <c r="A1041" s="64" t="s">
        <v>3161</v>
      </c>
      <c r="B1041" s="22" t="s">
        <v>3162</v>
      </c>
      <c r="C1041" s="64" t="s">
        <v>1717</v>
      </c>
      <c r="D1041" s="65">
        <v>360.0</v>
      </c>
      <c r="E1041" s="34">
        <v>46108</v>
      </c>
      <c r="F1041" s="109" t="s">
        <v>565</v>
      </c>
      <c r="G1041" s="109">
        <v>2.8661677E8</v>
      </c>
      <c r="H1041" s="64" t="s">
        <v>3163</v>
      </c>
      <c r="I1041" s="16">
        <f>IF(@Table1[[#This Row],[Delivery Date]]="","NA",@Table1[[#This Row],[Delivery Date]]+30)</f>
        <v>46138.0</v>
      </c>
      <c r="J1041" s="35" t="s">
        <f t="shared" si="15"/>
        <v>28</v>
      </c>
      <c r="K1041" s="87"/>
      <c r="L1041" s="89"/>
      <c r="M1041" s="89"/>
      <c r="N1041" s="89"/>
    </row>
    <row r="1042" customHeight="1" ht="14.0">
      <c r="A1042" s="64" t="s">
        <v>3164</v>
      </c>
      <c r="B1042" s="22" t="s">
        <v>3165</v>
      </c>
      <c r="C1042" s="64" t="s">
        <v>1066</v>
      </c>
      <c r="D1042" s="65">
        <v>348.0</v>
      </c>
      <c r="E1042" s="34">
        <v>46110</v>
      </c>
      <c r="F1042" s="109" t="s">
        <v>565</v>
      </c>
      <c r="G1042" s="109">
        <v>2.86616764E8</v>
      </c>
      <c r="H1042" s="64" t="s">
        <v>3166</v>
      </c>
      <c r="I1042" s="16">
        <f>IF(@Table1[[#This Row],[Delivery Date]]="","NA",@Table1[[#This Row],[Delivery Date]]+30)</f>
        <v>46140.0</v>
      </c>
      <c r="J1042" s="35" t="s">
        <f t="shared" si="15"/>
        <v>28</v>
      </c>
      <c r="K1042" s="87"/>
      <c r="L1042" s="89"/>
      <c r="M1042" s="89"/>
      <c r="N1042" s="89"/>
    </row>
    <row r="1043" customHeight="1" ht="14.0">
      <c r="A1043" s="64" t="s">
        <v>3167</v>
      </c>
      <c r="B1043" s="22" t="s">
        <v>3168</v>
      </c>
      <c r="C1043" s="22" t="s">
        <v>1035</v>
      </c>
      <c r="D1043" s="65">
        <v>2595.0</v>
      </c>
      <c r="E1043" s="34">
        <v>46108</v>
      </c>
      <c r="F1043" s="109" t="s">
        <v>565</v>
      </c>
      <c r="G1043" s="109">
        <v>2.86616765E8</v>
      </c>
      <c r="H1043" s="64" t="s">
        <v>3169</v>
      </c>
      <c r="I1043" s="16">
        <f>IF(@Table1[[#This Row],[Delivery Date]]="","NA",@Table1[[#This Row],[Delivery Date]]+30)</f>
        <v>46138.0</v>
      </c>
      <c r="J1043" s="35" t="s">
        <f t="shared" si="15"/>
        <v>28</v>
      </c>
      <c r="K1043" s="87"/>
      <c r="L1043" s="89"/>
      <c r="M1043" s="89" t="s">
        <v>3170</v>
      </c>
      <c r="N1043" s="89"/>
    </row>
    <row r="1044" customHeight="1" ht="14.0">
      <c r="A1044" s="64" t="s">
        <v>3171</v>
      </c>
      <c r="B1044" s="22" t="s">
        <v>3172</v>
      </c>
      <c r="C1044" s="64" t="s">
        <v>2895</v>
      </c>
      <c r="D1044" s="65">
        <v>523.0</v>
      </c>
      <c r="E1044" s="34">
        <v>46109</v>
      </c>
      <c r="F1044" s="109" t="s">
        <v>565</v>
      </c>
      <c r="G1044" s="109">
        <v>2.86616771E8</v>
      </c>
      <c r="H1044" s="64" t="s">
        <v>3173</v>
      </c>
      <c r="I1044" s="16">
        <f>IF(@Table1[[#This Row],[Delivery Date]]="","NA",@Table1[[#This Row],[Delivery Date]]+30)</f>
        <v>46139.0</v>
      </c>
      <c r="J1044" s="35" t="s">
        <f t="shared" si="15"/>
        <v>28</v>
      </c>
      <c r="K1044" s="87"/>
      <c r="L1044" s="89"/>
      <c r="M1044" s="89" t="s">
        <v>3170</v>
      </c>
      <c r="N1044" s="89"/>
    </row>
    <row r="1045" customHeight="1" ht="14.0">
      <c r="A1045" s="64" t="s">
        <v>3174</v>
      </c>
      <c r="B1045" s="22" t="s">
        <v>3175</v>
      </c>
      <c r="C1045" s="64" t="s">
        <v>1728</v>
      </c>
      <c r="D1045" s="65">
        <v>1104.0</v>
      </c>
      <c r="E1045" s="34">
        <v>46111</v>
      </c>
      <c r="F1045" s="109" t="s">
        <v>565</v>
      </c>
      <c r="G1045" s="109">
        <v>2.86616762E8</v>
      </c>
      <c r="H1045" s="64" t="s">
        <v>3176</v>
      </c>
      <c r="I1045" s="16">
        <f>IF(@Table1[[#This Row],[Delivery Date]]="","NA",@Table1[[#This Row],[Delivery Date]]+30)</f>
        <v>46141.0</v>
      </c>
      <c r="J1045" s="35" t="s">
        <f t="shared" si="15"/>
        <v>28</v>
      </c>
      <c r="K1045" s="87"/>
      <c r="L1045" s="89"/>
      <c r="M1045" s="89"/>
      <c r="N1045" s="89"/>
    </row>
    <row r="1046" customHeight="1" ht="14.0">
      <c r="A1046" s="64" t="s">
        <v>3177</v>
      </c>
      <c r="B1046" s="22" t="s">
        <v>3178</v>
      </c>
      <c r="C1046" s="64" t="s">
        <v>1319</v>
      </c>
      <c r="D1046" s="65">
        <v>1182.0</v>
      </c>
      <c r="E1046" s="34">
        <v>46118</v>
      </c>
      <c r="F1046" s="109" t="s">
        <v>565</v>
      </c>
      <c r="G1046" s="109">
        <v>2.86616791E8</v>
      </c>
      <c r="H1046" s="64" t="s">
        <v>3179</v>
      </c>
      <c r="I1046" s="16">
        <f>IF(@Table1[[#This Row],[Delivery Date]]="","NA",@Table1[[#This Row],[Delivery Date]]+30)</f>
        <v>46148.0</v>
      </c>
      <c r="J1046" s="35" t="s">
        <f t="shared" si="15"/>
        <v>28</v>
      </c>
      <c r="K1046" s="87"/>
      <c r="L1046" s="89"/>
      <c r="M1046" s="89"/>
      <c r="N1046" s="89"/>
    </row>
    <row r="1047" customHeight="1" ht="14.0">
      <c r="A1047" s="64" t="s">
        <v>3180</v>
      </c>
      <c r="B1047" s="22" t="s">
        <v>3181</v>
      </c>
      <c r="C1047" s="64" t="s">
        <v>3182</v>
      </c>
      <c r="D1047" s="65">
        <v>1642.0</v>
      </c>
      <c r="E1047" s="34">
        <v>46123</v>
      </c>
      <c r="F1047" s="109" t="s">
        <v>3183</v>
      </c>
      <c r="G1047" s="109">
        <v>1.846216856E9</v>
      </c>
      <c r="H1047" s="64" t="s">
        <v>3184</v>
      </c>
      <c r="I1047" s="16">
        <f>IF(@Table1[[#This Row],[Delivery Date]]="","NA",@Table1[[#This Row],[Delivery Date]]+30)</f>
        <v>46153.0</v>
      </c>
      <c r="J1047" s="35" t="s">
        <f t="shared" si="15"/>
        <v>28</v>
      </c>
      <c r="K1047" s="87"/>
      <c r="L1047" s="89"/>
      <c r="M1047" s="89"/>
      <c r="N1047" s="89"/>
    </row>
    <row r="1048" customHeight="1" ht="14.0">
      <c r="A1048" s="64" t="s">
        <v>3185</v>
      </c>
      <c r="B1048" s="22" t="s">
        <v>3186</v>
      </c>
      <c r="C1048" s="64" t="s">
        <v>1650</v>
      </c>
      <c r="D1048" s="65">
        <v>1260.0</v>
      </c>
      <c r="E1048" s="34">
        <v>46109</v>
      </c>
      <c r="F1048" s="109" t="s">
        <v>565</v>
      </c>
      <c r="G1048" s="109">
        <v>2.86616793E8</v>
      </c>
      <c r="H1048" s="64" t="s">
        <v>3187</v>
      </c>
      <c r="I1048" s="16">
        <f>IF(@Table1[[#This Row],[Delivery Date]]="","NA",@Table1[[#This Row],[Delivery Date]]+30)</f>
        <v>46139.0</v>
      </c>
      <c r="J1048" s="35" t="s">
        <f t="shared" si="15"/>
        <v>28</v>
      </c>
      <c r="K1048" s="87"/>
      <c r="L1048" s="89"/>
      <c r="M1048" s="89"/>
      <c r="N1048" s="89"/>
    </row>
    <row r="1049" customHeight="1" ht="14.0">
      <c r="A1049" s="64" t="s">
        <v>3188</v>
      </c>
      <c r="B1049" s="22" t="s">
        <v>3189</v>
      </c>
      <c r="C1049" s="64" t="s">
        <v>1650</v>
      </c>
      <c r="D1049" s="65">
        <v>244.0</v>
      </c>
      <c r="E1049" s="34">
        <v>46109</v>
      </c>
      <c r="F1049" s="109" t="s">
        <v>565</v>
      </c>
      <c r="G1049" s="109">
        <v>2.86616793E8</v>
      </c>
      <c r="H1049" s="64" t="s">
        <v>3190</v>
      </c>
      <c r="I1049" s="16">
        <f>IF(@Table1[[#This Row],[Delivery Date]]="","NA",@Table1[[#This Row],[Delivery Date]]+30)</f>
        <v>46139.0</v>
      </c>
      <c r="J1049" s="35" t="s">
        <f t="shared" si="15"/>
        <v>28</v>
      </c>
      <c r="K1049" s="87"/>
      <c r="L1049" s="89"/>
      <c r="M1049" s="89"/>
      <c r="N1049" s="89"/>
    </row>
    <row r="1050" customHeight="1" ht="14.0">
      <c r="A1050" s="64" t="s">
        <v>3191</v>
      </c>
      <c r="B1050" s="22" t="s">
        <v>3192</v>
      </c>
      <c r="C1050" s="64" t="s">
        <v>1427</v>
      </c>
      <c r="D1050" s="65">
        <v>1338.0</v>
      </c>
      <c r="E1050" s="34">
        <v>46108</v>
      </c>
      <c r="F1050" s="109" t="s">
        <v>565</v>
      </c>
      <c r="G1050" s="109">
        <v>2.86616794E8</v>
      </c>
      <c r="H1050" s="64" t="s">
        <v>3193</v>
      </c>
      <c r="I1050" s="16">
        <f>IF(@Table1[[#This Row],[Delivery Date]]="","NA",@Table1[[#This Row],[Delivery Date]]+30)</f>
        <v>46138.0</v>
      </c>
      <c r="J1050" s="35" t="s">
        <f t="shared" si="15"/>
        <v>28</v>
      </c>
      <c r="K1050" s="87"/>
      <c r="L1050" s="89"/>
      <c r="M1050" s="89"/>
      <c r="N1050" s="89"/>
    </row>
    <row r="1051" customHeight="1" ht="14.0">
      <c r="A1051" s="64" t="s">
        <v>3194</v>
      </c>
      <c r="B1051" s="22" t="s">
        <v>3195</v>
      </c>
      <c r="C1051" s="64" t="s">
        <v>1561</v>
      </c>
      <c r="D1051" s="65">
        <v>216.0</v>
      </c>
      <c r="E1051" s="34">
        <v>46108</v>
      </c>
      <c r="F1051" s="109" t="s">
        <v>565</v>
      </c>
      <c r="G1051" s="109">
        <v>2.86616795E8</v>
      </c>
      <c r="H1051" s="64" t="s">
        <v>3196</v>
      </c>
      <c r="I1051" s="16">
        <f>IF(@Table1[[#This Row],[Delivery Date]]="","NA",@Table1[[#This Row],[Delivery Date]]+30)</f>
        <v>46138.0</v>
      </c>
      <c r="J1051" s="35" t="s">
        <f t="shared" si="15"/>
        <v>28</v>
      </c>
      <c r="K1051" s="87"/>
      <c r="L1051" s="89"/>
      <c r="M1051" s="89"/>
      <c r="N1051" s="89"/>
    </row>
    <row r="1052" customHeight="1" ht="14.0">
      <c r="A1052" s="64" t="s">
        <v>3197</v>
      </c>
      <c r="B1052" s="22" t="s">
        <v>3198</v>
      </c>
      <c r="C1052" s="64" t="s">
        <v>1669</v>
      </c>
      <c r="D1052" s="65">
        <v>148.0</v>
      </c>
      <c r="E1052" s="34">
        <v>46109</v>
      </c>
      <c r="F1052" s="109" t="s">
        <v>565</v>
      </c>
      <c r="G1052" s="109">
        <v>2.86616796E8</v>
      </c>
      <c r="H1052" s="64" t="s">
        <v>3199</v>
      </c>
      <c r="I1052" s="16">
        <f>IF(@Table1[[#This Row],[Delivery Date]]="","NA",@Table1[[#This Row],[Delivery Date]]+30)</f>
        <v>46139.0</v>
      </c>
      <c r="J1052" s="35" t="s">
        <f t="shared" si="15"/>
        <v>28</v>
      </c>
      <c r="K1052" s="87"/>
      <c r="L1052" s="89"/>
      <c r="M1052" s="89"/>
      <c r="N1052" s="89"/>
    </row>
    <row r="1053" customHeight="1" ht="14.0">
      <c r="A1053" s="64" t="s">
        <v>3200</v>
      </c>
      <c r="B1053" s="22" t="s">
        <v>3201</v>
      </c>
      <c r="C1053" s="64" t="s">
        <v>2895</v>
      </c>
      <c r="D1053" s="65">
        <v>356.0</v>
      </c>
      <c r="E1053" s="34">
        <v>46108</v>
      </c>
      <c r="F1053" s="109" t="s">
        <v>565</v>
      </c>
      <c r="G1053" s="109">
        <v>2.86616798E8</v>
      </c>
      <c r="H1053" s="64" t="s">
        <v>3202</v>
      </c>
      <c r="I1053" s="16">
        <f>IF(@Table1[[#This Row],[Delivery Date]]="","NA",@Table1[[#This Row],[Delivery Date]]+30)</f>
        <v>46138.0</v>
      </c>
      <c r="J1053" s="35" t="s">
        <f t="shared" si="15"/>
        <v>28</v>
      </c>
      <c r="K1053" s="87"/>
      <c r="L1053" s="89"/>
      <c r="M1053" s="89"/>
      <c r="N1053" s="89"/>
    </row>
    <row r="1054" customHeight="1" ht="14.0">
      <c r="A1054" s="64" t="s">
        <v>3203</v>
      </c>
      <c r="B1054" s="22" t="s">
        <v>3204</v>
      </c>
      <c r="C1054" s="64" t="s">
        <v>1047</v>
      </c>
      <c r="D1054" s="65">
        <v>360.0</v>
      </c>
      <c r="E1054" s="34">
        <v>46107</v>
      </c>
      <c r="F1054" s="109" t="s">
        <v>565</v>
      </c>
      <c r="G1054" s="109">
        <v>2.86616799E8</v>
      </c>
      <c r="H1054" s="64" t="s">
        <v>3205</v>
      </c>
      <c r="I1054" s="16">
        <f>IF(@Table1[[#This Row],[Delivery Date]]="","NA",@Table1[[#This Row],[Delivery Date]]+30)</f>
        <v>46137.0</v>
      </c>
      <c r="J1054" s="35" t="s">
        <f t="shared" si="15"/>
        <v>28</v>
      </c>
      <c r="K1054" s="87"/>
      <c r="L1054" s="89"/>
      <c r="M1054" s="89"/>
      <c r="N1054" s="89"/>
    </row>
    <row r="1055" customHeight="1" ht="14.0">
      <c r="A1055" s="64" t="s">
        <v>3206</v>
      </c>
      <c r="B1055" s="22" t="s">
        <v>3207</v>
      </c>
      <c r="C1055" s="64" t="s">
        <v>1047</v>
      </c>
      <c r="D1055" s="65">
        <v>1452.0</v>
      </c>
      <c r="E1055" s="34">
        <v>46111</v>
      </c>
      <c r="F1055" s="109" t="s">
        <v>565</v>
      </c>
      <c r="G1055" s="109">
        <v>2.86616797E8</v>
      </c>
      <c r="H1055" s="64" t="s">
        <v>3208</v>
      </c>
      <c r="I1055" s="16">
        <f>IF(@Table1[[#This Row],[Delivery Date]]="","NA",@Table1[[#This Row],[Delivery Date]]+30)</f>
        <v>46141.0</v>
      </c>
      <c r="J1055" s="35" t="s">
        <f t="shared" si="15"/>
        <v>28</v>
      </c>
      <c r="K1055" s="87"/>
      <c r="L1055" s="89"/>
      <c r="M1055" s="89"/>
      <c r="N1055" s="89"/>
    </row>
    <row r="1056" customHeight="1" ht="14.0">
      <c r="A1056" s="64" t="s">
        <v>3209</v>
      </c>
      <c r="B1056" s="22" t="s">
        <v>3210</v>
      </c>
      <c r="C1056" s="64" t="s">
        <v>2195</v>
      </c>
      <c r="D1056" s="65">
        <v>1821.0</v>
      </c>
      <c r="E1056" s="34">
        <v>46108</v>
      </c>
      <c r="F1056" s="109" t="s">
        <v>565</v>
      </c>
      <c r="G1056" s="109">
        <v>2.866168E8</v>
      </c>
      <c r="H1056" s="64" t="s">
        <v>3211</v>
      </c>
      <c r="I1056" s="16">
        <f>IF(@Table1[[#This Row],[Delivery Date]]="","NA",@Table1[[#This Row],[Delivery Date]]+30)</f>
        <v>46138.0</v>
      </c>
      <c r="J1056" s="35" t="s">
        <f t="shared" si="15"/>
        <v>28</v>
      </c>
      <c r="K1056" s="87"/>
      <c r="L1056" s="89"/>
      <c r="M1056" s="89" t="s">
        <v>3212</v>
      </c>
      <c r="N1056" s="89"/>
    </row>
    <row r="1057" customHeight="1" ht="14.0">
      <c r="A1057" s="64" t="s">
        <v>3213</v>
      </c>
      <c r="B1057" s="22" t="s">
        <v>3214</v>
      </c>
      <c r="C1057" s="64" t="s">
        <v>3182</v>
      </c>
      <c r="D1057" s="65">
        <v>894.0</v>
      </c>
      <c r="E1057" s="34">
        <v>46114</v>
      </c>
      <c r="F1057" s="109" t="s">
        <v>565</v>
      </c>
      <c r="G1057" s="109">
        <v>2.8661685E8</v>
      </c>
      <c r="H1057" s="64" t="s">
        <v>3215</v>
      </c>
      <c r="I1057" s="16">
        <f>IF(@Table1[[#This Row],[Delivery Date]]="","NA",@Table1[[#This Row],[Delivery Date]]+30)</f>
        <v>46144.0</v>
      </c>
      <c r="J1057" s="35" t="s">
        <f t="shared" si="15"/>
        <v>28</v>
      </c>
      <c r="K1057" s="87"/>
      <c r="L1057" s="89"/>
      <c r="M1057" s="89"/>
      <c r="N1057" s="89"/>
    </row>
    <row r="1058" customHeight="1" ht="14.0">
      <c r="A1058" s="64" t="s">
        <v>3216</v>
      </c>
      <c r="B1058" s="22" t="s">
        <v>3217</v>
      </c>
      <c r="C1058" s="64" t="s">
        <v>1231</v>
      </c>
      <c r="D1058" s="65">
        <v>510.0</v>
      </c>
      <c r="E1058" s="34">
        <v>46104</v>
      </c>
      <c r="F1058" s="109" t="s">
        <v>1919</v>
      </c>
      <c r="G1058" s="109" t="s">
        <v>1919</v>
      </c>
      <c r="H1058" s="64" t="s">
        <v>3218</v>
      </c>
      <c r="I1058" s="16">
        <f>IF(@Table1[[#This Row],[Delivery Date]]="","NA",@Table1[[#This Row],[Delivery Date]]+30)</f>
        <v>46134.0</v>
      </c>
      <c r="J1058" s="35" t="s">
        <f t="shared" si="15"/>
        <v>28</v>
      </c>
      <c r="K1058" s="87"/>
      <c r="L1058" s="89"/>
      <c r="M1058" s="89"/>
      <c r="N1058" s="89"/>
    </row>
    <row r="1059" customHeight="1" ht="14.0">
      <c r="A1059" s="64" t="s">
        <v>3219</v>
      </c>
      <c r="B1059" s="22" t="s">
        <v>3220</v>
      </c>
      <c r="C1059" s="64" t="s">
        <v>1231</v>
      </c>
      <c r="D1059" s="65">
        <v>964.0</v>
      </c>
      <c r="E1059" s="34">
        <v>46104</v>
      </c>
      <c r="F1059" s="109" t="s">
        <v>1919</v>
      </c>
      <c r="G1059" s="109" t="s">
        <v>1919</v>
      </c>
      <c r="H1059" s="64" t="s">
        <v>3221</v>
      </c>
      <c r="I1059" s="16">
        <f>IF(@Table1[[#This Row],[Delivery Date]]="","NA",@Table1[[#This Row],[Delivery Date]]+30)</f>
        <v>46134.0</v>
      </c>
      <c r="J1059" s="35" t="s">
        <f t="shared" si="15"/>
        <v>28</v>
      </c>
      <c r="K1059" s="87"/>
      <c r="L1059" s="89"/>
      <c r="M1059" s="89"/>
      <c r="N1059" s="89"/>
    </row>
    <row r="1060" customHeight="1" ht="14.0">
      <c r="A1060" s="64" t="s">
        <v>3222</v>
      </c>
      <c r="B1060" s="22" t="s">
        <v>3223</v>
      </c>
      <c r="C1060" s="64" t="s">
        <v>1231</v>
      </c>
      <c r="D1060" s="65">
        <v>323.0</v>
      </c>
      <c r="E1060" s="34">
        <v>46104</v>
      </c>
      <c r="F1060" s="109" t="s">
        <v>1919</v>
      </c>
      <c r="G1060" s="109" t="s">
        <v>1919</v>
      </c>
      <c r="H1060" s="64" t="s">
        <v>3224</v>
      </c>
      <c r="I1060" s="16">
        <f>IF(@Table1[[#This Row],[Delivery Date]]="","NA",@Table1[[#This Row],[Delivery Date]]+30)</f>
        <v>46134.0</v>
      </c>
      <c r="J1060" s="35" t="s">
        <f t="shared" si="15"/>
        <v>28</v>
      </c>
      <c r="K1060" s="87"/>
      <c r="L1060" s="89"/>
      <c r="M1060" s="89"/>
      <c r="N1060" s="89"/>
    </row>
    <row r="1061" customHeight="1" ht="14.0">
      <c r="A1061" s="64" t="s">
        <v>3225</v>
      </c>
      <c r="B1061" s="22" t="s">
        <v>3226</v>
      </c>
      <c r="C1061" s="64" t="s">
        <v>1231</v>
      </c>
      <c r="D1061" s="65">
        <v>337.0</v>
      </c>
      <c r="E1061" s="34">
        <v>46104</v>
      </c>
      <c r="F1061" s="109" t="s">
        <v>1919</v>
      </c>
      <c r="G1061" s="109" t="s">
        <v>1919</v>
      </c>
      <c r="H1061" s="64" t="s">
        <v>3227</v>
      </c>
      <c r="I1061" s="16">
        <f>IF(@Table1[[#This Row],[Delivery Date]]="","NA",@Table1[[#This Row],[Delivery Date]]+30)</f>
        <v>46134.0</v>
      </c>
      <c r="J1061" s="35" t="s">
        <f t="shared" si="15"/>
        <v>28</v>
      </c>
      <c r="K1061" s="87"/>
      <c r="L1061" s="89"/>
      <c r="M1061" s="89"/>
      <c r="N1061" s="89"/>
    </row>
    <row r="1062" customHeight="1" ht="14.0">
      <c r="A1062" s="64" t="s">
        <v>3228</v>
      </c>
      <c r="B1062" s="22" t="s">
        <v>3229</v>
      </c>
      <c r="C1062" s="64" t="s">
        <v>1231</v>
      </c>
      <c r="D1062" s="65">
        <v>2079.0</v>
      </c>
      <c r="E1062" s="34">
        <v>46104</v>
      </c>
      <c r="F1062" s="109" t="s">
        <v>1919</v>
      </c>
      <c r="G1062" s="109" t="s">
        <v>1919</v>
      </c>
      <c r="H1062" s="64" t="s">
        <v>3230</v>
      </c>
      <c r="I1062" s="16">
        <f>IF(@Table1[[#This Row],[Delivery Date]]="","NA",@Table1[[#This Row],[Delivery Date]]+30)</f>
        <v>46134.0</v>
      </c>
      <c r="J1062" s="35" t="s">
        <f t="shared" si="15"/>
        <v>28</v>
      </c>
      <c r="K1062" s="87"/>
      <c r="L1062" s="89"/>
      <c r="M1062" s="89"/>
      <c r="N1062" s="89"/>
    </row>
    <row r="1063" customHeight="1" ht="14.0">
      <c r="A1063" s="64" t="s">
        <v>3231</v>
      </c>
      <c r="B1063" s="22" t="s">
        <v>3232</v>
      </c>
      <c r="C1063" s="64" t="s">
        <v>1231</v>
      </c>
      <c r="D1063" s="65">
        <v>964.0</v>
      </c>
      <c r="E1063" s="34">
        <v>46104</v>
      </c>
      <c r="F1063" s="109" t="s">
        <v>1919</v>
      </c>
      <c r="G1063" s="109" t="s">
        <v>1919</v>
      </c>
      <c r="H1063" s="64" t="s">
        <v>3233</v>
      </c>
      <c r="I1063" s="16">
        <f>IF(@Table1[[#This Row],[Delivery Date]]="","NA",@Table1[[#This Row],[Delivery Date]]+30)</f>
        <v>46134.0</v>
      </c>
      <c r="J1063" s="35" t="s">
        <f t="shared" si="15"/>
        <v>28</v>
      </c>
      <c r="K1063" s="87"/>
      <c r="L1063" s="89"/>
      <c r="M1063" s="89"/>
      <c r="N1063" s="89"/>
    </row>
    <row r="1064" customHeight="1" ht="14.0">
      <c r="A1064" s="64" t="s">
        <v>3234</v>
      </c>
      <c r="B1064" s="22" t="s">
        <v>3235</v>
      </c>
      <c r="C1064" s="64" t="s">
        <v>1319</v>
      </c>
      <c r="D1064" s="65">
        <v>114.0</v>
      </c>
      <c r="E1064" s="34">
        <v>46110</v>
      </c>
      <c r="F1064" s="109" t="s">
        <v>565</v>
      </c>
      <c r="G1064" s="109">
        <v>2.86616878E8</v>
      </c>
      <c r="H1064" s="64" t="s">
        <v>3236</v>
      </c>
      <c r="I1064" s="16">
        <f>IF(@Table1[[#This Row],[Delivery Date]]="","NA",@Table1[[#This Row],[Delivery Date]]+30)</f>
        <v>46140.0</v>
      </c>
      <c r="J1064" s="35" t="s">
        <f t="shared" si="15"/>
        <v>28</v>
      </c>
      <c r="K1064" s="87"/>
      <c r="L1064" s="89"/>
      <c r="M1064" s="89"/>
      <c r="N1064" s="89"/>
    </row>
    <row r="1065" customHeight="1" ht="14.0">
      <c r="A1065" s="64" t="s">
        <v>3237</v>
      </c>
      <c r="B1065" s="22" t="s">
        <v>3238</v>
      </c>
      <c r="C1065" s="64" t="s">
        <v>1039</v>
      </c>
      <c r="D1065" s="65">
        <v>5556.0</v>
      </c>
      <c r="E1065" s="34">
        <v>46114</v>
      </c>
      <c r="F1065" s="109" t="s">
        <v>565</v>
      </c>
      <c r="G1065" s="109">
        <v>2.86617509E8</v>
      </c>
      <c r="H1065" s="64" t="s">
        <v>3239</v>
      </c>
      <c r="I1065" s="16">
        <f>IF(@Table1[[#This Row],[Delivery Date]]="","NA",@Table1[[#This Row],[Delivery Date]]+30)</f>
        <v>46144.0</v>
      </c>
      <c r="J1065" s="35" t="s">
        <f t="shared" si="15"/>
        <v>28</v>
      </c>
      <c r="K1065" s="87"/>
      <c r="L1065" s="89"/>
      <c r="M1065" s="89"/>
      <c r="N1065" s="89"/>
    </row>
    <row r="1066" customHeight="1" ht="14.0">
      <c r="A1066" s="64" t="s">
        <v>3240</v>
      </c>
      <c r="B1066" s="22" t="s">
        <v>3241</v>
      </c>
      <c r="C1066" s="64" t="s">
        <v>2895</v>
      </c>
      <c r="D1066" s="65">
        <v>797.0</v>
      </c>
      <c r="E1066" s="34">
        <v>46113</v>
      </c>
      <c r="F1066" s="109" t="s">
        <v>565</v>
      </c>
      <c r="G1066" s="109">
        <v>2.86617511E8</v>
      </c>
      <c r="H1066" s="64" t="s">
        <v>3242</v>
      </c>
      <c r="I1066" s="16">
        <f>IF(@Table1[[#This Row],[Delivery Date]]="","NA",@Table1[[#This Row],[Delivery Date]]+30)</f>
        <v>46143.0</v>
      </c>
      <c r="J1066" s="35" t="s">
        <f t="shared" si="15"/>
        <v>28</v>
      </c>
      <c r="K1066" s="87"/>
      <c r="L1066" s="89"/>
      <c r="M1066" s="89"/>
      <c r="N1066" s="89"/>
    </row>
    <row r="1067" customHeight="1" ht="14.0">
      <c r="A1067" s="64" t="s">
        <v>3243</v>
      </c>
      <c r="B1067" s="22" t="s">
        <v>3244</v>
      </c>
      <c r="C1067" s="64" t="s">
        <v>3245</v>
      </c>
      <c r="D1067" s="65">
        <v>540.0</v>
      </c>
      <c r="E1067" s="34">
        <v>46116</v>
      </c>
      <c r="F1067" s="109" t="s">
        <v>565</v>
      </c>
      <c r="G1067" s="109">
        <v>2.86617515E8</v>
      </c>
      <c r="H1067" s="64" t="s">
        <v>3246</v>
      </c>
      <c r="I1067" s="16">
        <f>IF(@Table1[[#This Row],[Delivery Date]]="","NA",@Table1[[#This Row],[Delivery Date]]+30)</f>
        <v>46146.0</v>
      </c>
      <c r="J1067" s="35" t="s">
        <f t="shared" si="15"/>
        <v>28</v>
      </c>
      <c r="K1067" s="87"/>
      <c r="L1067" s="89"/>
      <c r="M1067" s="89"/>
      <c r="N1067" s="89"/>
    </row>
    <row r="1068" customHeight="1" ht="14.0">
      <c r="A1068" s="118" t="s">
        <v>3247</v>
      </c>
      <c r="B1068" s="42" t="s">
        <v>3248</v>
      </c>
      <c r="C1068" s="118" t="s">
        <v>3245</v>
      </c>
      <c r="D1068" s="137">
        <v>256.0</v>
      </c>
      <c r="E1068" s="120">
        <v>46116</v>
      </c>
      <c r="F1068" s="122" t="s">
        <v>565</v>
      </c>
      <c r="G1068" s="122">
        <v>2.86617515E8</v>
      </c>
      <c r="H1068" s="118" t="s">
        <v>108</v>
      </c>
      <c r="I1068" s="16">
        <f>IF(@Table1[[#This Row],[Delivery Date]]="","NA",@Table1[[#This Row],[Delivery Date]]+30)</f>
        <v>46146.0</v>
      </c>
      <c r="J1068" s="35" t="s">
        <f t="shared" si="15"/>
        <v>28</v>
      </c>
      <c r="K1068" s="87"/>
      <c r="L1068" s="89"/>
      <c r="M1068" s="89"/>
      <c r="N1068" s="89"/>
    </row>
    <row r="1069" customHeight="1" ht="14.0">
      <c r="A1069" s="64" t="s">
        <v>3249</v>
      </c>
      <c r="B1069" s="22" t="s">
        <v>3250</v>
      </c>
      <c r="C1069" s="64" t="s">
        <v>141</v>
      </c>
      <c r="D1069" s="65">
        <v>1144.0</v>
      </c>
      <c r="E1069" s="34">
        <v>46117</v>
      </c>
      <c r="F1069" s="109" t="s">
        <v>565</v>
      </c>
      <c r="G1069" s="109">
        <v>2.86617517E8</v>
      </c>
      <c r="H1069" s="64" t="s">
        <v>3251</v>
      </c>
      <c r="I1069" s="16">
        <f>IF(@Table1[[#This Row],[Delivery Date]]="","NA",@Table1[[#This Row],[Delivery Date]]+30)</f>
        <v>46147.0</v>
      </c>
      <c r="J1069" s="35" t="s">
        <f t="shared" si="15"/>
        <v>28</v>
      </c>
      <c r="K1069" s="87"/>
      <c r="L1069" s="89"/>
      <c r="M1069" s="89"/>
      <c r="N1069" s="89"/>
    </row>
    <row r="1070" customHeight="1" ht="14.0">
      <c r="A1070" s="64" t="s">
        <v>3252</v>
      </c>
      <c r="B1070" s="22" t="s">
        <v>3253</v>
      </c>
      <c r="C1070" s="64" t="s">
        <v>1427</v>
      </c>
      <c r="D1070" s="65">
        <v>566.0</v>
      </c>
      <c r="E1070" s="34">
        <v>46113</v>
      </c>
      <c r="F1070" s="109" t="s">
        <v>565</v>
      </c>
      <c r="G1070" s="109">
        <v>2.86617518E8</v>
      </c>
      <c r="H1070" s="64" t="s">
        <v>3254</v>
      </c>
      <c r="I1070" s="16">
        <f>IF(@Table1[[#This Row],[Delivery Date]]="","NA",@Table1[[#This Row],[Delivery Date]]+30)</f>
        <v>46143.0</v>
      </c>
      <c r="J1070" s="35" t="s">
        <f t="shared" si="15"/>
        <v>28</v>
      </c>
      <c r="K1070" s="87"/>
      <c r="L1070" s="89"/>
      <c r="M1070" s="89"/>
      <c r="N1070" s="89"/>
    </row>
    <row r="1071" customHeight="1" ht="14.0">
      <c r="A1071" s="64" t="s">
        <v>3255</v>
      </c>
      <c r="B1071" s="22" t="s">
        <v>3256</v>
      </c>
      <c r="C1071" s="64" t="s">
        <v>3257</v>
      </c>
      <c r="D1071" s="65">
        <v>1285.0</v>
      </c>
      <c r="E1071" s="34">
        <v>46112</v>
      </c>
      <c r="F1071" s="109" t="s">
        <v>565</v>
      </c>
      <c r="G1071" s="109">
        <v>2.86617519E8</v>
      </c>
      <c r="H1071" s="64" t="s">
        <v>3258</v>
      </c>
      <c r="I1071" s="16">
        <f>IF(@Table1[[#This Row],[Delivery Date]]="","NA",@Table1[[#This Row],[Delivery Date]]+30)</f>
        <v>46142.0</v>
      </c>
      <c r="J1071" s="35" t="s">
        <f t="shared" si="15"/>
        <v>28</v>
      </c>
      <c r="K1071" s="87"/>
      <c r="L1071" s="89"/>
      <c r="M1071" s="89"/>
      <c r="N1071" s="89"/>
    </row>
    <row r="1072" customHeight="1" ht="14.0">
      <c r="A1072" s="64" t="s">
        <v>3259</v>
      </c>
      <c r="B1072" s="22" t="s">
        <v>3260</v>
      </c>
      <c r="C1072" s="64" t="s">
        <v>2195</v>
      </c>
      <c r="D1072" s="65">
        <v>1653.0</v>
      </c>
      <c r="E1072" s="34">
        <v>46112</v>
      </c>
      <c r="F1072" s="109" t="s">
        <v>565</v>
      </c>
      <c r="G1072" s="109">
        <v>2.8661752E8</v>
      </c>
      <c r="H1072" s="64" t="s">
        <v>3261</v>
      </c>
      <c r="I1072" s="16">
        <f>IF(@Table1[[#This Row],[Delivery Date]]="","NA",@Table1[[#This Row],[Delivery Date]]+30)</f>
        <v>46142.0</v>
      </c>
      <c r="J1072" s="35" t="s">
        <f t="shared" si="15"/>
        <v>28</v>
      </c>
      <c r="K1072" s="87"/>
      <c r="L1072" s="89"/>
      <c r="M1072" s="89"/>
      <c r="N1072" s="89"/>
    </row>
    <row r="1073" customHeight="1" ht="14.0">
      <c r="A1073" s="64" t="s">
        <v>3262</v>
      </c>
      <c r="B1073" s="22" t="s">
        <v>3263</v>
      </c>
      <c r="C1073" s="64" t="s">
        <v>2895</v>
      </c>
      <c r="D1073" s="65">
        <v>409.0</v>
      </c>
      <c r="E1073" s="34">
        <v>46120</v>
      </c>
      <c r="F1073" s="109" t="s">
        <v>565</v>
      </c>
      <c r="G1073" s="109">
        <v>2.8661755E8</v>
      </c>
      <c r="H1073" s="64" t="s">
        <v>3264</v>
      </c>
      <c r="I1073" s="16">
        <f>IF(@Table1[[#This Row],[Delivery Date]]="","NA",@Table1[[#This Row],[Delivery Date]]+30)</f>
        <v>46150.0</v>
      </c>
      <c r="J1073" s="35" t="s">
        <f t="shared" si="15"/>
        <v>28</v>
      </c>
      <c r="K1073" s="87"/>
      <c r="L1073" s="89"/>
      <c r="M1073" s="89"/>
      <c r="N1073" s="89"/>
    </row>
    <row r="1074" customHeight="1" ht="14.0">
      <c r="A1074" s="64" t="s">
        <v>3265</v>
      </c>
      <c r="B1074" s="22" t="s">
        <v>3266</v>
      </c>
      <c r="C1074" s="64" t="s">
        <v>141</v>
      </c>
      <c r="D1074" s="65">
        <v>1294.0</v>
      </c>
      <c r="E1074" s="34">
        <v>46117</v>
      </c>
      <c r="F1074" s="109" t="s">
        <v>565</v>
      </c>
      <c r="G1074" s="109">
        <v>2.86617547E8</v>
      </c>
      <c r="H1074" s="64" t="s">
        <v>3267</v>
      </c>
      <c r="I1074" s="16">
        <f>IF(@Table1[[#This Row],[Delivery Date]]="","NA",@Table1[[#This Row],[Delivery Date]]+30)</f>
        <v>46147.0</v>
      </c>
      <c r="J1074" s="35" t="s">
        <f t="shared" si="15"/>
        <v>28</v>
      </c>
      <c r="K1074" s="87"/>
      <c r="L1074" s="89"/>
      <c r="M1074" s="89"/>
      <c r="N1074" s="89"/>
    </row>
    <row r="1075" customHeight="1" ht="14.0">
      <c r="A1075" s="64" t="s">
        <v>3268</v>
      </c>
      <c r="B1075" s="22" t="s">
        <v>3269</v>
      </c>
      <c r="C1075" s="64" t="s">
        <v>1717</v>
      </c>
      <c r="D1075" s="65">
        <v>803.0</v>
      </c>
      <c r="E1075" s="34">
        <v>46114</v>
      </c>
      <c r="F1075" s="109" t="s">
        <v>565</v>
      </c>
      <c r="G1075" s="109">
        <v>2.86617548E8</v>
      </c>
      <c r="H1075" s="64" t="s">
        <v>3270</v>
      </c>
      <c r="I1075" s="16">
        <f>IF(@Table1[[#This Row],[Delivery Date]]="","NA",@Table1[[#This Row],[Delivery Date]]+30)</f>
        <v>46144.0</v>
      </c>
      <c r="J1075" s="35" t="s">
        <f t="shared" si="15"/>
        <v>28</v>
      </c>
      <c r="K1075" s="87"/>
      <c r="L1075" s="89"/>
      <c r="M1075" s="89"/>
      <c r="N1075" s="89"/>
    </row>
    <row r="1076" customHeight="1" ht="14.0">
      <c r="A1076" s="64" t="s">
        <v>3271</v>
      </c>
      <c r="B1076" s="22" t="s">
        <v>3272</v>
      </c>
      <c r="C1076" s="64" t="s">
        <v>1066</v>
      </c>
      <c r="D1076" s="65">
        <v>471.0</v>
      </c>
      <c r="E1076" s="34">
        <v>46117</v>
      </c>
      <c r="F1076" s="109" t="s">
        <v>565</v>
      </c>
      <c r="G1076" s="109">
        <v>2.86617565E8</v>
      </c>
      <c r="H1076" s="64" t="s">
        <v>3273</v>
      </c>
      <c r="I1076" s="16">
        <f>IF(@Table1[[#This Row],[Delivery Date]]="","NA",@Table1[[#This Row],[Delivery Date]]+30)</f>
        <v>46147.0</v>
      </c>
      <c r="J1076" s="35" t="s">
        <f t="shared" si="15"/>
        <v>28</v>
      </c>
      <c r="K1076" s="87"/>
      <c r="L1076" s="89"/>
      <c r="M1076" s="89"/>
      <c r="N1076" s="89"/>
    </row>
    <row r="1077" customHeight="1" ht="14.0">
      <c r="A1077" s="64" t="s">
        <v>3274</v>
      </c>
      <c r="B1077" s="22" t="s">
        <v>3275</v>
      </c>
      <c r="C1077" s="64" t="s">
        <v>1561</v>
      </c>
      <c r="D1077" s="65">
        <v>744.0</v>
      </c>
      <c r="E1077" s="34">
        <v>46116</v>
      </c>
      <c r="F1077" s="109" t="s">
        <v>565</v>
      </c>
      <c r="G1077" s="109">
        <v>2.86617564E8</v>
      </c>
      <c r="H1077" s="64" t="s">
        <v>3276</v>
      </c>
      <c r="I1077" s="16">
        <f>IF(@Table1[[#This Row],[Delivery Date]]="","NA",@Table1[[#This Row],[Delivery Date]]+30)</f>
        <v>46146.0</v>
      </c>
      <c r="J1077" s="35" t="s">
        <f t="shared" si="15"/>
        <v>28</v>
      </c>
      <c r="K1077" s="87"/>
      <c r="L1077" s="89"/>
      <c r="M1077" s="89"/>
      <c r="N1077" s="89"/>
    </row>
    <row r="1078" customHeight="1" ht="14.0">
      <c r="A1078" s="64" t="s">
        <v>3277</v>
      </c>
      <c r="B1078" s="22" t="s">
        <v>3278</v>
      </c>
      <c r="C1078" s="64" t="s">
        <v>1728</v>
      </c>
      <c r="D1078" s="65">
        <v>1628.0</v>
      </c>
      <c r="E1078" s="34">
        <v>46117</v>
      </c>
      <c r="F1078" s="109" t="s">
        <v>565</v>
      </c>
      <c r="G1078" s="109">
        <v>2.86617566E8</v>
      </c>
      <c r="H1078" s="64" t="s">
        <v>3279</v>
      </c>
      <c r="I1078" s="16">
        <f>IF(@Table1[[#This Row],[Delivery Date]]="","NA",@Table1[[#This Row],[Delivery Date]]+30)</f>
        <v>46147.0</v>
      </c>
      <c r="J1078" s="35" t="s">
        <f t="shared" si="15"/>
        <v>28</v>
      </c>
      <c r="K1078" s="87"/>
      <c r="L1078" s="89"/>
      <c r="M1078" s="89"/>
      <c r="N1078" s="89"/>
    </row>
    <row r="1079" customHeight="1" ht="14.0">
      <c r="A1079" s="64" t="s">
        <v>3280</v>
      </c>
      <c r="B1079" s="22" t="s">
        <v>3281</v>
      </c>
      <c r="C1079" s="64" t="s">
        <v>1669</v>
      </c>
      <c r="D1079" s="65">
        <v>903.0</v>
      </c>
      <c r="E1079" s="34">
        <v>46117</v>
      </c>
      <c r="F1079" s="109" t="s">
        <v>565</v>
      </c>
      <c r="G1079" s="104">
        <v>2.86617575E8</v>
      </c>
      <c r="H1079" s="64" t="s">
        <v>3282</v>
      </c>
      <c r="I1079" s="16">
        <f>IF(@Table1[[#This Row],[Delivery Date]]="","NA",@Table1[[#This Row],[Delivery Date]]+30)</f>
        <v>46147.0</v>
      </c>
      <c r="J1079" s="35" t="s">
        <f t="shared" si="15"/>
        <v>28</v>
      </c>
      <c r="K1079" s="87"/>
      <c r="L1079" s="89"/>
      <c r="M1079" s="89"/>
      <c r="N1079" s="89"/>
    </row>
    <row r="1080" customHeight="1" ht="14.0">
      <c r="A1080" s="64" t="s">
        <v>3283</v>
      </c>
      <c r="B1080" s="22" t="s">
        <v>3284</v>
      </c>
      <c r="C1080" s="64" t="s">
        <v>1319</v>
      </c>
      <c r="D1080" s="65">
        <v>966.0</v>
      </c>
      <c r="E1080" s="34">
        <v>46117</v>
      </c>
      <c r="F1080" s="109" t="s">
        <v>565</v>
      </c>
      <c r="G1080" s="104">
        <v>2.86617576E8</v>
      </c>
      <c r="H1080" s="64" t="s">
        <v>3285</v>
      </c>
      <c r="I1080" s="16">
        <f>IF(@Table1[[#This Row],[Delivery Date]]="","NA",@Table1[[#This Row],[Delivery Date]]+30)</f>
        <v>46147.0</v>
      </c>
      <c r="J1080" s="35" t="s">
        <f t="shared" si="15"/>
        <v>28</v>
      </c>
      <c r="K1080" s="87"/>
      <c r="L1080" s="89"/>
      <c r="M1080" s="89"/>
      <c r="N1080" s="89"/>
    </row>
    <row r="1081" customHeight="1" ht="14.0">
      <c r="A1081" s="64" t="s">
        <v>3286</v>
      </c>
      <c r="B1081" s="22" t="s">
        <v>3287</v>
      </c>
      <c r="C1081" s="64" t="s">
        <v>1669</v>
      </c>
      <c r="D1081" s="65">
        <v>1665.0</v>
      </c>
      <c r="E1081" s="34">
        <v>46121</v>
      </c>
      <c r="F1081" s="109" t="s">
        <v>565</v>
      </c>
      <c r="G1081" s="104">
        <v>2.86617577E8</v>
      </c>
      <c r="H1081" s="64" t="s">
        <v>3288</v>
      </c>
      <c r="I1081" s="16">
        <f>IF(@Table1[[#This Row],[Delivery Date]]="","NA",@Table1[[#This Row],[Delivery Date]]+30)</f>
        <v>46151.0</v>
      </c>
      <c r="J1081" s="35" t="s">
        <f t="shared" si="15"/>
        <v>28</v>
      </c>
      <c r="K1081" s="87"/>
      <c r="L1081" s="89"/>
      <c r="M1081" s="89"/>
      <c r="N1081" s="89"/>
    </row>
    <row r="1082" customHeight="1" ht="14.0">
      <c r="A1082" s="64" t="s">
        <v>3289</v>
      </c>
      <c r="B1082" s="22" t="s">
        <v>3290</v>
      </c>
      <c r="C1082" s="64" t="s">
        <v>1066</v>
      </c>
      <c r="D1082" s="65">
        <v>981.0</v>
      </c>
      <c r="E1082" s="34">
        <v>46117</v>
      </c>
      <c r="F1082" s="109" t="s">
        <v>565</v>
      </c>
      <c r="G1082" s="104">
        <v>2.86617578E8</v>
      </c>
      <c r="H1082" s="64" t="s">
        <v>3291</v>
      </c>
      <c r="I1082" s="16">
        <f>IF(@Table1[[#This Row],[Delivery Date]]="","NA",@Table1[[#This Row],[Delivery Date]]+30)</f>
        <v>46147.0</v>
      </c>
      <c r="J1082" s="35" t="s">
        <f t="shared" si="15"/>
        <v>28</v>
      </c>
      <c r="K1082" s="87"/>
      <c r="L1082" s="89"/>
      <c r="M1082" s="89"/>
      <c r="N1082" s="89"/>
    </row>
    <row r="1083" customHeight="1" ht="14.0">
      <c r="A1083" s="64" t="s">
        <v>3292</v>
      </c>
      <c r="B1083" s="22" t="s">
        <v>3293</v>
      </c>
      <c r="C1083" s="64" t="s">
        <v>1319</v>
      </c>
      <c r="D1083" s="65">
        <v>1554.0</v>
      </c>
      <c r="E1083" s="34">
        <v>46117</v>
      </c>
      <c r="F1083" s="109" t="s">
        <v>565</v>
      </c>
      <c r="G1083" s="104">
        <v>2.86617579E8</v>
      </c>
      <c r="H1083" s="64" t="s">
        <v>3294</v>
      </c>
      <c r="I1083" s="16">
        <f>IF(@Table1[[#This Row],[Delivery Date]]="","NA",@Table1[[#This Row],[Delivery Date]]+30)</f>
        <v>46147.0</v>
      </c>
      <c r="J1083" s="35" t="s">
        <f t="shared" si="15"/>
        <v>28</v>
      </c>
      <c r="K1083" s="87"/>
      <c r="L1083" s="89"/>
      <c r="M1083" s="89"/>
      <c r="N1083" s="89"/>
    </row>
    <row r="1084" customHeight="1" ht="14.0">
      <c r="A1084" s="64" t="s">
        <v>3295</v>
      </c>
      <c r="B1084" s="22" t="s">
        <v>3296</v>
      </c>
      <c r="C1084" s="64" t="s">
        <v>1047</v>
      </c>
      <c r="D1084" s="65">
        <v>1788.0</v>
      </c>
      <c r="E1084" s="34">
        <v>46120</v>
      </c>
      <c r="F1084" s="109" t="s">
        <v>565</v>
      </c>
      <c r="G1084" s="104">
        <v>2.86617428E8</v>
      </c>
      <c r="H1084" s="64" t="s">
        <v>3297</v>
      </c>
      <c r="I1084" s="16">
        <f>IF(@Table1[[#This Row],[Delivery Date]]="","NA",@Table1[[#This Row],[Delivery Date]]+30)</f>
        <v>46150.0</v>
      </c>
      <c r="J1084" s="35" t="s">
        <f t="shared" si="15"/>
        <v>28</v>
      </c>
      <c r="K1084" s="87"/>
      <c r="L1084" s="89"/>
      <c r="M1084" s="89"/>
      <c r="N1084" s="89"/>
    </row>
    <row r="1085" customHeight="1" ht="14.0">
      <c r="A1085" s="64" t="s">
        <v>3298</v>
      </c>
      <c r="B1085" s="22" t="s">
        <v>3299</v>
      </c>
      <c r="C1085" s="64" t="s">
        <v>1284</v>
      </c>
      <c r="D1085" s="65">
        <v>1558.0</v>
      </c>
      <c r="E1085" s="34">
        <v>46120</v>
      </c>
      <c r="F1085" s="109" t="s">
        <v>3183</v>
      </c>
      <c r="G1085" s="104">
        <v>1.846218626E9</v>
      </c>
      <c r="H1085" s="64" t="s">
        <v>3300</v>
      </c>
      <c r="I1085" s="16">
        <f>IF(@Table1[[#This Row],[Delivery Date]]="","NA",@Table1[[#This Row],[Delivery Date]]+30)</f>
        <v>46150.0</v>
      </c>
      <c r="J1085" s="35" t="s">
        <f t="shared" si="15"/>
        <v>28</v>
      </c>
      <c r="K1085" s="87"/>
      <c r="L1085" s="89"/>
      <c r="M1085" s="89"/>
      <c r="N1085" s="89"/>
    </row>
    <row r="1086" customHeight="1" ht="14.0">
      <c r="A1086" s="64" t="s">
        <v>3301</v>
      </c>
      <c r="B1086" s="22" t="s">
        <v>3302</v>
      </c>
      <c r="C1086" s="64" t="s">
        <v>1231</v>
      </c>
      <c r="D1086" s="65">
        <v>1353.0</v>
      </c>
      <c r="E1086" s="34">
        <v>46120</v>
      </c>
      <c r="F1086" s="109" t="s">
        <v>1919</v>
      </c>
      <c r="G1086" s="104" t="s">
        <v>1919</v>
      </c>
      <c r="H1086" s="64" t="s">
        <v>3303</v>
      </c>
      <c r="I1086" s="16">
        <f>IF(@Table1[[#This Row],[Delivery Date]]="","NA",@Table1[[#This Row],[Delivery Date]]+30)</f>
        <v>46150.0</v>
      </c>
      <c r="J1086" s="35" t="s">
        <f t="shared" si="15"/>
        <v>28</v>
      </c>
      <c r="K1086" s="87"/>
      <c r="L1086" s="89"/>
      <c r="M1086" s="89"/>
      <c r="N1086" s="89"/>
    </row>
    <row r="1087" customHeight="1" ht="14.0">
      <c r="A1087" s="64" t="s">
        <v>3304</v>
      </c>
      <c r="B1087" s="22" t="s">
        <v>3305</v>
      </c>
      <c r="C1087" s="64" t="s">
        <v>1728</v>
      </c>
      <c r="D1087" s="65">
        <v>1260.0</v>
      </c>
      <c r="E1087" s="34">
        <v>46120</v>
      </c>
      <c r="F1087" s="109" t="s">
        <v>565</v>
      </c>
      <c r="G1087" s="104">
        <v>2.86617432E8</v>
      </c>
      <c r="H1087" s="64" t="s">
        <v>3306</v>
      </c>
      <c r="I1087" s="16">
        <f>IF(@Table1[[#This Row],[Delivery Date]]="","NA",@Table1[[#This Row],[Delivery Date]]+30)</f>
        <v>46150.0</v>
      </c>
      <c r="J1087" s="35" t="s">
        <f t="shared" si="15"/>
        <v>28</v>
      </c>
      <c r="K1087" s="87"/>
      <c r="L1087" s="89"/>
      <c r="M1087" s="89"/>
      <c r="N1087" s="89"/>
    </row>
    <row r="1088" customHeight="1" ht="14.0">
      <c r="A1088" s="118" t="s">
        <v>3307</v>
      </c>
      <c r="B1088" s="42" t="s">
        <v>3308</v>
      </c>
      <c r="C1088" s="118" t="s">
        <v>1039</v>
      </c>
      <c r="D1088" s="137">
        <v>5616.0</v>
      </c>
      <c r="E1088" s="120"/>
      <c r="F1088" s="122" t="s">
        <v>565</v>
      </c>
      <c r="G1088" s="143">
        <v>2.86617442E8</v>
      </c>
      <c r="H1088" s="118"/>
      <c r="I1088" s="16" t="s">
        <f>IF(@Table1[[#This Row],[Delivery Date]]="","NA",@Table1[[#This Row],[Delivery Date]]+30)</f>
        <v>706</v>
      </c>
      <c r="J1088" s="35" t="s">
        <f t="shared" si="15"/>
        <v>707</v>
      </c>
      <c r="K1088" s="87"/>
      <c r="L1088" s="89"/>
      <c r="M1088" s="89"/>
      <c r="N1088" s="89"/>
    </row>
    <row r="1089" customHeight="1" ht="14.0">
      <c r="A1089" s="64" t="s">
        <v>3309</v>
      </c>
      <c r="B1089" s="22" t="s">
        <v>3310</v>
      </c>
      <c r="C1089" s="64" t="s">
        <v>1717</v>
      </c>
      <c r="D1089" s="65">
        <v>1036.0</v>
      </c>
      <c r="E1089" s="34">
        <v>46119</v>
      </c>
      <c r="F1089" s="109" t="s">
        <v>565</v>
      </c>
      <c r="G1089" s="104">
        <v>2.86617429E8</v>
      </c>
      <c r="H1089" s="64" t="s">
        <v>3311</v>
      </c>
      <c r="I1089" s="16">
        <f>IF(@Table1[[#This Row],[Delivery Date]]="","NA",@Table1[[#This Row],[Delivery Date]]+30)</f>
        <v>46149.0</v>
      </c>
      <c r="J1089" s="35" t="s">
        <f t="shared" si="15"/>
        <v>28</v>
      </c>
      <c r="K1089" s="87"/>
      <c r="L1089" s="89"/>
      <c r="M1089" s="89"/>
      <c r="N1089" s="89"/>
    </row>
    <row r="1090" customHeight="1" ht="14.0">
      <c r="A1090" s="64" t="s">
        <v>3312</v>
      </c>
      <c r="B1090" s="22" t="s">
        <v>3313</v>
      </c>
      <c r="C1090" s="64" t="s">
        <v>1561</v>
      </c>
      <c r="D1090" s="65">
        <v>756.0</v>
      </c>
      <c r="E1090" s="34">
        <v>46119</v>
      </c>
      <c r="F1090" s="109" t="s">
        <v>565</v>
      </c>
      <c r="G1090" s="104">
        <v>2.86617427E8</v>
      </c>
      <c r="H1090" s="64" t="s">
        <v>3314</v>
      </c>
      <c r="I1090" s="16">
        <f>IF(@Table1[[#This Row],[Delivery Date]]="","NA",@Table1[[#This Row],[Delivery Date]]+30)</f>
        <v>46149.0</v>
      </c>
      <c r="J1090" s="35" t="s">
        <f t="shared" si="15"/>
        <v>28</v>
      </c>
      <c r="K1090" s="87"/>
      <c r="L1090" s="89"/>
      <c r="M1090" s="89"/>
      <c r="N1090" s="89"/>
    </row>
    <row r="1091" customHeight="1" ht="14.0">
      <c r="A1091" s="64" t="s">
        <v>3315</v>
      </c>
      <c r="B1091" s="22" t="s">
        <v>3316</v>
      </c>
      <c r="C1091" s="64" t="s">
        <v>1231</v>
      </c>
      <c r="D1091" s="65">
        <v>453.0</v>
      </c>
      <c r="E1091" s="34">
        <v>46120</v>
      </c>
      <c r="F1091" s="109" t="s">
        <v>1919</v>
      </c>
      <c r="G1091" s="104" t="s">
        <v>1919</v>
      </c>
      <c r="H1091" s="64" t="s">
        <v>3317</v>
      </c>
      <c r="I1091" s="16">
        <f>IF(@Table1[[#This Row],[Delivery Date]]="","NA",@Table1[[#This Row],[Delivery Date]]+30)</f>
        <v>46150.0</v>
      </c>
      <c r="J1091" s="35" t="s">
        <f t="shared" si="15"/>
        <v>28</v>
      </c>
      <c r="K1091" s="87"/>
      <c r="L1091" s="89"/>
      <c r="M1091" s="89"/>
      <c r="N1091" s="89"/>
    </row>
    <row r="1092" customHeight="1" ht="14.0">
      <c r="A1092" s="64" t="s">
        <v>3318</v>
      </c>
      <c r="B1092" s="22" t="s">
        <v>3319</v>
      </c>
      <c r="C1092" s="64" t="s">
        <v>1231</v>
      </c>
      <c r="D1092" s="65">
        <v>360.0</v>
      </c>
      <c r="E1092" s="34">
        <v>46113</v>
      </c>
      <c r="F1092" s="109" t="s">
        <v>1919</v>
      </c>
      <c r="G1092" s="104" t="s">
        <v>1919</v>
      </c>
      <c r="H1092" s="64" t="s">
        <v>3320</v>
      </c>
      <c r="I1092" s="16">
        <f>IF(@Table1[[#This Row],[Delivery Date]]="","NA",@Table1[[#This Row],[Delivery Date]]+30)</f>
        <v>46143.0</v>
      </c>
      <c r="J1092" s="35" t="s">
        <f t="shared" si="15"/>
        <v>28</v>
      </c>
      <c r="K1092" s="87"/>
      <c r="L1092" s="89"/>
      <c r="M1092" s="89"/>
      <c r="N1092" s="89"/>
    </row>
    <row r="1093" customHeight="1" ht="14.0">
      <c r="A1093" s="64" t="s">
        <v>3321</v>
      </c>
      <c r="B1093" s="22" t="s">
        <v>3322</v>
      </c>
      <c r="C1093" s="64" t="s">
        <v>1231</v>
      </c>
      <c r="D1093" s="65">
        <v>246.0</v>
      </c>
      <c r="E1093" s="34">
        <v>46113</v>
      </c>
      <c r="F1093" s="109" t="s">
        <v>1919</v>
      </c>
      <c r="G1093" s="104" t="s">
        <v>1919</v>
      </c>
      <c r="H1093" s="64" t="s">
        <v>3323</v>
      </c>
      <c r="I1093" s="16">
        <f>IF(@Table1[[#This Row],[Delivery Date]]="","NA",@Table1[[#This Row],[Delivery Date]]+30)</f>
        <v>46143.0</v>
      </c>
      <c r="J1093" s="35" t="s">
        <f t="shared" si="15"/>
        <v>28</v>
      </c>
      <c r="K1093" s="87"/>
      <c r="L1093" s="89"/>
      <c r="M1093" s="89"/>
      <c r="N1093" s="89"/>
    </row>
    <row r="1094" customHeight="1" ht="14.0">
      <c r="A1094" s="64" t="s">
        <v>3324</v>
      </c>
      <c r="B1094" s="22" t="s">
        <v>3325</v>
      </c>
      <c r="C1094" s="64" t="s">
        <v>2195</v>
      </c>
      <c r="D1094" s="65">
        <v>4122.0</v>
      </c>
      <c r="E1094" s="34">
        <v>46118</v>
      </c>
      <c r="F1094" s="109" t="s">
        <v>565</v>
      </c>
      <c r="G1094" s="104">
        <v>2.86617426E8</v>
      </c>
      <c r="H1094" s="64" t="s">
        <v>3326</v>
      </c>
      <c r="I1094" s="16">
        <f>IF(@Table1[[#This Row],[Delivery Date]]="","NA",@Table1[[#This Row],[Delivery Date]]+30)</f>
        <v>46148.0</v>
      </c>
      <c r="J1094" s="35" t="s">
        <f t="shared" si="15"/>
        <v>28</v>
      </c>
      <c r="K1094" s="87"/>
      <c r="L1094" s="89"/>
      <c r="M1094" s="89"/>
      <c r="N1094" s="89"/>
    </row>
    <row r="1095" customHeight="1" ht="14.0">
      <c r="A1095" s="64" t="s">
        <v>3327</v>
      </c>
      <c r="B1095" s="22" t="s">
        <v>3328</v>
      </c>
      <c r="C1095" s="64" t="s">
        <v>1047</v>
      </c>
      <c r="D1095" s="65">
        <v>1416.0</v>
      </c>
      <c r="E1095" s="34">
        <v>46120</v>
      </c>
      <c r="F1095" s="109" t="s">
        <v>565</v>
      </c>
      <c r="G1095" s="104">
        <v>2.86617425E8</v>
      </c>
      <c r="H1095" s="64" t="s">
        <v>3329</v>
      </c>
      <c r="I1095" s="16">
        <f>IF(@Table1[[#This Row],[Delivery Date]]="","NA",@Table1[[#This Row],[Delivery Date]]+30)</f>
        <v>46150.0</v>
      </c>
      <c r="J1095" s="35" t="s">
        <f t="shared" si="15"/>
        <v>28</v>
      </c>
      <c r="K1095" s="87"/>
      <c r="L1095" s="89"/>
      <c r="M1095" s="89"/>
      <c r="N1095" s="89"/>
    </row>
    <row r="1096" customHeight="1" ht="14.0">
      <c r="A1096" s="64" t="s">
        <v>3330</v>
      </c>
      <c r="B1096" s="22" t="s">
        <v>3331</v>
      </c>
      <c r="C1096" s="64" t="s">
        <v>3257</v>
      </c>
      <c r="D1096" s="65">
        <v>2055.0</v>
      </c>
      <c r="E1096" s="34">
        <v>46117</v>
      </c>
      <c r="F1096" s="109" t="s">
        <v>565</v>
      </c>
      <c r="G1096" s="104">
        <v>2.8661743E8</v>
      </c>
      <c r="H1096" s="64" t="s">
        <v>3332</v>
      </c>
      <c r="I1096" s="16">
        <f>IF(@Table1[[#This Row],[Delivery Date]]="","NA",@Table1[[#This Row],[Delivery Date]]+30)</f>
        <v>46147.0</v>
      </c>
      <c r="J1096" s="35" t="s">
        <f t="shared" si="15"/>
        <v>28</v>
      </c>
      <c r="K1096" s="87"/>
      <c r="L1096" s="89"/>
      <c r="M1096" s="89"/>
      <c r="N1096" s="89"/>
    </row>
    <row r="1097" customHeight="1" ht="14.0">
      <c r="A1097" s="64" t="s">
        <v>3333</v>
      </c>
      <c r="B1097" s="22" t="s">
        <v>3334</v>
      </c>
      <c r="C1097" s="64" t="s">
        <v>1650</v>
      </c>
      <c r="D1097" s="65">
        <v>432.0</v>
      </c>
      <c r="E1097" s="34">
        <v>46120</v>
      </c>
      <c r="F1097" s="109" t="s">
        <v>565</v>
      </c>
      <c r="G1097" s="104">
        <v>2.86617431E8</v>
      </c>
      <c r="H1097" s="64" t="s">
        <v>3335</v>
      </c>
      <c r="I1097" s="16">
        <f>IF(@Table1[[#This Row],[Delivery Date]]="","NA",@Table1[[#This Row],[Delivery Date]]+30)</f>
        <v>46150.0</v>
      </c>
      <c r="J1097" s="35" t="s">
        <f t="shared" si="15"/>
        <v>28</v>
      </c>
      <c r="K1097" s="87"/>
      <c r="L1097" s="89"/>
      <c r="M1097" s="89"/>
      <c r="N1097" s="89"/>
    </row>
    <row r="1098" customHeight="1" ht="14.0">
      <c r="A1098" s="64" t="s">
        <v>3336</v>
      </c>
      <c r="B1098" s="22" t="s">
        <v>3337</v>
      </c>
      <c r="C1098" s="64" t="s">
        <v>1039</v>
      </c>
      <c r="D1098" s="65">
        <v>324.0</v>
      </c>
      <c r="E1098" s="34">
        <v>46120</v>
      </c>
      <c r="F1098" s="109" t="s">
        <v>565</v>
      </c>
      <c r="G1098" s="104">
        <v>2.86617442E8</v>
      </c>
      <c r="H1098" s="64" t="s">
        <v>3338</v>
      </c>
      <c r="I1098" s="16">
        <f>IF(@Table1[[#This Row],[Delivery Date]]="","NA",@Table1[[#This Row],[Delivery Date]]+30)</f>
        <v>46150.0</v>
      </c>
      <c r="J1098" s="35" t="s">
        <f t="shared" si="15"/>
        <v>28</v>
      </c>
      <c r="K1098" s="87"/>
      <c r="L1098" s="89"/>
      <c r="M1098" s="89"/>
      <c r="N1098" s="89"/>
    </row>
    <row r="1099" customHeight="1" ht="14.0">
      <c r="A1099" s="64" t="s">
        <v>3339</v>
      </c>
      <c r="B1099" s="22" t="s">
        <v>3340</v>
      </c>
      <c r="C1099" s="64" t="s">
        <v>1284</v>
      </c>
      <c r="D1099" s="65">
        <v>1894.0</v>
      </c>
      <c r="E1099" s="34">
        <v>46120</v>
      </c>
      <c r="F1099" s="109" t="s">
        <v>3183</v>
      </c>
      <c r="G1099" s="104">
        <v>1.846218626E9</v>
      </c>
      <c r="H1099" s="64" t="s">
        <v>3341</v>
      </c>
      <c r="I1099" s="16">
        <f>IF(@Table1[[#This Row],[Delivery Date]]="","NA",@Table1[[#This Row],[Delivery Date]]+30)</f>
        <v>46150.0</v>
      </c>
      <c r="J1099" s="35" t="s">
        <f t="shared" si="15"/>
        <v>28</v>
      </c>
      <c r="K1099" s="87"/>
      <c r="L1099" s="89"/>
      <c r="M1099" s="89"/>
      <c r="N1099" s="89"/>
    </row>
    <row r="1100" customHeight="1" ht="14.0">
      <c r="A1100" s="64" t="s">
        <v>3342</v>
      </c>
      <c r="B1100" s="22" t="s">
        <v>3343</v>
      </c>
      <c r="C1100" s="64" t="s">
        <v>1284</v>
      </c>
      <c r="D1100" s="65">
        <v>221.0</v>
      </c>
      <c r="E1100" s="34">
        <v>46120</v>
      </c>
      <c r="F1100" s="109" t="s">
        <v>3183</v>
      </c>
      <c r="G1100" s="104">
        <v>1.846218626E9</v>
      </c>
      <c r="H1100" s="64" t="s">
        <v>3344</v>
      </c>
      <c r="I1100" s="16">
        <f>IF(@Table1[[#This Row],[Delivery Date]]="","NA",@Table1[[#This Row],[Delivery Date]]+30)</f>
        <v>46150.0</v>
      </c>
      <c r="J1100" s="35" t="s">
        <f t="shared" si="15"/>
        <v>28</v>
      </c>
      <c r="K1100" s="87"/>
      <c r="L1100" s="89"/>
      <c r="M1100" s="89"/>
      <c r="N1100" s="89"/>
    </row>
    <row r="1101" customHeight="1" ht="14.0">
      <c r="A1101" s="64" t="s">
        <v>3345</v>
      </c>
      <c r="B1101" s="22" t="s">
        <v>3346</v>
      </c>
      <c r="C1101" s="64" t="s">
        <v>3245</v>
      </c>
      <c r="D1101" s="65">
        <v>396.0</v>
      </c>
      <c r="E1101" s="34">
        <v>46126</v>
      </c>
      <c r="F1101" s="109" t="s">
        <v>565</v>
      </c>
      <c r="G1101" s="104">
        <v>2.86617443E8</v>
      </c>
      <c r="H1101" s="64" t="s">
        <v>3347</v>
      </c>
      <c r="I1101" s="16">
        <f>IF(@Table1[[#This Row],[Delivery Date]]="","NA",@Table1[[#This Row],[Delivery Date]]+30)</f>
        <v>46156.0</v>
      </c>
      <c r="J1101" s="35" t="s">
        <f t="shared" si="15"/>
        <v>28</v>
      </c>
      <c r="K1101" s="87"/>
      <c r="L1101" s="89"/>
      <c r="M1101" s="89"/>
      <c r="N1101" s="89"/>
    </row>
    <row r="1102" customHeight="1" ht="14.0">
      <c r="A1102" s="64" t="s">
        <v>3348</v>
      </c>
      <c r="B1102" s="22" t="s">
        <v>3349</v>
      </c>
      <c r="C1102" s="64" t="s">
        <v>3245</v>
      </c>
      <c r="D1102" s="65">
        <v>360.0</v>
      </c>
      <c r="E1102" s="34">
        <v>46126</v>
      </c>
      <c r="F1102" s="109" t="s">
        <v>565</v>
      </c>
      <c r="G1102" s="104">
        <v>2.86617443E8</v>
      </c>
      <c r="H1102" s="64" t="s">
        <v>3350</v>
      </c>
      <c r="I1102" s="16">
        <f>IF(@Table1[[#This Row],[Delivery Date]]="","NA",@Table1[[#This Row],[Delivery Date]]+30)</f>
        <v>46156.0</v>
      </c>
      <c r="J1102" s="35" t="s">
        <f t="shared" si="15"/>
        <v>28</v>
      </c>
      <c r="K1102" s="87"/>
      <c r="L1102" s="89"/>
      <c r="M1102" s="89"/>
      <c r="N1102" s="89"/>
    </row>
    <row r="1103" customHeight="1" ht="14.0">
      <c r="A1103" s="64" t="s">
        <v>3351</v>
      </c>
      <c r="B1103" s="22" t="s">
        <v>3352</v>
      </c>
      <c r="C1103" s="64" t="s">
        <v>1066</v>
      </c>
      <c r="D1103" s="65">
        <v>348.0</v>
      </c>
      <c r="E1103" s="34">
        <v>46120</v>
      </c>
      <c r="F1103" s="109" t="s">
        <v>565</v>
      </c>
      <c r="G1103" s="104">
        <v>2.86617444E8</v>
      </c>
      <c r="H1103" s="64" t="s">
        <v>3353</v>
      </c>
      <c r="I1103" s="16">
        <f>IF(@Table1[[#This Row],[Delivery Date]]="","NA",@Table1[[#This Row],[Delivery Date]]+30)</f>
        <v>46150.0</v>
      </c>
      <c r="J1103" s="35" t="s">
        <f t="shared" si="15"/>
        <v>28</v>
      </c>
      <c r="K1103" s="87"/>
      <c r="L1103" s="89"/>
      <c r="M1103" s="89"/>
      <c r="N1103" s="89"/>
    </row>
    <row r="1104" customHeight="1" ht="14.0">
      <c r="A1104" s="64" t="s">
        <v>3354</v>
      </c>
      <c r="B1104" s="22" t="s">
        <v>3355</v>
      </c>
      <c r="C1104" s="64" t="s">
        <v>1728</v>
      </c>
      <c r="D1104" s="65">
        <v>376.0</v>
      </c>
      <c r="E1104" s="34">
        <v>46120</v>
      </c>
      <c r="F1104" s="109" t="s">
        <v>565</v>
      </c>
      <c r="G1104" s="104">
        <v>2.86617445E8</v>
      </c>
      <c r="H1104" s="64" t="s">
        <v>3356</v>
      </c>
      <c r="I1104" s="16">
        <f>IF(@Table1[[#This Row],[Delivery Date]]="","NA",@Table1[[#This Row],[Delivery Date]]+30)</f>
        <v>46150.0</v>
      </c>
      <c r="J1104" s="35" t="s">
        <f t="shared" si="15"/>
        <v>28</v>
      </c>
      <c r="K1104" s="87"/>
      <c r="L1104" s="89"/>
      <c r="M1104" s="89"/>
      <c r="N1104" s="89"/>
    </row>
    <row r="1105" customHeight="1" ht="14.0">
      <c r="A1105" s="64" t="s">
        <v>3357</v>
      </c>
      <c r="B1105" s="22" t="s">
        <v>3358</v>
      </c>
      <c r="C1105" s="64" t="s">
        <v>1669</v>
      </c>
      <c r="D1105" s="65">
        <v>268.0</v>
      </c>
      <c r="E1105" s="34">
        <v>46121</v>
      </c>
      <c r="F1105" s="109" t="s">
        <v>565</v>
      </c>
      <c r="G1105" s="104">
        <v>2.86617446E8</v>
      </c>
      <c r="H1105" s="64" t="s">
        <v>3359</v>
      </c>
      <c r="I1105" s="16">
        <f>IF(@Table1[[#This Row],[Delivery Date]]="","NA",@Table1[[#This Row],[Delivery Date]]+30)</f>
        <v>46151.0</v>
      </c>
      <c r="J1105" s="35" t="s">
        <f t="shared" si="15"/>
        <v>28</v>
      </c>
      <c r="K1105" s="87"/>
      <c r="L1105" s="89"/>
      <c r="M1105" s="89"/>
      <c r="N1105" s="89"/>
    </row>
    <row r="1106" customHeight="1" ht="14.0">
      <c r="A1106" s="64" t="s">
        <v>3360</v>
      </c>
      <c r="B1106" s="22" t="s">
        <v>3361</v>
      </c>
      <c r="C1106" s="64" t="s">
        <v>1319</v>
      </c>
      <c r="D1106" s="65">
        <v>268.0</v>
      </c>
      <c r="E1106" s="34">
        <v>46121</v>
      </c>
      <c r="F1106" s="109" t="s">
        <v>565</v>
      </c>
      <c r="G1106" s="104">
        <v>2.8661745E8</v>
      </c>
      <c r="H1106" s="64" t="s">
        <v>3362</v>
      </c>
      <c r="I1106" s="16">
        <f>IF(@Table1[[#This Row],[Delivery Date]]="","NA",@Table1[[#This Row],[Delivery Date]]+30)</f>
        <v>46151.0</v>
      </c>
      <c r="J1106" s="35" t="s">
        <f t="shared" si="15"/>
        <v>28</v>
      </c>
      <c r="K1106" s="87"/>
      <c r="L1106" s="89"/>
      <c r="M1106" s="89"/>
      <c r="N1106" s="89"/>
    </row>
    <row r="1107" customHeight="1" ht="14.0">
      <c r="A1107" s="64" t="s">
        <v>3363</v>
      </c>
      <c r="B1107" s="22" t="s">
        <v>3364</v>
      </c>
      <c r="C1107" s="64" t="s">
        <v>141</v>
      </c>
      <c r="D1107" s="65">
        <v>702.0</v>
      </c>
      <c r="E1107" s="34">
        <v>46125</v>
      </c>
      <c r="F1107" s="109" t="s">
        <v>565</v>
      </c>
      <c r="G1107" s="104">
        <v>2.86617448E8</v>
      </c>
      <c r="H1107" s="64" t="s">
        <v>3365</v>
      </c>
      <c r="I1107" s="16">
        <f>IF(@Table1[[#This Row],[Delivery Date]]="","NA",@Table1[[#This Row],[Delivery Date]]+30)</f>
        <v>46155.0</v>
      </c>
      <c r="J1107" s="35" t="s">
        <f t="shared" si="15"/>
        <v>28</v>
      </c>
      <c r="K1107" s="87"/>
      <c r="L1107" s="89"/>
      <c r="M1107" s="89"/>
      <c r="N1107" s="89"/>
    </row>
    <row r="1108" customHeight="1" ht="14.0">
      <c r="A1108" s="64" t="s">
        <v>3366</v>
      </c>
      <c r="B1108" s="22" t="s">
        <v>3367</v>
      </c>
      <c r="C1108" s="64" t="s">
        <v>3245</v>
      </c>
      <c r="D1108" s="65">
        <v>180.0</v>
      </c>
      <c r="E1108" s="34">
        <v>46122</v>
      </c>
      <c r="F1108" s="109" t="s">
        <v>565</v>
      </c>
      <c r="G1108" s="104">
        <v>2.86617449E8</v>
      </c>
      <c r="H1108" s="64" t="s">
        <v>3368</v>
      </c>
      <c r="I1108" s="16">
        <f>IF(@Table1[[#This Row],[Delivery Date]]="","NA",@Table1[[#This Row],[Delivery Date]]+30)</f>
        <v>46152.0</v>
      </c>
      <c r="J1108" s="35" t="s">
        <f t="shared" si="15"/>
        <v>28</v>
      </c>
      <c r="K1108" s="87"/>
      <c r="L1108" s="89"/>
      <c r="M1108" s="89"/>
      <c r="N1108" s="89"/>
    </row>
    <row r="1109" customHeight="1" ht="14.0">
      <c r="A1109" s="64" t="s">
        <v>3369</v>
      </c>
      <c r="B1109" s="22" t="s">
        <v>3370</v>
      </c>
      <c r="C1109" s="64" t="s">
        <v>1039</v>
      </c>
      <c r="D1109" s="65">
        <v>7308.0</v>
      </c>
      <c r="E1109" s="34">
        <v>46125</v>
      </c>
      <c r="F1109" s="109" t="s">
        <v>565</v>
      </c>
      <c r="G1109" s="104">
        <v>2.86995061E8</v>
      </c>
      <c r="H1109" s="64" t="s">
        <v>3371</v>
      </c>
      <c r="I1109" s="16">
        <f>IF(@Table1[[#This Row],[Delivery Date]]="","NA",@Table1[[#This Row],[Delivery Date]]+30)</f>
        <v>46155.0</v>
      </c>
      <c r="J1109" s="35" t="s">
        <f t="shared" si="15"/>
        <v>28</v>
      </c>
      <c r="K1109" s="87"/>
      <c r="L1109" s="89"/>
      <c r="M1109" s="89"/>
      <c r="N1109" s="89"/>
    </row>
    <row r="1110" customHeight="1" ht="14.0">
      <c r="A1110" s="64" t="s">
        <v>3372</v>
      </c>
      <c r="B1110" s="22" t="s">
        <v>3373</v>
      </c>
      <c r="C1110" s="64" t="s">
        <v>1231</v>
      </c>
      <c r="D1110" s="65">
        <v>406.0</v>
      </c>
      <c r="E1110" s="34">
        <v>46120</v>
      </c>
      <c r="F1110" s="109" t="s">
        <v>1576</v>
      </c>
      <c r="G1110" s="104" t="s">
        <v>1576</v>
      </c>
      <c r="H1110" s="64" t="s">
        <v>3374</v>
      </c>
      <c r="I1110" s="16">
        <f>IF(@Table1[[#This Row],[Delivery Date]]="","NA",@Table1[[#This Row],[Delivery Date]]+30)</f>
        <v>46150.0</v>
      </c>
      <c r="J1110" s="35" t="s">
        <f t="shared" si="15"/>
        <v>28</v>
      </c>
      <c r="K1110" s="87"/>
      <c r="L1110" s="89"/>
      <c r="M1110" s="89"/>
      <c r="N1110" s="89"/>
    </row>
    <row r="1111" customHeight="1" ht="14.0">
      <c r="A1111" s="64" t="s">
        <v>3375</v>
      </c>
      <c r="B1111" s="22" t="s">
        <v>3376</v>
      </c>
      <c r="C1111" s="64" t="s">
        <v>2195</v>
      </c>
      <c r="D1111" s="65">
        <v>260.0</v>
      </c>
      <c r="E1111" s="34">
        <v>46120</v>
      </c>
      <c r="F1111" s="109" t="s">
        <v>565</v>
      </c>
      <c r="G1111" s="104">
        <v>2.86617491E8</v>
      </c>
      <c r="H1111" s="64" t="s">
        <v>3377</v>
      </c>
      <c r="I1111" s="16">
        <f>IF(@Table1[[#This Row],[Delivery Date]]="","NA",@Table1[[#This Row],[Delivery Date]]+30)</f>
        <v>46150.0</v>
      </c>
      <c r="J1111" s="35" t="s">
        <f t="shared" si="15"/>
        <v>28</v>
      </c>
      <c r="K1111" s="87"/>
      <c r="L1111" s="89"/>
      <c r="M1111" s="89"/>
      <c r="N1111" s="89"/>
    </row>
    <row r="1112" customHeight="1" ht="14.0">
      <c r="A1112" s="64" t="s">
        <v>3378</v>
      </c>
      <c r="B1112" s="22" t="s">
        <v>3379</v>
      </c>
      <c r="C1112" s="64" t="s">
        <v>141</v>
      </c>
      <c r="D1112" s="65">
        <v>988.0</v>
      </c>
      <c r="E1112" s="34">
        <v>46125</v>
      </c>
      <c r="F1112" s="109" t="s">
        <v>565</v>
      </c>
      <c r="G1112" s="104">
        <v>2.8661747E8</v>
      </c>
      <c r="H1112" s="64" t="s">
        <v>3380</v>
      </c>
      <c r="I1112" s="16">
        <f>IF(@Table1[[#This Row],[Delivery Date]]="","NA",@Table1[[#This Row],[Delivery Date]]+30)</f>
        <v>46155.0</v>
      </c>
      <c r="J1112" s="35" t="s">
        <f t="shared" si="15"/>
        <v>28</v>
      </c>
      <c r="K1112" s="87"/>
      <c r="L1112" s="89"/>
      <c r="M1112" s="89"/>
      <c r="N1112" s="89"/>
    </row>
    <row r="1113" customHeight="1" ht="14.0">
      <c r="A1113" s="64" t="s">
        <v>3381</v>
      </c>
      <c r="B1113" s="22" t="s">
        <v>3382</v>
      </c>
      <c r="C1113" s="64" t="s">
        <v>3383</v>
      </c>
      <c r="D1113" s="65">
        <v>232.0</v>
      </c>
      <c r="E1113" s="34">
        <v>46128</v>
      </c>
      <c r="F1113" s="109" t="s">
        <v>565</v>
      </c>
      <c r="G1113" s="104">
        <v>2.86617488E8</v>
      </c>
      <c r="H1113" s="64" t="s">
        <v>3384</v>
      </c>
      <c r="I1113" s="16">
        <f>IF(@Table1[[#This Row],[Delivery Date]]="","NA",@Table1[[#This Row],[Delivery Date]]+30)</f>
        <v>46158.0</v>
      </c>
      <c r="J1113" s="35" t="s">
        <f t="shared" si="15"/>
        <v>28</v>
      </c>
      <c r="K1113" s="87"/>
      <c r="L1113" s="89"/>
      <c r="M1113" s="89"/>
      <c r="N1113" s="89"/>
    </row>
    <row r="1114" customHeight="1" ht="14.0">
      <c r="A1114" s="64" t="s">
        <v>3385</v>
      </c>
      <c r="B1114" s="22" t="s">
        <v>3386</v>
      </c>
      <c r="C1114" s="64" t="s">
        <v>1561</v>
      </c>
      <c r="D1114" s="65">
        <v>396.0</v>
      </c>
      <c r="E1114" s="34">
        <v>46126</v>
      </c>
      <c r="F1114" s="109" t="s">
        <v>565</v>
      </c>
      <c r="G1114" s="104">
        <v>2.75780443E8</v>
      </c>
      <c r="H1114" s="64" t="s">
        <v>3387</v>
      </c>
      <c r="I1114" s="16">
        <f>IF(@Table1[[#This Row],[Delivery Date]]="","NA",@Table1[[#This Row],[Delivery Date]]+30)</f>
        <v>46156.0</v>
      </c>
      <c r="J1114" s="35" t="s">
        <f t="shared" si="15"/>
        <v>28</v>
      </c>
      <c r="K1114" s="87"/>
      <c r="L1114" s="89"/>
      <c r="M1114" s="89"/>
      <c r="N1114" s="89"/>
    </row>
    <row r="1115" customHeight="1" ht="14.0">
      <c r="A1115" s="64" t="s">
        <v>3388</v>
      </c>
      <c r="B1115" s="22" t="s">
        <v>3389</v>
      </c>
      <c r="C1115" s="64" t="s">
        <v>3257</v>
      </c>
      <c r="D1115" s="65">
        <v>800.0</v>
      </c>
      <c r="E1115" s="34">
        <v>46126</v>
      </c>
      <c r="F1115" s="109" t="s">
        <v>565</v>
      </c>
      <c r="G1115" s="104">
        <v>2.75780442E8</v>
      </c>
      <c r="H1115" s="64" t="s">
        <v>3390</v>
      </c>
      <c r="I1115" s="16">
        <f>IF(@Table1[[#This Row],[Delivery Date]]="","NA",@Table1[[#This Row],[Delivery Date]]+30)</f>
        <v>46156.0</v>
      </c>
      <c r="J1115" s="35" t="s">
        <f t="shared" si="15"/>
        <v>28</v>
      </c>
      <c r="K1115" s="87"/>
      <c r="L1115" s="89"/>
      <c r="M1115" s="89"/>
      <c r="N1115" s="89"/>
    </row>
    <row r="1116" customHeight="1" ht="14.0">
      <c r="A1116" s="64" t="s">
        <v>3391</v>
      </c>
      <c r="B1116" s="22" t="s">
        <v>3392</v>
      </c>
      <c r="C1116" s="64" t="s">
        <v>1047</v>
      </c>
      <c r="D1116" s="65">
        <v>228.0</v>
      </c>
      <c r="E1116" s="34">
        <v>46126</v>
      </c>
      <c r="F1116" s="109" t="s">
        <v>565</v>
      </c>
      <c r="G1116" s="104">
        <v>2.75780416E8</v>
      </c>
      <c r="H1116" s="64" t="s">
        <v>3393</v>
      </c>
      <c r="I1116" s="16">
        <f>IF(@Table1[[#This Row],[Delivery Date]]="","NA",@Table1[[#This Row],[Delivery Date]]+30)</f>
        <v>46156.0</v>
      </c>
      <c r="J1116" s="35" t="s">
        <f t="shared" si="15"/>
        <v>28</v>
      </c>
      <c r="K1116" s="87"/>
      <c r="L1116" s="89"/>
      <c r="M1116" s="89"/>
      <c r="N1116" s="89"/>
    </row>
    <row r="1117" customHeight="1" ht="14.0">
      <c r="A1117" s="64" t="s">
        <v>3394</v>
      </c>
      <c r="B1117" s="22" t="s">
        <v>3395</v>
      </c>
      <c r="C1117" s="64" t="s">
        <v>2195</v>
      </c>
      <c r="D1117" s="65">
        <v>74.0</v>
      </c>
      <c r="E1117" s="34"/>
      <c r="F1117" s="109" t="s">
        <v>565</v>
      </c>
      <c r="G1117" s="104">
        <v>2.75780407E8</v>
      </c>
      <c r="H1117" s="64"/>
      <c r="I1117" s="16" t="s">
        <f>IF(@Table1[[#This Row],[Delivery Date]]="","NA",@Table1[[#This Row],[Delivery Date]]+30)</f>
        <v>706</v>
      </c>
      <c r="J1117" s="35" t="s">
        <f t="shared" si="15"/>
        <v>707</v>
      </c>
      <c r="K1117" s="87"/>
      <c r="L1117" s="89"/>
      <c r="M1117" s="89"/>
      <c r="N1117" s="89"/>
    </row>
    <row r="1118" customHeight="1" ht="14.0">
      <c r="A1118" s="64" t="s">
        <v>3396</v>
      </c>
      <c r="B1118" s="22" t="s">
        <v>3397</v>
      </c>
      <c r="C1118" s="64" t="s">
        <v>2195</v>
      </c>
      <c r="D1118" s="65">
        <v>877.0</v>
      </c>
      <c r="E1118" s="34">
        <v>46164</v>
      </c>
      <c r="F1118" s="109" t="s">
        <v>565</v>
      </c>
      <c r="G1118" s="104">
        <v>2.75780407E8</v>
      </c>
      <c r="H1118" s="64" t="s">
        <v>3398</v>
      </c>
      <c r="I1118" s="16">
        <f>IF(@Table1[[#This Row],[Delivery Date]]="","NA",@Table1[[#This Row],[Delivery Date]]+30)</f>
        <v>46194.0</v>
      </c>
      <c r="J1118" s="35" t="s">
        <f t="shared" si="15"/>
        <v>28</v>
      </c>
      <c r="K1118" s="87"/>
      <c r="L1118" s="89"/>
      <c r="M1118" s="89"/>
      <c r="N1118" s="89"/>
    </row>
    <row r="1119" customHeight="1" ht="14.0">
      <c r="A1119" s="64" t="s">
        <v>3399</v>
      </c>
      <c r="B1119" s="22" t="s">
        <v>3400</v>
      </c>
      <c r="C1119" s="64" t="s">
        <v>3245</v>
      </c>
      <c r="D1119" s="65">
        <v>224.0</v>
      </c>
      <c r="E1119" s="34">
        <v>46148</v>
      </c>
      <c r="F1119" s="109" t="s">
        <v>565</v>
      </c>
      <c r="G1119" s="104">
        <v>2.75780408E8</v>
      </c>
      <c r="H1119" s="64" t="s">
        <v>3401</v>
      </c>
      <c r="I1119" s="16">
        <f>IF(@Table1[[#This Row],[Delivery Date]]="","NA",@Table1[[#This Row],[Delivery Date]]+30)</f>
        <v>46178.0</v>
      </c>
      <c r="J1119" s="35" t="s">
        <f t="shared" si="15"/>
        <v>28</v>
      </c>
      <c r="K1119" s="87"/>
      <c r="L1119" s="89"/>
      <c r="M1119" s="89"/>
      <c r="N1119" s="89"/>
    </row>
    <row r="1120" customHeight="1" ht="14.0">
      <c r="A1120" s="64" t="s">
        <v>3402</v>
      </c>
      <c r="B1120" s="22" t="s">
        <v>3403</v>
      </c>
      <c r="C1120" s="64" t="s">
        <v>3404</v>
      </c>
      <c r="D1120" s="65">
        <v>752.0</v>
      </c>
      <c r="E1120" s="34">
        <v>46130</v>
      </c>
      <c r="F1120" s="109" t="s">
        <v>565</v>
      </c>
      <c r="G1120" s="104">
        <v>2.75780409E8</v>
      </c>
      <c r="H1120" s="64" t="s">
        <v>3405</v>
      </c>
      <c r="I1120" s="16">
        <f>IF(@Table1[[#This Row],[Delivery Date]]="","NA",@Table1[[#This Row],[Delivery Date]]+30)</f>
        <v>46160.0</v>
      </c>
      <c r="J1120" s="35" t="s">
        <f t="shared" si="15"/>
        <v>28</v>
      </c>
      <c r="K1120" s="87"/>
      <c r="L1120" s="89"/>
      <c r="M1120" s="89"/>
      <c r="N1120" s="89"/>
    </row>
    <row r="1121" customHeight="1" ht="14.0">
      <c r="A1121" s="64" t="s">
        <v>3406</v>
      </c>
      <c r="B1121" s="22" t="s">
        <v>3407</v>
      </c>
      <c r="C1121" s="64" t="s">
        <v>1669</v>
      </c>
      <c r="D1121" s="65">
        <v>584.0</v>
      </c>
      <c r="E1121" s="34">
        <v>46126</v>
      </c>
      <c r="F1121" s="109" t="s">
        <v>565</v>
      </c>
      <c r="G1121" s="104">
        <v>2.7578041E8</v>
      </c>
      <c r="H1121" s="64" t="s">
        <v>3408</v>
      </c>
      <c r="I1121" s="16">
        <f>IF(@Table1[[#This Row],[Delivery Date]]="","NA",@Table1[[#This Row],[Delivery Date]]+30)</f>
        <v>46156.0</v>
      </c>
      <c r="J1121" s="35" t="s">
        <f t="shared" si="15"/>
        <v>28</v>
      </c>
      <c r="K1121" s="87"/>
      <c r="L1121" s="89"/>
      <c r="M1121" s="89"/>
      <c r="N1121" s="89"/>
    </row>
    <row r="1122" customHeight="1" ht="14.0">
      <c r="A1122" s="64" t="s">
        <v>3409</v>
      </c>
      <c r="B1122" s="22" t="s">
        <v>3410</v>
      </c>
      <c r="C1122" s="64" t="s">
        <v>2895</v>
      </c>
      <c r="D1122" s="65">
        <v>389.0</v>
      </c>
      <c r="E1122" s="34">
        <v>46126</v>
      </c>
      <c r="F1122" s="109" t="s">
        <v>565</v>
      </c>
      <c r="G1122" s="104">
        <v>2.75780411E8</v>
      </c>
      <c r="H1122" s="64" t="s">
        <v>3411</v>
      </c>
      <c r="I1122" s="16">
        <f>IF(@Table1[[#This Row],[Delivery Date]]="","NA",@Table1[[#This Row],[Delivery Date]]+30)</f>
        <v>46156.0</v>
      </c>
      <c r="J1122" s="35" t="s">
        <f t="shared" si="15"/>
        <v>28</v>
      </c>
      <c r="K1122" s="87"/>
      <c r="L1122" s="89"/>
      <c r="M1122" s="89"/>
      <c r="N1122" s="89"/>
    </row>
    <row r="1123" customHeight="1" ht="14.0">
      <c r="A1123" s="64" t="s">
        <v>3412</v>
      </c>
      <c r="B1123" s="22" t="s">
        <v>3413</v>
      </c>
      <c r="C1123" s="64" t="s">
        <v>1039</v>
      </c>
      <c r="D1123" s="65">
        <v>892.0</v>
      </c>
      <c r="E1123" s="34">
        <v>46126</v>
      </c>
      <c r="F1123" s="109" t="s">
        <v>565</v>
      </c>
      <c r="G1123" s="104">
        <v>2.75780412E8</v>
      </c>
      <c r="H1123" s="64" t="s">
        <v>3414</v>
      </c>
      <c r="I1123" s="16">
        <f>IF(@Table1[[#This Row],[Delivery Date]]="","NA",@Table1[[#This Row],[Delivery Date]]+30)</f>
        <v>46156.0</v>
      </c>
      <c r="J1123" s="35" t="s">
        <f t="shared" si="15"/>
        <v>28</v>
      </c>
      <c r="K1123" s="87"/>
      <c r="L1123" s="89"/>
      <c r="M1123" s="89"/>
      <c r="N1123" s="89"/>
    </row>
    <row r="1124" customHeight="1" ht="14.0">
      <c r="A1124" s="64" t="s">
        <v>3415</v>
      </c>
      <c r="B1124" s="22" t="s">
        <v>3416</v>
      </c>
      <c r="C1124" s="64" t="s">
        <v>1066</v>
      </c>
      <c r="D1124" s="65">
        <v>513.0</v>
      </c>
      <c r="E1124" s="34">
        <v>46127</v>
      </c>
      <c r="F1124" s="109" t="s">
        <v>565</v>
      </c>
      <c r="G1124" s="104">
        <v>2.75780413E8</v>
      </c>
      <c r="H1124" s="64" t="s">
        <v>3417</v>
      </c>
      <c r="I1124" s="16">
        <f>IF(@Table1[[#This Row],[Delivery Date]]="","NA",@Table1[[#This Row],[Delivery Date]]+30)</f>
        <v>46157.0</v>
      </c>
      <c r="J1124" s="35" t="s">
        <f t="shared" si="15"/>
        <v>28</v>
      </c>
      <c r="K1124" s="87"/>
      <c r="L1124" s="89"/>
      <c r="M1124" s="89"/>
      <c r="N1124" s="89"/>
    </row>
    <row r="1125" customHeight="1" ht="14.0">
      <c r="A1125" s="64" t="s">
        <v>3418</v>
      </c>
      <c r="B1125" s="22" t="s">
        <v>3419</v>
      </c>
      <c r="C1125" s="64" t="s">
        <v>58</v>
      </c>
      <c r="D1125" s="65">
        <v>818.0</v>
      </c>
      <c r="E1125" s="34">
        <v>46126</v>
      </c>
      <c r="F1125" s="109" t="s">
        <v>565</v>
      </c>
      <c r="G1125" s="104">
        <v>2.75780417E8</v>
      </c>
      <c r="H1125" s="64" t="s">
        <v>3420</v>
      </c>
      <c r="I1125" s="16">
        <f>IF(@Table1[[#This Row],[Delivery Date]]="","NA",@Table1[[#This Row],[Delivery Date]]+30)</f>
        <v>46156.0</v>
      </c>
      <c r="J1125" s="35" t="s">
        <f t="shared" si="15"/>
        <v>28</v>
      </c>
      <c r="K1125" s="87"/>
      <c r="L1125" s="89"/>
      <c r="M1125" s="89"/>
      <c r="N1125" s="89"/>
    </row>
    <row r="1126" customHeight="1" ht="14.0">
      <c r="A1126" s="64" t="s">
        <v>3421</v>
      </c>
      <c r="B1126" s="22" t="s">
        <v>3422</v>
      </c>
      <c r="C1126" s="64" t="s">
        <v>3383</v>
      </c>
      <c r="D1126" s="65">
        <v>264.0</v>
      </c>
      <c r="E1126" s="34">
        <v>46127</v>
      </c>
      <c r="F1126" s="109" t="s">
        <v>565</v>
      </c>
      <c r="G1126" s="104">
        <v>2.75780414E8</v>
      </c>
      <c r="H1126" s="64" t="s">
        <v>3423</v>
      </c>
      <c r="I1126" s="16">
        <f>IF(@Table1[[#This Row],[Delivery Date]]="","NA",@Table1[[#This Row],[Delivery Date]]+30)</f>
        <v>46157.0</v>
      </c>
      <c r="J1126" s="35" t="s">
        <f t="shared" si="15"/>
        <v>28</v>
      </c>
      <c r="K1126" s="87"/>
      <c r="L1126" s="89"/>
      <c r="M1126" s="89"/>
      <c r="N1126" s="89"/>
    </row>
    <row r="1127" customHeight="1" ht="14.0">
      <c r="A1127" s="64" t="s">
        <v>3424</v>
      </c>
      <c r="B1127" s="22" t="s">
        <v>3425</v>
      </c>
      <c r="C1127" s="64" t="s">
        <v>3245</v>
      </c>
      <c r="D1127" s="65">
        <v>900.0</v>
      </c>
      <c r="E1127" s="34">
        <v>46157</v>
      </c>
      <c r="F1127" s="109" t="s">
        <v>565</v>
      </c>
      <c r="G1127" s="104">
        <v>2.75780415E8</v>
      </c>
      <c r="H1127" s="64" t="s">
        <v>3423</v>
      </c>
      <c r="I1127" s="16">
        <f>IF(@Table1[[#This Row],[Delivery Date]]="","NA",@Table1[[#This Row],[Delivery Date]]+30)</f>
        <v>46187.0</v>
      </c>
      <c r="J1127" s="35" t="s">
        <f t="shared" si="15"/>
        <v>28</v>
      </c>
      <c r="K1127" s="87"/>
      <c r="L1127" s="89"/>
      <c r="M1127" s="89"/>
      <c r="N1127" s="89"/>
    </row>
    <row r="1128" customHeight="1" ht="14.0">
      <c r="A1128" s="64" t="s">
        <v>3426</v>
      </c>
      <c r="B1128" s="22" t="s">
        <v>3427</v>
      </c>
      <c r="C1128" s="64" t="s">
        <v>3257</v>
      </c>
      <c r="D1128" s="65">
        <v>1017.0</v>
      </c>
      <c r="E1128" s="34">
        <v>46126</v>
      </c>
      <c r="F1128" s="109" t="s">
        <v>565</v>
      </c>
      <c r="G1128" s="104">
        <v>2.75780444E8</v>
      </c>
      <c r="H1128" s="64" t="s">
        <v>3428</v>
      </c>
      <c r="I1128" s="16">
        <f>IF(@Table1[[#This Row],[Delivery Date]]="","NA",@Table1[[#This Row],[Delivery Date]]+30)</f>
        <v>46156.0</v>
      </c>
      <c r="J1128" s="35" t="s">
        <f t="shared" si="15"/>
        <v>28</v>
      </c>
      <c r="K1128" s="87"/>
      <c r="L1128" s="89"/>
      <c r="M1128" s="89"/>
      <c r="N1128" s="89"/>
    </row>
    <row r="1129" customHeight="1" ht="14.0">
      <c r="A1129" s="64" t="s">
        <v>3429</v>
      </c>
      <c r="B1129" s="22" t="s">
        <v>3430</v>
      </c>
      <c r="C1129" s="64" t="s">
        <v>1047</v>
      </c>
      <c r="D1129" s="65">
        <v>396.0</v>
      </c>
      <c r="E1129" s="34">
        <v>46127</v>
      </c>
      <c r="F1129" s="109" t="s">
        <v>565</v>
      </c>
      <c r="G1129" s="104">
        <v>2.75780445E8</v>
      </c>
      <c r="H1129" s="64" t="s">
        <v>3431</v>
      </c>
      <c r="I1129" s="16">
        <f>IF(@Table1[[#This Row],[Delivery Date]]="","NA",@Table1[[#This Row],[Delivery Date]]+30)</f>
        <v>46157.0</v>
      </c>
      <c r="J1129" s="35" t="s">
        <f t="shared" si="15"/>
        <v>28</v>
      </c>
      <c r="K1129" s="87"/>
      <c r="L1129" s="89"/>
      <c r="M1129" s="89"/>
      <c r="N1129" s="89"/>
    </row>
    <row r="1130" customHeight="1" ht="14.0">
      <c r="A1130" s="64" t="s">
        <v>3432</v>
      </c>
      <c r="B1130" s="22" t="s">
        <v>3433</v>
      </c>
      <c r="C1130" s="64" t="s">
        <v>2195</v>
      </c>
      <c r="D1130" s="65">
        <v>1179.0</v>
      </c>
      <c r="E1130" s="34">
        <v>46138</v>
      </c>
      <c r="F1130" s="109" t="s">
        <v>565</v>
      </c>
      <c r="G1130" s="104">
        <v>2.75780446E8</v>
      </c>
      <c r="H1130" s="64" t="s">
        <v>3434</v>
      </c>
      <c r="I1130" s="16">
        <f>IF(@Table1[[#This Row],[Delivery Date]]="","NA",@Table1[[#This Row],[Delivery Date]]+30)</f>
        <v>46168.0</v>
      </c>
      <c r="J1130" s="35" t="s">
        <f t="shared" si="15"/>
        <v>28</v>
      </c>
      <c r="K1130" s="87"/>
      <c r="L1130" s="89"/>
      <c r="M1130" s="89"/>
      <c r="N1130" s="89"/>
    </row>
    <row r="1131" customHeight="1" ht="14.0">
      <c r="A1131" s="64" t="s">
        <v>3435</v>
      </c>
      <c r="B1131" s="22" t="s">
        <v>3436</v>
      </c>
      <c r="C1131" s="64" t="s">
        <v>1284</v>
      </c>
      <c r="D1131" s="65">
        <v>273.0</v>
      </c>
      <c r="E1131" s="34">
        <v>46127</v>
      </c>
      <c r="F1131" s="109" t="s">
        <v>3437</v>
      </c>
      <c r="G1131" s="104">
        <v>1.846220113E9</v>
      </c>
      <c r="H1131" s="64" t="s">
        <v>3438</v>
      </c>
      <c r="I1131" s="16">
        <f>IF(@Table1[[#This Row],[Delivery Date]]="","NA",@Table1[[#This Row],[Delivery Date]]+30)</f>
        <v>46157.0</v>
      </c>
      <c r="J1131" s="35" t="s">
        <f t="shared" si="15"/>
        <v>28</v>
      </c>
      <c r="K1131" s="87"/>
      <c r="L1131" s="89"/>
      <c r="M1131" s="89"/>
      <c r="N1131" s="89"/>
    </row>
    <row r="1132" customHeight="1" ht="14.0">
      <c r="A1132" s="64" t="s">
        <v>3439</v>
      </c>
      <c r="B1132" s="22" t="s">
        <v>3440</v>
      </c>
      <c r="C1132" s="64" t="s">
        <v>1284</v>
      </c>
      <c r="D1132" s="65">
        <v>1605.0</v>
      </c>
      <c r="E1132" s="34">
        <v>46102</v>
      </c>
      <c r="F1132" s="109" t="s">
        <v>3183</v>
      </c>
      <c r="G1132" s="104"/>
      <c r="H1132" s="64" t="s">
        <v>3441</v>
      </c>
      <c r="I1132" s="16">
        <f>IF(@Table1[[#This Row],[Delivery Date]]="","NA",@Table1[[#This Row],[Delivery Date]]+30)</f>
        <v>46132.0</v>
      </c>
      <c r="J1132" s="35" t="s">
        <f t="shared" si="15"/>
        <v>28</v>
      </c>
      <c r="K1132" s="87"/>
      <c r="L1132" s="89"/>
      <c r="M1132" s="89"/>
      <c r="N1132" s="89"/>
    </row>
    <row r="1133" customHeight="1" ht="14.0">
      <c r="A1133" s="64" t="s">
        <v>3442</v>
      </c>
      <c r="B1133" s="22" t="s">
        <v>3443</v>
      </c>
      <c r="C1133" s="64" t="s">
        <v>1047</v>
      </c>
      <c r="D1133" s="65">
        <v>1068.0</v>
      </c>
      <c r="E1133" s="34">
        <v>46130</v>
      </c>
      <c r="F1133" s="109" t="s">
        <v>565</v>
      </c>
      <c r="G1133" s="104">
        <v>2.8659925E8</v>
      </c>
      <c r="H1133" s="64" t="s">
        <v>3444</v>
      </c>
      <c r="I1133" s="16">
        <f>IF(@Table1[[#This Row],[Delivery Date]]="","NA",@Table1[[#This Row],[Delivery Date]]+30)</f>
        <v>46160.0</v>
      </c>
      <c r="J1133" s="35" t="s">
        <f t="shared" si="15"/>
        <v>28</v>
      </c>
      <c r="K1133" s="87"/>
      <c r="L1133" s="89"/>
      <c r="M1133" s="89"/>
      <c r="N1133" s="89"/>
    </row>
    <row r="1134" customHeight="1" ht="14.0">
      <c r="A1134" s="64" t="s">
        <v>3445</v>
      </c>
      <c r="B1134" s="22" t="s">
        <v>3446</v>
      </c>
      <c r="C1134" s="64" t="s">
        <v>1039</v>
      </c>
      <c r="D1134" s="65">
        <v>3616.0</v>
      </c>
      <c r="E1134" s="34">
        <v>46130</v>
      </c>
      <c r="F1134" s="109" t="s">
        <v>565</v>
      </c>
      <c r="G1134" s="104">
        <v>2.86599251E8</v>
      </c>
      <c r="H1134" s="64" t="s">
        <v>3447</v>
      </c>
      <c r="I1134" s="16">
        <f>IF(@Table1[[#This Row],[Delivery Date]]="","NA",@Table1[[#This Row],[Delivery Date]]+30)</f>
        <v>46160.0</v>
      </c>
      <c r="J1134" s="35" t="s">
        <f t="shared" si="15"/>
        <v>28</v>
      </c>
      <c r="K1134" s="87"/>
      <c r="L1134" s="89"/>
      <c r="M1134" s="89"/>
      <c r="N1134" s="89"/>
    </row>
    <row r="1135" customHeight="1" ht="14.0">
      <c r="A1135" s="64" t="s">
        <v>3448</v>
      </c>
      <c r="B1135" s="22" t="s">
        <v>3449</v>
      </c>
      <c r="C1135" s="64" t="s">
        <v>1669</v>
      </c>
      <c r="D1135" s="65">
        <v>1335.0</v>
      </c>
      <c r="E1135" s="34">
        <v>46136</v>
      </c>
      <c r="F1135" s="109" t="s">
        <v>565</v>
      </c>
      <c r="G1135" s="104">
        <v>2.86599252E8</v>
      </c>
      <c r="H1135" s="64" t="s">
        <v>3450</v>
      </c>
      <c r="I1135" s="16">
        <f>IF(@Table1[[#This Row],[Delivery Date]]="","NA",@Table1[[#This Row],[Delivery Date]]+30)</f>
        <v>46166.0</v>
      </c>
      <c r="J1135" s="35" t="s">
        <f t="shared" si="15"/>
        <v>28</v>
      </c>
      <c r="K1135" s="87"/>
      <c r="L1135" s="89"/>
      <c r="M1135" s="89"/>
      <c r="N1135" s="89"/>
    </row>
    <row r="1136" customHeight="1" ht="14.0">
      <c r="A1136" s="64" t="s">
        <v>3451</v>
      </c>
      <c r="B1136" s="22" t="s">
        <v>3452</v>
      </c>
      <c r="C1136" s="64" t="s">
        <v>2195</v>
      </c>
      <c r="D1136" s="65">
        <v>2360.0</v>
      </c>
      <c r="E1136" s="34">
        <v>46138</v>
      </c>
      <c r="F1136" s="109" t="s">
        <v>565</v>
      </c>
      <c r="G1136" s="104">
        <v>2.86599253E8</v>
      </c>
      <c r="H1136" s="64" t="s">
        <v>3453</v>
      </c>
      <c r="I1136" s="16">
        <f>IF(@Table1[[#This Row],[Delivery Date]]="","NA",@Table1[[#This Row],[Delivery Date]]+30)</f>
        <v>46168.0</v>
      </c>
      <c r="J1136" s="35" t="s">
        <f t="shared" si="15"/>
        <v>28</v>
      </c>
      <c r="K1136" s="87"/>
      <c r="L1136" s="89"/>
      <c r="M1136" s="89"/>
      <c r="N1136" s="89"/>
    </row>
    <row r="1137" customHeight="1" ht="14.0">
      <c r="A1137" s="64" t="s">
        <v>3454</v>
      </c>
      <c r="B1137" s="22" t="s">
        <v>3455</v>
      </c>
      <c r="C1137" s="64" t="s">
        <v>1561</v>
      </c>
      <c r="D1137" s="65">
        <v>772.0</v>
      </c>
      <c r="E1137" s="34">
        <v>46130</v>
      </c>
      <c r="F1137" s="109" t="s">
        <v>565</v>
      </c>
      <c r="G1137" s="104">
        <v>2.86599256E8</v>
      </c>
      <c r="H1137" s="64" t="s">
        <v>3456</v>
      </c>
      <c r="I1137" s="16">
        <f>IF(@Table1[[#This Row],[Delivery Date]]="","NA",@Table1[[#This Row],[Delivery Date]]+30)</f>
        <v>46160.0</v>
      </c>
      <c r="J1137" s="35" t="s">
        <f t="shared" si="15"/>
        <v>28</v>
      </c>
      <c r="K1137" s="87"/>
      <c r="L1137" s="89"/>
      <c r="M1137" s="89"/>
      <c r="N1137" s="89"/>
    </row>
    <row r="1138" customHeight="1" ht="14.0">
      <c r="A1138" s="64" t="s">
        <v>3457</v>
      </c>
      <c r="B1138" s="22" t="s">
        <v>3458</v>
      </c>
      <c r="C1138" s="64" t="s">
        <v>58</v>
      </c>
      <c r="D1138" s="65">
        <v>1172.0</v>
      </c>
      <c r="E1138" s="34">
        <v>46130</v>
      </c>
      <c r="F1138" s="109" t="s">
        <v>565</v>
      </c>
      <c r="G1138" s="104">
        <v>2.86599257E8</v>
      </c>
      <c r="H1138" s="64" t="s">
        <v>3459</v>
      </c>
      <c r="I1138" s="16">
        <f>IF(@Table1[[#This Row],[Delivery Date]]="","NA",@Table1[[#This Row],[Delivery Date]]+30)</f>
        <v>46160.0</v>
      </c>
      <c r="J1138" s="35" t="s">
        <f t="shared" si="15"/>
        <v>28</v>
      </c>
      <c r="K1138" s="87"/>
      <c r="L1138" s="89"/>
      <c r="M1138" s="89"/>
      <c r="N1138" s="89"/>
    </row>
    <row r="1139" customHeight="1" ht="14.0">
      <c r="A1139" s="64" t="s">
        <v>3460</v>
      </c>
      <c r="B1139" s="22" t="s">
        <v>3461</v>
      </c>
      <c r="C1139" s="64" t="s">
        <v>3257</v>
      </c>
      <c r="D1139" s="65">
        <v>1425.0</v>
      </c>
      <c r="E1139" s="34">
        <v>46130</v>
      </c>
      <c r="F1139" s="109" t="s">
        <v>565</v>
      </c>
      <c r="G1139" s="104">
        <v>2.86599258E8</v>
      </c>
      <c r="H1139" s="64" t="s">
        <v>3462</v>
      </c>
      <c r="I1139" s="16">
        <f>IF(@Table1[[#This Row],[Delivery Date]]="","NA",@Table1[[#This Row],[Delivery Date]]+30)</f>
        <v>46160.0</v>
      </c>
      <c r="J1139" s="35" t="s">
        <f t="shared" si="15"/>
        <v>28</v>
      </c>
      <c r="K1139" s="87"/>
      <c r="L1139" s="89"/>
      <c r="M1139" s="89"/>
      <c r="N1139" s="89"/>
    </row>
    <row r="1140" customHeight="1" ht="14.0">
      <c r="A1140" s="64" t="s">
        <v>3463</v>
      </c>
      <c r="B1140" s="22" t="s">
        <v>3464</v>
      </c>
      <c r="C1140" s="64" t="s">
        <v>2895</v>
      </c>
      <c r="D1140" s="65">
        <v>547.0</v>
      </c>
      <c r="E1140" s="34">
        <v>46130</v>
      </c>
      <c r="F1140" s="109" t="s">
        <v>565</v>
      </c>
      <c r="G1140" s="104">
        <v>2.86599259E8</v>
      </c>
      <c r="H1140" s="64" t="s">
        <v>3465</v>
      </c>
      <c r="I1140" s="16">
        <f>IF(@Table1[[#This Row],[Delivery Date]]="","NA",@Table1[[#This Row],[Delivery Date]]+30)</f>
        <v>46160.0</v>
      </c>
      <c r="J1140" s="35" t="s">
        <f t="shared" si="15"/>
        <v>28</v>
      </c>
      <c r="K1140" s="87"/>
      <c r="L1140" s="89"/>
      <c r="M1140" s="89"/>
      <c r="N1140" s="89"/>
    </row>
    <row r="1141" customHeight="1" ht="14.0">
      <c r="A1141" s="64" t="s">
        <v>3466</v>
      </c>
      <c r="B1141" s="22" t="s">
        <v>3467</v>
      </c>
      <c r="C1141" s="64" t="s">
        <v>3404</v>
      </c>
      <c r="D1141" s="65">
        <v>1554.0</v>
      </c>
      <c r="E1141" s="34">
        <v>46130</v>
      </c>
      <c r="F1141" s="109" t="s">
        <v>565</v>
      </c>
      <c r="G1141" s="104">
        <v>2.86599261E8</v>
      </c>
      <c r="H1141" s="64" t="s">
        <v>3468</v>
      </c>
      <c r="I1141" s="16">
        <f>IF(@Table1[[#This Row],[Delivery Date]]="","NA",@Table1[[#This Row],[Delivery Date]]+30)</f>
        <v>46160.0</v>
      </c>
      <c r="J1141" s="35" t="s">
        <f t="shared" si="15"/>
        <v>28</v>
      </c>
      <c r="K1141" s="87"/>
      <c r="L1141" s="89"/>
      <c r="M1141" s="89"/>
      <c r="N1141" s="89"/>
    </row>
    <row r="1142" customHeight="1" ht="14.0">
      <c r="A1142" s="64" t="s">
        <v>3469</v>
      </c>
      <c r="B1142" s="22" t="s">
        <v>3470</v>
      </c>
      <c r="C1142" s="64" t="s">
        <v>141</v>
      </c>
      <c r="D1142" s="65">
        <v>645.0</v>
      </c>
      <c r="E1142" s="34">
        <v>46131</v>
      </c>
      <c r="F1142" s="109" t="s">
        <v>565</v>
      </c>
      <c r="G1142" s="104">
        <v>2.86599262E8</v>
      </c>
      <c r="H1142" s="64" t="s">
        <v>3471</v>
      </c>
      <c r="I1142" s="16">
        <f>IF(@Table1[[#This Row],[Delivery Date]]="","NA",@Table1[[#This Row],[Delivery Date]]+30)</f>
        <v>46161.0</v>
      </c>
      <c r="J1142" s="35" t="s">
        <f t="shared" si="15"/>
        <v>28</v>
      </c>
      <c r="K1142" s="87"/>
      <c r="L1142" s="89"/>
      <c r="M1142" s="89"/>
      <c r="N1142" s="89"/>
    </row>
    <row r="1143" customHeight="1" ht="14.0">
      <c r="A1143" s="64" t="s">
        <v>3472</v>
      </c>
      <c r="B1143" s="22" t="s">
        <v>3473</v>
      </c>
      <c r="C1143" s="64" t="s">
        <v>1319</v>
      </c>
      <c r="D1143" s="65">
        <v>336.0</v>
      </c>
      <c r="E1143" s="34">
        <v>46130</v>
      </c>
      <c r="F1143" s="109" t="s">
        <v>565</v>
      </c>
      <c r="G1143" s="104">
        <v>2.86599263E8</v>
      </c>
      <c r="H1143" s="64" t="s">
        <v>3474</v>
      </c>
      <c r="I1143" s="16">
        <f>IF(@Table1[[#This Row],[Delivery Date]]="","NA",@Table1[[#This Row],[Delivery Date]]+30)</f>
        <v>46160.0</v>
      </c>
      <c r="J1143" s="35" t="s">
        <f t="shared" si="15"/>
        <v>28</v>
      </c>
      <c r="K1143" s="87"/>
      <c r="L1143" s="89"/>
      <c r="M1143" s="89"/>
      <c r="N1143" s="89"/>
    </row>
    <row r="1144" customHeight="1" ht="14.0">
      <c r="A1144" s="64" t="s">
        <v>3475</v>
      </c>
      <c r="B1144" s="22" t="s">
        <v>3476</v>
      </c>
      <c r="C1144" s="64" t="s">
        <v>1319</v>
      </c>
      <c r="D1144" s="65">
        <v>352.0</v>
      </c>
      <c r="E1144" s="34">
        <v>46130</v>
      </c>
      <c r="F1144" s="109" t="s">
        <v>565</v>
      </c>
      <c r="G1144" s="104">
        <v>2.86599263E8</v>
      </c>
      <c r="H1144" s="64" t="s">
        <v>3477</v>
      </c>
      <c r="I1144" s="16">
        <f>IF(@Table1[[#This Row],[Delivery Date]]="","NA",@Table1[[#This Row],[Delivery Date]]+30)</f>
        <v>46160.0</v>
      </c>
      <c r="J1144" s="35" t="s">
        <f t="shared" si="15"/>
        <v>28</v>
      </c>
      <c r="K1144" s="87"/>
      <c r="L1144" s="89"/>
      <c r="M1144" s="89"/>
      <c r="N1144" s="89"/>
    </row>
    <row r="1145" customHeight="1" ht="14.0">
      <c r="A1145" s="64" t="s">
        <v>3478</v>
      </c>
      <c r="B1145" s="22" t="s">
        <v>3479</v>
      </c>
      <c r="C1145" s="64" t="s">
        <v>1231</v>
      </c>
      <c r="D1145" s="65">
        <v>342.0</v>
      </c>
      <c r="E1145" s="34">
        <v>46127</v>
      </c>
      <c r="F1145" s="109" t="s">
        <v>1576</v>
      </c>
      <c r="G1145" s="104" t="s">
        <v>1576</v>
      </c>
      <c r="H1145" s="64" t="s">
        <v>3480</v>
      </c>
      <c r="I1145" s="16">
        <f>IF(@Table1[[#This Row],[Delivery Date]]="","NA",@Table1[[#This Row],[Delivery Date]]+30)</f>
        <v>46157.0</v>
      </c>
      <c r="J1145" s="35" t="s">
        <f t="shared" si="15"/>
        <v>28</v>
      </c>
      <c r="K1145" s="87"/>
      <c r="L1145" s="89"/>
      <c r="M1145" s="89"/>
      <c r="N1145" s="89"/>
    </row>
    <row r="1146" customHeight="1" ht="14.0">
      <c r="A1146" s="64" t="s">
        <v>3481</v>
      </c>
      <c r="B1146" s="22" t="s">
        <v>3482</v>
      </c>
      <c r="C1146" s="64" t="s">
        <v>1231</v>
      </c>
      <c r="D1146" s="65">
        <v>882.0</v>
      </c>
      <c r="E1146" s="34">
        <v>46143</v>
      </c>
      <c r="F1146" s="109" t="s">
        <v>1576</v>
      </c>
      <c r="G1146" s="104" t="s">
        <v>1576</v>
      </c>
      <c r="H1146" s="64" t="s">
        <v>3483</v>
      </c>
      <c r="I1146" s="16">
        <f>IF(@Table1[[#This Row],[Delivery Date]]="","NA",@Table1[[#This Row],[Delivery Date]]+30)</f>
        <v>46173.0</v>
      </c>
      <c r="J1146" s="35" t="s">
        <f t="shared" si="15"/>
        <v>28</v>
      </c>
      <c r="K1146" s="87"/>
      <c r="L1146" s="89"/>
      <c r="M1146" s="89"/>
      <c r="N1146" s="89"/>
    </row>
    <row r="1147" customHeight="1" ht="14.0">
      <c r="A1147" s="64" t="s">
        <v>3484</v>
      </c>
      <c r="B1147" s="22" t="s">
        <v>3485</v>
      </c>
      <c r="C1147" s="64" t="s">
        <v>3404</v>
      </c>
      <c r="D1147" s="65">
        <v>197.0</v>
      </c>
      <c r="E1147" s="34">
        <v>46134</v>
      </c>
      <c r="F1147" s="109" t="s">
        <v>565</v>
      </c>
      <c r="G1147" s="104">
        <v>2.86599314E8</v>
      </c>
      <c r="H1147" s="64" t="s">
        <v>3486</v>
      </c>
      <c r="I1147" s="16">
        <f>IF(@Table1[[#This Row],[Delivery Date]]="","NA",@Table1[[#This Row],[Delivery Date]]+30)</f>
        <v>46164.0</v>
      </c>
      <c r="J1147" s="35" t="s">
        <f t="shared" si="15"/>
        <v>28</v>
      </c>
      <c r="K1147" s="87"/>
      <c r="L1147" s="89"/>
      <c r="M1147" s="89"/>
      <c r="N1147" s="89"/>
    </row>
    <row r="1148" customHeight="1" ht="14.0">
      <c r="A1148" s="64" t="s">
        <v>3487</v>
      </c>
      <c r="B1148" s="22" t="s">
        <v>3488</v>
      </c>
      <c r="C1148" s="64" t="s">
        <v>1039</v>
      </c>
      <c r="D1148" s="65">
        <v>192.0</v>
      </c>
      <c r="E1148" s="34">
        <v>46140</v>
      </c>
      <c r="F1148" s="109" t="s">
        <v>565</v>
      </c>
      <c r="G1148" s="104">
        <v>2.86599315E8</v>
      </c>
      <c r="H1148" s="64" t="s">
        <v>3489</v>
      </c>
      <c r="I1148" s="16">
        <f>IF(@Table1[[#This Row],[Delivery Date]]="","NA",@Table1[[#This Row],[Delivery Date]]+30)</f>
        <v>46170.0</v>
      </c>
      <c r="J1148" s="35" t="s">
        <f t="shared" si="15"/>
        <v>28</v>
      </c>
      <c r="K1148" s="87"/>
      <c r="L1148" s="89"/>
      <c r="M1148" s="89"/>
      <c r="N1148" s="89"/>
    </row>
    <row r="1149" customHeight="1" ht="14.0">
      <c r="A1149" s="64" t="s">
        <v>3490</v>
      </c>
      <c r="B1149" s="22" t="s">
        <v>3491</v>
      </c>
      <c r="C1149" s="64" t="s">
        <v>3245</v>
      </c>
      <c r="D1149" s="65">
        <v>500.0</v>
      </c>
      <c r="E1149" s="34">
        <v>46154</v>
      </c>
      <c r="F1149" s="109" t="s">
        <v>565</v>
      </c>
      <c r="G1149" s="104">
        <v>2.86599316E8</v>
      </c>
      <c r="H1149" s="64" t="s">
        <v>3492</v>
      </c>
      <c r="I1149" s="16">
        <f>IF(@Table1[[#This Row],[Delivery Date]]="","NA",@Table1[[#This Row],[Delivery Date]]+30)</f>
        <v>46184.0</v>
      </c>
      <c r="J1149" s="35" t="s">
        <f t="shared" si="15"/>
        <v>28</v>
      </c>
      <c r="K1149" s="87"/>
      <c r="L1149" s="89"/>
      <c r="M1149" s="89"/>
      <c r="N1149" s="89"/>
    </row>
    <row r="1150" customHeight="1" ht="14.0">
      <c r="A1150" s="64" t="s">
        <v>3493</v>
      </c>
      <c r="B1150" s="22" t="s">
        <v>3494</v>
      </c>
      <c r="C1150" s="64" t="s">
        <v>3257</v>
      </c>
      <c r="D1150" s="65">
        <v>439.0</v>
      </c>
      <c r="E1150" s="34">
        <v>46138</v>
      </c>
      <c r="F1150" s="109" t="s">
        <v>565</v>
      </c>
      <c r="G1150" s="104">
        <v>2.86599317E8</v>
      </c>
      <c r="H1150" s="64" t="s">
        <v>3495</v>
      </c>
      <c r="I1150" s="16">
        <f>IF(@Table1[[#This Row],[Delivery Date]]="","NA",@Table1[[#This Row],[Delivery Date]]+30)</f>
        <v>46168.0</v>
      </c>
      <c r="J1150" s="35" t="s">
        <f t="shared" si="15"/>
        <v>28</v>
      </c>
      <c r="K1150" s="87"/>
      <c r="L1150" s="89"/>
      <c r="M1150" s="89"/>
      <c r="N1150" s="89"/>
    </row>
    <row r="1151" customHeight="1" ht="14.0">
      <c r="A1151" s="64" t="s">
        <v>3496</v>
      </c>
      <c r="B1151" s="22" t="s">
        <v>3497</v>
      </c>
      <c r="C1151" s="64" t="s">
        <v>3383</v>
      </c>
      <c r="D1151" s="65">
        <v>844.0</v>
      </c>
      <c r="E1151" s="34">
        <v>46143</v>
      </c>
      <c r="F1151" s="109" t="s">
        <v>565</v>
      </c>
      <c r="G1151" s="104">
        <v>2.8659932E8</v>
      </c>
      <c r="H1151" s="64" t="s">
        <v>3498</v>
      </c>
      <c r="I1151" s="16">
        <f>IF(@Table1[[#This Row],[Delivery Date]]="","NA",@Table1[[#This Row],[Delivery Date]]+30)</f>
        <v>46173.0</v>
      </c>
      <c r="J1151" s="35" t="s">
        <f t="shared" si="15"/>
        <v>28</v>
      </c>
      <c r="K1151" s="87"/>
      <c r="L1151" s="89"/>
      <c r="M1151" s="89"/>
      <c r="N1151" s="89"/>
    </row>
    <row r="1152" customHeight="1" ht="14.0">
      <c r="A1152" s="64" t="s">
        <v>3499</v>
      </c>
      <c r="B1152" s="22" t="s">
        <v>3500</v>
      </c>
      <c r="C1152" s="64" t="s">
        <v>1728</v>
      </c>
      <c r="D1152" s="65">
        <v>788.0</v>
      </c>
      <c r="E1152" s="34">
        <v>46136</v>
      </c>
      <c r="F1152" s="109" t="s">
        <v>565</v>
      </c>
      <c r="G1152" s="104">
        <v>2.86599322E8</v>
      </c>
      <c r="H1152" s="64" t="s">
        <v>3501</v>
      </c>
      <c r="I1152" s="16">
        <f>IF(@Table1[[#This Row],[Delivery Date]]="","NA",@Table1[[#This Row],[Delivery Date]]+30)</f>
        <v>46166.0</v>
      </c>
      <c r="J1152" s="35" t="s">
        <f t="shared" si="15"/>
        <v>28</v>
      </c>
      <c r="K1152" s="87"/>
      <c r="L1152" s="89"/>
      <c r="M1152" s="89"/>
      <c r="N1152" s="89"/>
    </row>
    <row r="1153" customHeight="1" ht="14.0">
      <c r="A1153" s="64" t="s">
        <v>3502</v>
      </c>
      <c r="B1153" s="22" t="s">
        <v>3503</v>
      </c>
      <c r="C1153" s="64" t="s">
        <v>1284</v>
      </c>
      <c r="D1153" s="65">
        <v>603.0</v>
      </c>
      <c r="E1153" s="34">
        <v>46137</v>
      </c>
      <c r="F1153" s="109" t="s">
        <v>3437</v>
      </c>
      <c r="G1153" s="104">
        <v>1.846222395E9</v>
      </c>
      <c r="H1153" s="64" t="s">
        <v>3504</v>
      </c>
      <c r="I1153" s="16">
        <f>IF(@Table1[[#This Row],[Delivery Date]]="","NA",@Table1[[#This Row],[Delivery Date]]+30)</f>
        <v>46167.0</v>
      </c>
      <c r="J1153" s="35" t="s">
        <f t="shared" si="15"/>
        <v>28</v>
      </c>
      <c r="K1153" s="87"/>
      <c r="L1153" s="89"/>
      <c r="M1153" s="89"/>
      <c r="N1153" s="89"/>
    </row>
    <row r="1154" customHeight="1" ht="14.0">
      <c r="A1154" s="64" t="s">
        <v>3505</v>
      </c>
      <c r="B1154" s="22" t="s">
        <v>3506</v>
      </c>
      <c r="C1154" s="64" t="s">
        <v>1066</v>
      </c>
      <c r="D1154" s="65">
        <v>1272.0</v>
      </c>
      <c r="E1154" s="34">
        <v>46138</v>
      </c>
      <c r="F1154" s="109" t="s">
        <v>565</v>
      </c>
      <c r="G1154" s="104">
        <v>2.86599325E8</v>
      </c>
      <c r="H1154" s="64" t="s">
        <v>3507</v>
      </c>
      <c r="I1154" s="16">
        <f>IF(@Table1[[#This Row],[Delivery Date]]="","NA",@Table1[[#This Row],[Delivery Date]]+30)</f>
        <v>46168.0</v>
      </c>
      <c r="J1154" s="35" t="s">
        <f t="shared" si="15"/>
        <v>28</v>
      </c>
      <c r="K1154" s="87"/>
      <c r="L1154" s="89"/>
      <c r="M1154" s="89"/>
      <c r="N1154" s="89"/>
    </row>
    <row r="1155" customHeight="1" ht="14.0">
      <c r="A1155" s="64" t="s">
        <v>3508</v>
      </c>
      <c r="B1155" s="22" t="s">
        <v>3509</v>
      </c>
      <c r="C1155" s="64" t="s">
        <v>1669</v>
      </c>
      <c r="D1155" s="65">
        <v>209.0</v>
      </c>
      <c r="E1155" s="34">
        <v>46136</v>
      </c>
      <c r="F1155" s="109" t="s">
        <v>565</v>
      </c>
      <c r="G1155" s="104">
        <v>2.86599313E8</v>
      </c>
      <c r="H1155" s="64" t="s">
        <v>3510</v>
      </c>
      <c r="I1155" s="16">
        <f>IF(@Table1[[#This Row],[Delivery Date]]="","NA",@Table1[[#This Row],[Delivery Date]]+30)</f>
        <v>46166.0</v>
      </c>
      <c r="J1155" s="35" t="s">
        <f t="shared" si="15"/>
        <v>28</v>
      </c>
      <c r="K1155" s="87"/>
      <c r="L1155" s="89"/>
      <c r="M1155" s="89"/>
      <c r="N1155" s="89"/>
    </row>
    <row r="1156" customHeight="1" ht="14.0">
      <c r="A1156" s="64" t="s">
        <v>3511</v>
      </c>
      <c r="B1156" s="22" t="s">
        <v>3512</v>
      </c>
      <c r="C1156" s="64" t="s">
        <v>3245</v>
      </c>
      <c r="D1156" s="65">
        <v>1068.0</v>
      </c>
      <c r="E1156" s="34">
        <v>46154</v>
      </c>
      <c r="F1156" s="109" t="s">
        <v>565</v>
      </c>
      <c r="G1156" s="104">
        <v>2.86599316E8</v>
      </c>
      <c r="H1156" s="64" t="s">
        <v>3513</v>
      </c>
      <c r="I1156" s="16">
        <f>IF(@Table1[[#This Row],[Delivery Date]]="","NA",@Table1[[#This Row],[Delivery Date]]+30)</f>
        <v>46184.0</v>
      </c>
      <c r="J1156" s="35" t="s">
        <f t="shared" si="15"/>
        <v>28</v>
      </c>
      <c r="K1156" s="87"/>
      <c r="L1156" s="89"/>
      <c r="M1156" s="89"/>
      <c r="N1156" s="89"/>
    </row>
    <row r="1157" customHeight="1" ht="14.0">
      <c r="A1157" s="64" t="s">
        <v>3514</v>
      </c>
      <c r="B1157" s="22" t="s">
        <v>3515</v>
      </c>
      <c r="C1157" s="64" t="s">
        <v>1319</v>
      </c>
      <c r="D1157" s="65">
        <v>262.0</v>
      </c>
      <c r="E1157" s="34">
        <v>46135</v>
      </c>
      <c r="F1157" s="109" t="s">
        <v>565</v>
      </c>
      <c r="G1157" s="104">
        <v>2.86599327E8</v>
      </c>
      <c r="H1157" s="64" t="s">
        <v>3516</v>
      </c>
      <c r="I1157" s="16">
        <f>IF(@Table1[[#This Row],[Delivery Date]]="","NA",@Table1[[#This Row],[Delivery Date]]+30)</f>
        <v>46165.0</v>
      </c>
      <c r="J1157" s="35" t="s">
        <f t="shared" si="15"/>
        <v>28</v>
      </c>
      <c r="K1157" s="87"/>
      <c r="L1157" s="89"/>
      <c r="M1157" s="89"/>
      <c r="N1157" s="89"/>
    </row>
    <row r="1158" customHeight="1" ht="14.0">
      <c r="A1158" s="64" t="s">
        <v>3517</v>
      </c>
      <c r="B1158" s="22" t="s">
        <v>3518</v>
      </c>
      <c r="C1158" s="64" t="s">
        <v>2195</v>
      </c>
      <c r="D1158" s="65">
        <v>226.0</v>
      </c>
      <c r="E1158" s="34">
        <v>46141</v>
      </c>
      <c r="F1158" s="109" t="s">
        <v>565</v>
      </c>
      <c r="G1158" s="104">
        <v>2.86599328E8</v>
      </c>
      <c r="H1158" s="64" t="s">
        <v>3519</v>
      </c>
      <c r="I1158" s="16">
        <f>IF(@Table1[[#This Row],[Delivery Date]]="","NA",@Table1[[#This Row],[Delivery Date]]+30)</f>
        <v>46171.0</v>
      </c>
      <c r="J1158" s="35" t="s">
        <f t="shared" si="15"/>
        <v>28</v>
      </c>
      <c r="K1158" s="87"/>
      <c r="L1158" s="89"/>
      <c r="M1158" s="89"/>
      <c r="N1158" s="89"/>
    </row>
    <row r="1159" customHeight="1" ht="14.0">
      <c r="A1159" s="118" t="s">
        <v>3520</v>
      </c>
      <c r="B1159" s="42" t="s">
        <v>3521</v>
      </c>
      <c r="C1159" s="118" t="s">
        <v>1047</v>
      </c>
      <c r="D1159" s="137">
        <v>228.0</v>
      </c>
      <c r="E1159" s="120">
        <v>46134</v>
      </c>
      <c r="F1159" s="122" t="s">
        <v>565</v>
      </c>
      <c r="G1159" s="143">
        <v>2.86599329E8</v>
      </c>
      <c r="H1159" s="118" t="s">
        <v>108</v>
      </c>
      <c r="I1159" s="16">
        <f>IF(@Table1[[#This Row],[Delivery Date]]="","NA",@Table1[[#This Row],[Delivery Date]]+30)</f>
        <v>46164.0</v>
      </c>
      <c r="J1159" s="35" t="s">
        <f t="shared" si="15"/>
        <v>28</v>
      </c>
      <c r="K1159" s="87"/>
      <c r="L1159" s="89"/>
      <c r="M1159" s="89"/>
      <c r="N1159" s="89"/>
    </row>
    <row r="1160" customHeight="1" ht="14.0">
      <c r="A1160" s="118" t="s">
        <v>3522</v>
      </c>
      <c r="B1160" s="42" t="s">
        <v>3523</v>
      </c>
      <c r="C1160" s="118" t="s">
        <v>1561</v>
      </c>
      <c r="D1160" s="137">
        <v>200.0</v>
      </c>
      <c r="E1160" s="120">
        <v>46134</v>
      </c>
      <c r="F1160" s="122" t="s">
        <v>565</v>
      </c>
      <c r="G1160" s="143">
        <v>2.8659933E8</v>
      </c>
      <c r="H1160" s="118" t="s">
        <v>108</v>
      </c>
      <c r="I1160" s="16">
        <f>IF(@Table1[[#This Row],[Delivery Date]]="","NA",@Table1[[#This Row],[Delivery Date]]+30)</f>
        <v>46164.0</v>
      </c>
      <c r="J1160" s="35" t="s">
        <f t="shared" si="15"/>
        <v>28</v>
      </c>
      <c r="K1160" s="87"/>
      <c r="L1160" s="89"/>
      <c r="M1160" s="89"/>
      <c r="N1160" s="89"/>
    </row>
    <row r="1161" customHeight="1" ht="14.0">
      <c r="A1161" s="64" t="s">
        <v>3524</v>
      </c>
      <c r="B1161" s="22" t="s">
        <v>3525</v>
      </c>
      <c r="C1161" s="64" t="s">
        <v>1561</v>
      </c>
      <c r="D1161" s="65">
        <v>580.0</v>
      </c>
      <c r="E1161" s="34">
        <v>46134</v>
      </c>
      <c r="F1161" s="109" t="s">
        <v>565</v>
      </c>
      <c r="G1161" s="104">
        <v>2.8659933E8</v>
      </c>
      <c r="H1161" s="64" t="s">
        <v>3526</v>
      </c>
      <c r="I1161" s="16">
        <f>IF(@Table1[[#This Row],[Delivery Date]]="","NA",@Table1[[#This Row],[Delivery Date]]+30)</f>
        <v>46164.0</v>
      </c>
      <c r="J1161" s="35" t="s">
        <f t="shared" si="15"/>
        <v>28</v>
      </c>
      <c r="K1161" s="87"/>
      <c r="L1161" s="89"/>
      <c r="M1161" s="89"/>
      <c r="N1161" s="89"/>
    </row>
    <row r="1162" customHeight="1" ht="14.0">
      <c r="A1162" s="64" t="s">
        <v>3527</v>
      </c>
      <c r="B1162" s="22" t="s">
        <v>3528</v>
      </c>
      <c r="C1162" s="64" t="s">
        <v>141</v>
      </c>
      <c r="D1162" s="65">
        <v>417.0</v>
      </c>
      <c r="E1162" s="34">
        <v>46138</v>
      </c>
      <c r="F1162" s="109" t="s">
        <v>565</v>
      </c>
      <c r="G1162" s="104">
        <v>2.86599326E8</v>
      </c>
      <c r="H1162" s="64" t="s">
        <v>3529</v>
      </c>
      <c r="I1162" s="16">
        <f>IF(@Table1[[#This Row],[Delivery Date]]="","NA",@Table1[[#This Row],[Delivery Date]]+30)</f>
        <v>46168.0</v>
      </c>
      <c r="J1162" s="35" t="s">
        <f t="shared" si="15"/>
        <v>28</v>
      </c>
      <c r="K1162" s="87"/>
      <c r="L1162" s="89"/>
      <c r="M1162" s="89"/>
      <c r="N1162" s="89"/>
    </row>
    <row r="1163" customHeight="1" ht="14.0">
      <c r="A1163" s="64" t="s">
        <v>3530</v>
      </c>
      <c r="B1163" s="22" t="s">
        <v>3531</v>
      </c>
      <c r="C1163" s="64" t="s">
        <v>2208</v>
      </c>
      <c r="D1163" s="65">
        <v>605.0</v>
      </c>
      <c r="E1163" s="34">
        <v>46135</v>
      </c>
      <c r="F1163" s="109" t="s">
        <v>565</v>
      </c>
      <c r="G1163" s="104">
        <v>2.86599327E8</v>
      </c>
      <c r="H1163" s="64" t="s">
        <v>3532</v>
      </c>
      <c r="I1163" s="16">
        <f>IF(@Table1[[#This Row],[Delivery Date]]="","NA",@Table1[[#This Row],[Delivery Date]]+30)</f>
        <v>46165.0</v>
      </c>
      <c r="J1163" s="35" t="s">
        <f t="shared" si="15"/>
        <v>28</v>
      </c>
      <c r="K1163" s="87"/>
      <c r="L1163" s="89"/>
      <c r="M1163" s="89"/>
      <c r="N1163" s="89"/>
    </row>
    <row r="1164" customHeight="1" ht="14.0">
      <c r="A1164" s="64" t="s">
        <v>3533</v>
      </c>
      <c r="B1164" s="22" t="s">
        <v>3534</v>
      </c>
      <c r="C1164" s="64" t="s">
        <v>3404</v>
      </c>
      <c r="D1164" s="65">
        <v>1189.0</v>
      </c>
      <c r="E1164" s="34">
        <v>46134</v>
      </c>
      <c r="F1164" s="109" t="s">
        <v>565</v>
      </c>
      <c r="G1164" s="104">
        <v>2.86599314E8</v>
      </c>
      <c r="H1164" s="64" t="s">
        <v>3535</v>
      </c>
      <c r="I1164" s="16">
        <f>IF(@Table1[[#This Row],[Delivery Date]]="","NA",@Table1[[#This Row],[Delivery Date]]+30)</f>
        <v>46164.0</v>
      </c>
      <c r="J1164" s="35" t="s">
        <f t="shared" si="15"/>
        <v>28</v>
      </c>
      <c r="K1164" s="87"/>
      <c r="L1164" s="89"/>
      <c r="M1164" s="89"/>
      <c r="N1164" s="89"/>
    </row>
    <row r="1165" customHeight="1" ht="14.0">
      <c r="A1165" s="64" t="s">
        <v>3536</v>
      </c>
      <c r="B1165" s="22" t="s">
        <v>3537</v>
      </c>
      <c r="C1165" s="64" t="s">
        <v>1319</v>
      </c>
      <c r="D1165" s="65">
        <v>368.0</v>
      </c>
      <c r="E1165" s="34">
        <v>46135</v>
      </c>
      <c r="F1165" s="109" t="s">
        <v>565</v>
      </c>
      <c r="G1165" s="104">
        <v>2.86599327E8</v>
      </c>
      <c r="H1165" s="64" t="s">
        <v>3538</v>
      </c>
      <c r="I1165" s="16">
        <f>IF(@Table1[[#This Row],[Delivery Date]]="","NA",@Table1[[#This Row],[Delivery Date]]+30)</f>
        <v>46165.0</v>
      </c>
      <c r="J1165" s="35" t="s">
        <f t="shared" si="15"/>
        <v>28</v>
      </c>
      <c r="K1165" s="87"/>
      <c r="L1165" s="89"/>
      <c r="M1165" s="89"/>
      <c r="N1165" s="89"/>
    </row>
    <row r="1166" customHeight="1" ht="14.0">
      <c r="A1166" s="64" t="s">
        <v>3539</v>
      </c>
      <c r="B1166" s="22" t="s">
        <v>3540</v>
      </c>
      <c r="C1166" s="64" t="s">
        <v>1047</v>
      </c>
      <c r="D1166" s="65">
        <v>684.0</v>
      </c>
      <c r="E1166" s="34">
        <v>46134</v>
      </c>
      <c r="F1166" s="109" t="s">
        <v>565</v>
      </c>
      <c r="G1166" s="104">
        <v>2.86599329E8</v>
      </c>
      <c r="H1166" s="64" t="s">
        <v>3541</v>
      </c>
      <c r="I1166" s="16">
        <f>IF(@Table1[[#This Row],[Delivery Date]]="","NA",@Table1[[#This Row],[Delivery Date]]+30)</f>
        <v>46164.0</v>
      </c>
      <c r="J1166" s="35" t="s">
        <f t="shared" si="15"/>
        <v>28</v>
      </c>
      <c r="K1166" s="87"/>
      <c r="L1166" s="89"/>
      <c r="M1166" s="89"/>
      <c r="N1166" s="89"/>
    </row>
    <row r="1167" customHeight="1" ht="14.0">
      <c r="A1167" s="64" t="s">
        <v>3542</v>
      </c>
      <c r="B1167" s="22" t="s">
        <v>3543</v>
      </c>
      <c r="C1167" s="64" t="s">
        <v>2195</v>
      </c>
      <c r="D1167" s="65">
        <v>1672.0</v>
      </c>
      <c r="E1167" s="34">
        <v>46141</v>
      </c>
      <c r="F1167" s="109" t="s">
        <v>565</v>
      </c>
      <c r="G1167" s="104">
        <v>2.86599328E8</v>
      </c>
      <c r="H1167" s="64" t="s">
        <v>3544</v>
      </c>
      <c r="I1167" s="16">
        <f>IF(@Table1[[#This Row],[Delivery Date]]="","NA",@Table1[[#This Row],[Delivery Date]]+30)</f>
        <v>46171.0</v>
      </c>
      <c r="J1167" s="35" t="s">
        <f t="shared" si="15"/>
        <v>28</v>
      </c>
      <c r="K1167" s="87"/>
      <c r="L1167" s="89"/>
      <c r="M1167" s="89"/>
      <c r="N1167" s="89"/>
    </row>
    <row r="1168" customHeight="1" ht="14.0">
      <c r="A1168" s="64" t="s">
        <v>3545</v>
      </c>
      <c r="B1168" s="22" t="s">
        <v>3546</v>
      </c>
      <c r="C1168" s="64" t="s">
        <v>3257</v>
      </c>
      <c r="D1168" s="65">
        <v>767.0</v>
      </c>
      <c r="E1168" s="34">
        <v>46138</v>
      </c>
      <c r="F1168" s="109" t="s">
        <v>565</v>
      </c>
      <c r="G1168" s="104">
        <v>2.86599317E8</v>
      </c>
      <c r="H1168" s="64" t="s">
        <v>3547</v>
      </c>
      <c r="I1168" s="16">
        <f>IF(@Table1[[#This Row],[Delivery Date]]="","NA",@Table1[[#This Row],[Delivery Date]]+30)</f>
        <v>46168.0</v>
      </c>
      <c r="J1168" s="35" t="s">
        <f t="shared" si="15"/>
        <v>28</v>
      </c>
      <c r="K1168" s="87"/>
      <c r="L1168" s="89"/>
      <c r="M1168" s="89"/>
      <c r="N1168" s="89"/>
    </row>
    <row r="1169" customHeight="1" ht="14.0">
      <c r="A1169" s="64" t="s">
        <v>3548</v>
      </c>
      <c r="B1169" s="22" t="s">
        <v>3549</v>
      </c>
      <c r="C1169" s="64" t="s">
        <v>1669</v>
      </c>
      <c r="D1169" s="65">
        <v>928.0</v>
      </c>
      <c r="E1169" s="34">
        <v>46136</v>
      </c>
      <c r="F1169" s="109" t="s">
        <v>565</v>
      </c>
      <c r="G1169" s="104">
        <v>2.86599313E8</v>
      </c>
      <c r="H1169" s="64" t="s">
        <v>3550</v>
      </c>
      <c r="I1169" s="16">
        <f>IF(@Table1[[#This Row],[Delivery Date]]="","NA",@Table1[[#This Row],[Delivery Date]]+30)</f>
        <v>46166.0</v>
      </c>
      <c r="J1169" s="35" t="s">
        <f t="shared" si="15"/>
        <v>28</v>
      </c>
      <c r="K1169" s="87"/>
      <c r="L1169" s="89"/>
      <c r="M1169" s="89"/>
      <c r="N1169" s="89"/>
    </row>
    <row r="1170" customHeight="1" ht="14.0">
      <c r="A1170" s="64" t="s">
        <v>3551</v>
      </c>
      <c r="B1170" s="22" t="s">
        <v>3552</v>
      </c>
      <c r="C1170" s="64" t="s">
        <v>58</v>
      </c>
      <c r="D1170" s="65">
        <v>499.0</v>
      </c>
      <c r="E1170" s="34">
        <v>46113</v>
      </c>
      <c r="F1170" s="109" t="s">
        <v>565</v>
      </c>
      <c r="G1170" s="104">
        <v>2.86599324E8</v>
      </c>
      <c r="H1170" s="64" t="s">
        <v>3553</v>
      </c>
      <c r="I1170" s="16">
        <f>IF(@Table1[[#This Row],[Delivery Date]]="","NA",@Table1[[#This Row],[Delivery Date]]+30)</f>
        <v>46143.0</v>
      </c>
      <c r="J1170" s="35" t="s">
        <f t="shared" si="15"/>
        <v>28</v>
      </c>
      <c r="K1170" s="87"/>
      <c r="L1170" s="89"/>
      <c r="M1170" s="89"/>
      <c r="N1170" s="89"/>
    </row>
    <row r="1171" customHeight="1" ht="14.0">
      <c r="A1171" s="64" t="s">
        <v>3554</v>
      </c>
      <c r="B1171" s="22" t="s">
        <v>3555</v>
      </c>
      <c r="C1171" s="64" t="s">
        <v>2895</v>
      </c>
      <c r="D1171" s="65">
        <v>420.0</v>
      </c>
      <c r="E1171" s="34">
        <v>46135</v>
      </c>
      <c r="F1171" s="109" t="s">
        <v>565</v>
      </c>
      <c r="G1171" s="104">
        <v>2.86599323E8</v>
      </c>
      <c r="H1171" s="64" t="s">
        <v>3556</v>
      </c>
      <c r="I1171" s="16">
        <f>IF(@Table1[[#This Row],[Delivery Date]]="","NA",@Table1[[#This Row],[Delivery Date]]+30)</f>
        <v>46165.0</v>
      </c>
      <c r="J1171" s="35" t="s">
        <f t="shared" si="15"/>
        <v>28</v>
      </c>
      <c r="K1171" s="87"/>
      <c r="L1171" s="89"/>
      <c r="M1171" s="89"/>
      <c r="N1171" s="89"/>
    </row>
    <row r="1172" customHeight="1" ht="14.0">
      <c r="A1172" s="64" t="s">
        <v>3557</v>
      </c>
      <c r="B1172" s="22" t="s">
        <v>3558</v>
      </c>
      <c r="C1172" s="64" t="s">
        <v>1039</v>
      </c>
      <c r="D1172" s="65">
        <v>3588.0</v>
      </c>
      <c r="E1172" s="34">
        <v>46140</v>
      </c>
      <c r="F1172" s="109" t="s">
        <v>565</v>
      </c>
      <c r="G1172" s="104">
        <v>2.86599315E8</v>
      </c>
      <c r="H1172" s="64" t="s">
        <v>3559</v>
      </c>
      <c r="I1172" s="16">
        <f>IF(@Table1[[#This Row],[Delivery Date]]="","NA",@Table1[[#This Row],[Delivery Date]]+30)</f>
        <v>46170.0</v>
      </c>
      <c r="J1172" s="35" t="s">
        <f t="shared" si="15"/>
        <v>28</v>
      </c>
      <c r="K1172" s="87"/>
      <c r="L1172" s="89"/>
      <c r="M1172" s="89"/>
      <c r="N1172" s="89"/>
    </row>
    <row r="1173" customHeight="1" ht="14.0">
      <c r="A1173" s="64" t="s">
        <v>3560</v>
      </c>
      <c r="B1173" s="22" t="s">
        <v>3561</v>
      </c>
      <c r="C1173" s="64" t="s">
        <v>1284</v>
      </c>
      <c r="D1173" s="65">
        <v>841.0</v>
      </c>
      <c r="E1173" s="34">
        <v>46137</v>
      </c>
      <c r="F1173" s="109" t="s">
        <v>3183</v>
      </c>
      <c r="G1173" s="104">
        <v>1.846222395E9</v>
      </c>
      <c r="H1173" s="64" t="s">
        <v>3562</v>
      </c>
      <c r="I1173" s="16">
        <f>IF(@Table1[[#This Row],[Delivery Date]]="","NA",@Table1[[#This Row],[Delivery Date]]+30)</f>
        <v>46167.0</v>
      </c>
      <c r="J1173" s="35" t="s">
        <f t="shared" si="15"/>
        <v>28</v>
      </c>
      <c r="K1173" s="87"/>
      <c r="L1173" s="89"/>
      <c r="M1173" s="89"/>
      <c r="N1173" s="89"/>
    </row>
    <row r="1174" customHeight="1" ht="14.0">
      <c r="A1174" s="64" t="s">
        <v>3563</v>
      </c>
      <c r="B1174" s="22" t="s">
        <v>3564</v>
      </c>
      <c r="C1174" s="64" t="s">
        <v>3245</v>
      </c>
      <c r="D1174" s="65">
        <v>648.0</v>
      </c>
      <c r="E1174" s="34">
        <v>46142</v>
      </c>
      <c r="F1174" s="109" t="s">
        <v>565</v>
      </c>
      <c r="G1174" s="104">
        <v>2.86600308E8</v>
      </c>
      <c r="H1174" s="64" t="s">
        <v>3565</v>
      </c>
      <c r="I1174" s="16">
        <f>IF(@Table1[[#This Row],[Delivery Date]]="","NA",@Table1[[#This Row],[Delivery Date]]+30)</f>
        <v>46172.0</v>
      </c>
      <c r="J1174" s="35" t="s">
        <f t="shared" si="15"/>
        <v>28</v>
      </c>
      <c r="K1174" s="87"/>
      <c r="L1174" s="89"/>
      <c r="M1174" s="89"/>
      <c r="N1174" s="89"/>
    </row>
    <row r="1175" customHeight="1" ht="14.0">
      <c r="A1175" s="64" t="s">
        <v>3566</v>
      </c>
      <c r="B1175" s="22" t="s">
        <v>3567</v>
      </c>
      <c r="C1175" s="64" t="s">
        <v>1669</v>
      </c>
      <c r="D1175" s="65">
        <v>942.0</v>
      </c>
      <c r="E1175" s="34">
        <v>46146</v>
      </c>
      <c r="F1175" s="109" t="s">
        <v>565</v>
      </c>
      <c r="G1175" s="104">
        <v>2.86600309E8</v>
      </c>
      <c r="H1175" s="64" t="s">
        <v>3568</v>
      </c>
      <c r="I1175" s="16">
        <f>IF(@Table1[[#This Row],[Delivery Date]]="","NA",@Table1[[#This Row],[Delivery Date]]+30)</f>
        <v>46176.0</v>
      </c>
      <c r="J1175" s="35" t="s">
        <f t="shared" si="15"/>
        <v>28</v>
      </c>
      <c r="K1175" s="87"/>
      <c r="L1175" s="89"/>
      <c r="M1175" s="89"/>
      <c r="N1175" s="89"/>
    </row>
    <row r="1176" customHeight="1" ht="14.0">
      <c r="A1176" s="64" t="s">
        <v>3569</v>
      </c>
      <c r="B1176" s="22" t="s">
        <v>3570</v>
      </c>
      <c r="C1176" s="64" t="s">
        <v>141</v>
      </c>
      <c r="D1176" s="65">
        <v>1002.0</v>
      </c>
      <c r="E1176" s="34">
        <v>46141</v>
      </c>
      <c r="F1176" s="109" t="s">
        <v>565</v>
      </c>
      <c r="G1176" s="104">
        <v>2.8660031E8</v>
      </c>
      <c r="H1176" s="64" t="s">
        <v>3571</v>
      </c>
      <c r="I1176" s="16">
        <f>IF(@Table1[[#This Row],[Delivery Date]]="","NA",@Table1[[#This Row],[Delivery Date]]+30)</f>
        <v>46171.0</v>
      </c>
      <c r="J1176" s="35" t="s">
        <f t="shared" si="15"/>
        <v>28</v>
      </c>
      <c r="K1176" s="87"/>
      <c r="L1176" s="89"/>
      <c r="M1176" s="89"/>
      <c r="N1176" s="89"/>
    </row>
    <row r="1177" customHeight="1" ht="14.0">
      <c r="A1177" s="64" t="s">
        <v>3572</v>
      </c>
      <c r="B1177" s="22" t="s">
        <v>3573</v>
      </c>
      <c r="C1177" s="64" t="s">
        <v>1047</v>
      </c>
      <c r="D1177" s="65">
        <v>1564.0</v>
      </c>
      <c r="E1177" s="34">
        <v>46138</v>
      </c>
      <c r="F1177" s="109" t="s">
        <v>565</v>
      </c>
      <c r="G1177" s="104">
        <v>2.86600311E8</v>
      </c>
      <c r="H1177" s="64" t="s">
        <v>3574</v>
      </c>
      <c r="I1177" s="16">
        <f>IF(@Table1[[#This Row],[Delivery Date]]="","NA",@Table1[[#This Row],[Delivery Date]]+30)</f>
        <v>46168.0</v>
      </c>
      <c r="J1177" s="35" t="s">
        <f t="shared" si="15"/>
        <v>28</v>
      </c>
      <c r="K1177" s="87"/>
      <c r="L1177" s="89"/>
      <c r="M1177" s="89"/>
      <c r="N1177" s="89"/>
    </row>
    <row r="1178" customHeight="1" ht="14.0">
      <c r="A1178" s="64" t="s">
        <v>3575</v>
      </c>
      <c r="B1178" s="22" t="s">
        <v>3576</v>
      </c>
      <c r="C1178" s="64" t="s">
        <v>3383</v>
      </c>
      <c r="D1178" s="65">
        <v>528.0</v>
      </c>
      <c r="E1178" s="34">
        <v>46145</v>
      </c>
      <c r="F1178" s="109" t="s">
        <v>565</v>
      </c>
      <c r="G1178" s="104">
        <v>2.86600312E8</v>
      </c>
      <c r="H1178" s="64" t="s">
        <v>3577</v>
      </c>
      <c r="I1178" s="16">
        <f>IF(@Table1[[#This Row],[Delivery Date]]="","NA",@Table1[[#This Row],[Delivery Date]]+30)</f>
        <v>46175.0</v>
      </c>
      <c r="J1178" s="35" t="s">
        <f t="shared" si="15"/>
        <v>28</v>
      </c>
      <c r="K1178" s="87"/>
      <c r="L1178" s="89"/>
      <c r="M1178" s="89"/>
      <c r="N1178" s="89"/>
    </row>
    <row r="1179" customHeight="1" ht="14.0">
      <c r="A1179" s="64" t="s">
        <v>3578</v>
      </c>
      <c r="B1179" s="22" t="s">
        <v>3579</v>
      </c>
      <c r="C1179" s="64" t="s">
        <v>3257</v>
      </c>
      <c r="D1179" s="65">
        <v>1657.0</v>
      </c>
      <c r="E1179" s="94">
        <v>46138</v>
      </c>
      <c r="F1179" s="109" t="s">
        <v>565</v>
      </c>
      <c r="G1179" s="104">
        <v>2.86600313E8</v>
      </c>
      <c r="H1179" s="64" t="s">
        <v>3580</v>
      </c>
      <c r="I1179" s="16">
        <f>IF(@Table1[[#This Row],[Delivery Date]]="","NA",@Table1[[#This Row],[Delivery Date]]+30)</f>
        <v>46168.0</v>
      </c>
      <c r="J1179" s="35" t="s">
        <f t="shared" si="15"/>
        <v>28</v>
      </c>
      <c r="K1179" s="87"/>
      <c r="L1179" s="89"/>
      <c r="M1179" s="89"/>
      <c r="N1179" s="89"/>
    </row>
    <row r="1180" customHeight="1" ht="14.0">
      <c r="A1180" s="64" t="s">
        <v>3581</v>
      </c>
      <c r="B1180" s="22" t="s">
        <v>3582</v>
      </c>
      <c r="C1180" s="64" t="s">
        <v>1728</v>
      </c>
      <c r="D1180" s="65">
        <v>1108.0</v>
      </c>
      <c r="E1180" s="34">
        <v>46140</v>
      </c>
      <c r="F1180" s="109" t="s">
        <v>565</v>
      </c>
      <c r="G1180" s="104">
        <v>2.86600314E8</v>
      </c>
      <c r="H1180" s="64" t="s">
        <v>3583</v>
      </c>
      <c r="I1180" s="16">
        <f>IF(@Table1[[#This Row],[Delivery Date]]="","NA",@Table1[[#This Row],[Delivery Date]]+30)</f>
        <v>46170.0</v>
      </c>
      <c r="J1180" s="35" t="s">
        <f t="shared" si="15"/>
        <v>28</v>
      </c>
      <c r="K1180" s="87"/>
      <c r="L1180" s="89"/>
      <c r="M1180" s="89"/>
      <c r="N1180" s="89"/>
    </row>
    <row r="1181" customHeight="1" ht="14.0">
      <c r="A1181" s="64" t="s">
        <v>3584</v>
      </c>
      <c r="B1181" s="22" t="s">
        <v>3585</v>
      </c>
      <c r="C1181" s="64" t="s">
        <v>1039</v>
      </c>
      <c r="D1181" s="65">
        <v>5064.0</v>
      </c>
      <c r="E1181" s="34">
        <v>46138</v>
      </c>
      <c r="F1181" s="109" t="s">
        <v>565</v>
      </c>
      <c r="G1181" s="104">
        <v>2.86600315E8</v>
      </c>
      <c r="H1181" s="64" t="s">
        <v>3586</v>
      </c>
      <c r="I1181" s="16">
        <f>IF(@Table1[[#This Row],[Delivery Date]]="","NA",@Table1[[#This Row],[Delivery Date]]+30)</f>
        <v>46168.0</v>
      </c>
      <c r="J1181" s="35" t="s">
        <f t="shared" si="15"/>
        <v>28</v>
      </c>
      <c r="K1181" s="87"/>
      <c r="L1181" s="89"/>
      <c r="M1181" s="89"/>
      <c r="N1181" s="89"/>
    </row>
    <row r="1182" customHeight="1" ht="14.0">
      <c r="A1182" s="64" t="s">
        <v>3587</v>
      </c>
      <c r="B1182" s="22" t="s">
        <v>3588</v>
      </c>
      <c r="C1182" s="64" t="s">
        <v>1284</v>
      </c>
      <c r="D1182" s="65">
        <v>1446.0</v>
      </c>
      <c r="E1182" s="34">
        <v>46141</v>
      </c>
      <c r="F1182" s="109" t="s">
        <v>3183</v>
      </c>
      <c r="G1182" s="104">
        <v>1.846222986E9</v>
      </c>
      <c r="H1182" s="64" t="s">
        <v>3589</v>
      </c>
      <c r="I1182" s="16">
        <f>IF(@Table1[[#This Row],[Delivery Date]]="","NA",@Table1[[#This Row],[Delivery Date]]+30)</f>
        <v>46171.0</v>
      </c>
      <c r="J1182" s="35" t="s">
        <f t="shared" si="15"/>
        <v>28</v>
      </c>
      <c r="K1182" s="87"/>
      <c r="L1182" s="89"/>
      <c r="M1182" s="89"/>
      <c r="N1182" s="89"/>
    </row>
    <row r="1183" customHeight="1" ht="14.0">
      <c r="A1183" s="64" t="s">
        <v>3590</v>
      </c>
      <c r="B1183" s="22" t="s">
        <v>3591</v>
      </c>
      <c r="C1183" s="64" t="s">
        <v>2895</v>
      </c>
      <c r="D1183" s="65">
        <v>625.0</v>
      </c>
      <c r="E1183" s="34">
        <v>46141</v>
      </c>
      <c r="F1183" s="109" t="s">
        <v>565</v>
      </c>
      <c r="G1183" s="104">
        <v>2.86600316E8</v>
      </c>
      <c r="H1183" s="64" t="s">
        <v>3592</v>
      </c>
      <c r="I1183" s="16">
        <f>IF(@Table1[[#This Row],[Delivery Date]]="","NA",@Table1[[#This Row],[Delivery Date]]+30)</f>
        <v>46171.0</v>
      </c>
      <c r="J1183" s="35" t="s">
        <f t="shared" si="15"/>
        <v>28</v>
      </c>
      <c r="K1183" s="87"/>
      <c r="L1183" s="89"/>
      <c r="M1183" s="89"/>
      <c r="N1183" s="89"/>
    </row>
    <row r="1184" customHeight="1" ht="14.0">
      <c r="A1184" s="64" t="s">
        <v>3593</v>
      </c>
      <c r="B1184" s="22" t="s">
        <v>3594</v>
      </c>
      <c r="C1184" s="64" t="s">
        <v>1066</v>
      </c>
      <c r="D1184" s="65">
        <v>858.0</v>
      </c>
      <c r="E1184" s="34">
        <v>46139</v>
      </c>
      <c r="F1184" s="109" t="s">
        <v>565</v>
      </c>
      <c r="G1184" s="104">
        <v>2.86600317E8</v>
      </c>
      <c r="H1184" s="64" t="s">
        <v>3595</v>
      </c>
      <c r="I1184" s="16">
        <f>IF(@Table1[[#This Row],[Delivery Date]]="","NA",@Table1[[#This Row],[Delivery Date]]+30)</f>
        <v>46169.0</v>
      </c>
      <c r="J1184" s="35" t="s">
        <f t="shared" si="15"/>
        <v>28</v>
      </c>
      <c r="K1184" s="87"/>
      <c r="L1184" s="89"/>
      <c r="M1184" s="89"/>
      <c r="N1184" s="89"/>
    </row>
    <row r="1185" customHeight="1" ht="14.0">
      <c r="A1185" s="64" t="s">
        <v>3596</v>
      </c>
      <c r="B1185" s="22" t="s">
        <v>3597</v>
      </c>
      <c r="C1185" s="64" t="s">
        <v>1319</v>
      </c>
      <c r="D1185" s="65">
        <v>1133.0</v>
      </c>
      <c r="E1185" s="34">
        <v>46139</v>
      </c>
      <c r="F1185" s="109" t="s">
        <v>565</v>
      </c>
      <c r="G1185" s="104">
        <v>2.8660032E8</v>
      </c>
      <c r="H1185" s="64" t="s">
        <v>3598</v>
      </c>
      <c r="I1185" s="16">
        <f>IF(@Table1[[#This Row],[Delivery Date]]="","NA",@Table1[[#This Row],[Delivery Date]]+30)</f>
        <v>46169.0</v>
      </c>
      <c r="J1185" s="35" t="s">
        <f t="shared" si="15"/>
        <v>28</v>
      </c>
      <c r="K1185" s="87"/>
      <c r="L1185" s="89"/>
      <c r="M1185" s="89"/>
      <c r="N1185" s="89"/>
    </row>
    <row r="1186" customHeight="1" ht="14.0">
      <c r="A1186" s="64" t="s">
        <v>3599</v>
      </c>
      <c r="B1186" s="22" t="s">
        <v>3600</v>
      </c>
      <c r="C1186" s="64" t="s">
        <v>1561</v>
      </c>
      <c r="D1186" s="65">
        <v>948.0</v>
      </c>
      <c r="E1186" s="34">
        <v>46138</v>
      </c>
      <c r="F1186" s="109" t="s">
        <v>565</v>
      </c>
      <c r="G1186" s="104">
        <v>2.86600319E8</v>
      </c>
      <c r="H1186" s="64" t="s">
        <v>3601</v>
      </c>
      <c r="I1186" s="16">
        <f>IF(@Table1[[#This Row],[Delivery Date]]="","NA",@Table1[[#This Row],[Delivery Date]]+30)</f>
        <v>46168.0</v>
      </c>
      <c r="J1186" s="35" t="s">
        <f t="shared" si="15"/>
        <v>28</v>
      </c>
      <c r="K1186" s="87"/>
      <c r="L1186" s="89"/>
      <c r="M1186" s="89"/>
      <c r="N1186" s="89"/>
    </row>
    <row r="1187" customHeight="1" ht="14.0">
      <c r="A1187" s="64" t="s">
        <v>3602</v>
      </c>
      <c r="B1187" s="22" t="s">
        <v>3603</v>
      </c>
      <c r="C1187" s="64" t="s">
        <v>1319</v>
      </c>
      <c r="D1187" s="65">
        <v>329.0</v>
      </c>
      <c r="E1187" s="34">
        <v>46139</v>
      </c>
      <c r="F1187" s="109" t="s">
        <v>565</v>
      </c>
      <c r="G1187" s="104">
        <v>2.8660032E8</v>
      </c>
      <c r="H1187" s="64" t="s">
        <v>3604</v>
      </c>
      <c r="I1187" s="16">
        <f>IF(@Table1[[#This Row],[Delivery Date]]="","NA",@Table1[[#This Row],[Delivery Date]]+30)</f>
        <v>46169.0</v>
      </c>
      <c r="J1187" s="35" t="s">
        <f t="shared" si="15"/>
        <v>28</v>
      </c>
      <c r="K1187" s="87"/>
      <c r="L1187" s="89"/>
      <c r="M1187" s="89"/>
      <c r="N1187" s="89"/>
    </row>
    <row r="1188" customHeight="1" ht="14.0">
      <c r="A1188" s="64" t="s">
        <v>3605</v>
      </c>
      <c r="B1188" s="22" t="s">
        <v>3606</v>
      </c>
      <c r="C1188" s="64" t="s">
        <v>58</v>
      </c>
      <c r="D1188" s="65">
        <v>1404.0</v>
      </c>
      <c r="E1188" s="34">
        <v>46140</v>
      </c>
      <c r="F1188" s="109" t="s">
        <v>565</v>
      </c>
      <c r="G1188" s="104">
        <v>2.86600323E8</v>
      </c>
      <c r="H1188" s="64" t="s">
        <v>3607</v>
      </c>
      <c r="I1188" s="16">
        <f>IF(@Table1[[#This Row],[Delivery Date]]="","NA",@Table1[[#This Row],[Delivery Date]]+30)</f>
        <v>46170.0</v>
      </c>
      <c r="J1188" s="35" t="s">
        <f t="shared" si="15"/>
        <v>28</v>
      </c>
      <c r="K1188" s="87"/>
      <c r="L1188" s="89"/>
      <c r="M1188" s="89"/>
      <c r="N1188" s="89"/>
    </row>
    <row r="1189" customHeight="1" ht="14.0">
      <c r="A1189" s="64" t="s">
        <v>3608</v>
      </c>
      <c r="B1189" s="22" t="s">
        <v>3609</v>
      </c>
      <c r="C1189" s="64" t="s">
        <v>2195</v>
      </c>
      <c r="D1189" s="65">
        <v>1448.0</v>
      </c>
      <c r="E1189" s="34">
        <v>46141</v>
      </c>
      <c r="F1189" s="109" t="s">
        <v>565</v>
      </c>
      <c r="G1189" s="104">
        <v>2.86600324E8</v>
      </c>
      <c r="H1189" s="64" t="s">
        <v>3610</v>
      </c>
      <c r="I1189" s="16">
        <f>IF(@Table1[[#This Row],[Delivery Date]]="","NA",@Table1[[#This Row],[Delivery Date]]+30)</f>
        <v>46171.0</v>
      </c>
      <c r="J1189" s="35" t="s">
        <f t="shared" si="15"/>
        <v>28</v>
      </c>
      <c r="K1189" s="87"/>
      <c r="L1189" s="89"/>
      <c r="M1189" s="89"/>
      <c r="N1189" s="89"/>
    </row>
    <row r="1190" customHeight="1" ht="14.0">
      <c r="A1190" s="64" t="s">
        <v>3611</v>
      </c>
      <c r="B1190" s="22" t="s">
        <v>3612</v>
      </c>
      <c r="C1190" s="64" t="s">
        <v>3404</v>
      </c>
      <c r="D1190" s="65">
        <v>1809.0</v>
      </c>
      <c r="E1190" s="34">
        <v>46143</v>
      </c>
      <c r="F1190" s="109" t="s">
        <v>565</v>
      </c>
      <c r="G1190" s="104">
        <v>2.86600325E8</v>
      </c>
      <c r="H1190" s="64" t="s">
        <v>3613</v>
      </c>
      <c r="I1190" s="16">
        <f>IF(@Table1[[#This Row],[Delivery Date]]="","NA",@Table1[[#This Row],[Delivery Date]]+30)</f>
        <v>46173.0</v>
      </c>
      <c r="J1190" s="35" t="s">
        <f t="shared" si="15"/>
        <v>28</v>
      </c>
      <c r="K1190" s="87"/>
      <c r="L1190" s="89"/>
      <c r="M1190" s="89"/>
      <c r="N1190" s="89"/>
    </row>
    <row r="1191" customHeight="1" ht="14.0">
      <c r="A1191" s="64" t="s">
        <v>3614</v>
      </c>
      <c r="B1191" s="22" t="s">
        <v>3615</v>
      </c>
      <c r="C1191" s="64" t="s">
        <v>1066</v>
      </c>
      <c r="D1191" s="65">
        <v>1257.0</v>
      </c>
      <c r="E1191" s="34">
        <v>46145</v>
      </c>
      <c r="F1191" s="109" t="s">
        <v>565</v>
      </c>
      <c r="G1191" s="104">
        <v>2.8660036E8</v>
      </c>
      <c r="H1191" s="64" t="s">
        <v>3616</v>
      </c>
      <c r="I1191" s="16">
        <f>IF(@Table1[[#This Row],[Delivery Date]]="","NA",@Table1[[#This Row],[Delivery Date]]+30)</f>
        <v>46175.0</v>
      </c>
      <c r="J1191" s="35" t="s">
        <f t="shared" si="15"/>
        <v>28</v>
      </c>
      <c r="K1191" s="87"/>
      <c r="L1191" s="89"/>
      <c r="M1191" s="89"/>
      <c r="N1191" s="89"/>
    </row>
    <row r="1192" customHeight="1" ht="14.0">
      <c r="A1192" s="64" t="s">
        <v>3617</v>
      </c>
      <c r="B1192" s="22" t="s">
        <v>3618</v>
      </c>
      <c r="C1192" s="64" t="s">
        <v>1047</v>
      </c>
      <c r="D1192" s="65">
        <v>312.0</v>
      </c>
      <c r="E1192" s="34">
        <v>46141</v>
      </c>
      <c r="F1192" s="109" t="s">
        <v>565</v>
      </c>
      <c r="G1192" s="104">
        <v>2.86600372E8</v>
      </c>
      <c r="H1192" s="64" t="s">
        <v>3619</v>
      </c>
      <c r="I1192" s="16">
        <f>IF(@Table1[[#This Row],[Delivery Date]]="","NA",@Table1[[#This Row],[Delivery Date]]+30)</f>
        <v>46171.0</v>
      </c>
      <c r="J1192" s="35" t="s">
        <f t="shared" si="15"/>
        <v>28</v>
      </c>
      <c r="K1192" s="87"/>
      <c r="L1192" s="89"/>
      <c r="M1192" s="89"/>
      <c r="N1192" s="89"/>
    </row>
    <row r="1193" customHeight="1" ht="14.0">
      <c r="A1193" s="64" t="s">
        <v>3620</v>
      </c>
      <c r="B1193" s="22" t="s">
        <v>3621</v>
      </c>
      <c r="C1193" s="64" t="s">
        <v>3257</v>
      </c>
      <c r="D1193" s="65">
        <v>857.0</v>
      </c>
      <c r="E1193" s="34">
        <v>46140</v>
      </c>
      <c r="F1193" s="109" t="s">
        <v>565</v>
      </c>
      <c r="G1193" s="104">
        <v>2.86600373E8</v>
      </c>
      <c r="H1193" s="64" t="s">
        <v>3622</v>
      </c>
      <c r="I1193" s="16">
        <f>IF(@Table1[[#This Row],[Delivery Date]]="","NA",@Table1[[#This Row],[Delivery Date]]+30)</f>
        <v>46170.0</v>
      </c>
      <c r="J1193" s="35" t="s">
        <f t="shared" si="15"/>
        <v>28</v>
      </c>
      <c r="K1193" s="87"/>
      <c r="L1193" s="89"/>
      <c r="M1193" s="89"/>
      <c r="N1193" s="89"/>
    </row>
    <row r="1194" customHeight="1" ht="14.0">
      <c r="A1194" s="64" t="s">
        <v>3623</v>
      </c>
      <c r="B1194" s="22" t="s">
        <v>3624</v>
      </c>
      <c r="C1194" s="64" t="s">
        <v>58</v>
      </c>
      <c r="D1194" s="65">
        <v>343.0</v>
      </c>
      <c r="E1194" s="34">
        <v>46148</v>
      </c>
      <c r="F1194" s="109" t="s">
        <v>3183</v>
      </c>
      <c r="G1194" s="104">
        <v>1.846224843E9</v>
      </c>
      <c r="H1194" s="64" t="s">
        <v>3625</v>
      </c>
      <c r="I1194" s="16">
        <f>IF(@Table1[[#This Row],[Delivery Date]]="","NA",@Table1[[#This Row],[Delivery Date]]+30)</f>
        <v>46178.0</v>
      </c>
      <c r="J1194" s="35" t="s">
        <f t="shared" si="15"/>
        <v>28</v>
      </c>
      <c r="K1194" s="87"/>
      <c r="L1194" s="89"/>
      <c r="M1194" s="89"/>
      <c r="N1194" s="89"/>
    </row>
    <row r="1195" customHeight="1" ht="14.0">
      <c r="A1195" s="64" t="s">
        <v>3626</v>
      </c>
      <c r="B1195" s="22" t="s">
        <v>3627</v>
      </c>
      <c r="C1195" s="64" t="s">
        <v>2208</v>
      </c>
      <c r="D1195" s="65">
        <v>1230.0</v>
      </c>
      <c r="E1195" s="34">
        <v>46141</v>
      </c>
      <c r="F1195" s="109" t="s">
        <v>565</v>
      </c>
      <c r="G1195" s="104">
        <v>2.86600382E8</v>
      </c>
      <c r="H1195" s="64" t="s">
        <v>3628</v>
      </c>
      <c r="I1195" s="16">
        <f>IF(@Table1[[#This Row],[Delivery Date]]="","NA",@Table1[[#This Row],[Delivery Date]]+30)</f>
        <v>46171.0</v>
      </c>
      <c r="J1195" s="35" t="s">
        <f t="shared" si="15"/>
        <v>28</v>
      </c>
      <c r="K1195" s="87"/>
      <c r="L1195" s="89"/>
      <c r="M1195" s="89"/>
      <c r="N1195" s="89"/>
    </row>
    <row r="1196" customHeight="1" ht="14.0">
      <c r="A1196" s="64" t="s">
        <v>3629</v>
      </c>
      <c r="B1196" s="22" t="s">
        <v>3630</v>
      </c>
      <c r="C1196" s="64" t="s">
        <v>2195</v>
      </c>
      <c r="D1196" s="65">
        <v>578.0</v>
      </c>
      <c r="E1196" s="34">
        <v>46146</v>
      </c>
      <c r="F1196" s="109" t="s">
        <v>565</v>
      </c>
      <c r="G1196" s="104">
        <v>2.86600377E8</v>
      </c>
      <c r="H1196" s="64" t="s">
        <v>3631</v>
      </c>
      <c r="I1196" s="16">
        <f>IF(@Table1[[#This Row],[Delivery Date]]="","NA",@Table1[[#This Row],[Delivery Date]]+30)</f>
        <v>46176.0</v>
      </c>
      <c r="J1196" s="35" t="s">
        <f t="shared" si="15"/>
        <v>28</v>
      </c>
      <c r="K1196" s="87"/>
      <c r="L1196" s="89"/>
      <c r="M1196" s="89"/>
      <c r="N1196" s="89"/>
    </row>
    <row r="1197" customHeight="1" ht="14.0">
      <c r="A1197" s="64" t="s">
        <v>3632</v>
      </c>
      <c r="B1197" s="22" t="s">
        <v>3633</v>
      </c>
      <c r="C1197" s="64" t="s">
        <v>141</v>
      </c>
      <c r="D1197" s="65">
        <v>688.0</v>
      </c>
      <c r="E1197" s="34">
        <v>46143</v>
      </c>
      <c r="F1197" s="109" t="s">
        <v>565</v>
      </c>
      <c r="G1197" s="104">
        <v>2.86600378E8</v>
      </c>
      <c r="H1197" s="64" t="s">
        <v>3634</v>
      </c>
      <c r="I1197" s="16">
        <f>IF(@Table1[[#This Row],[Delivery Date]]="","NA",@Table1[[#This Row],[Delivery Date]]+30)</f>
        <v>46173.0</v>
      </c>
      <c r="J1197" s="35" t="s">
        <f t="shared" si="15"/>
        <v>28</v>
      </c>
      <c r="K1197" s="87"/>
      <c r="L1197" s="89"/>
      <c r="M1197" s="89"/>
      <c r="N1197" s="89"/>
    </row>
    <row r="1198" customHeight="1" ht="14.0">
      <c r="A1198" s="64" t="s">
        <v>3635</v>
      </c>
      <c r="B1198" s="22" t="s">
        <v>3636</v>
      </c>
      <c r="C1198" s="64" t="s">
        <v>1728</v>
      </c>
      <c r="D1198" s="65">
        <v>948.0</v>
      </c>
      <c r="E1198" s="34">
        <v>46143</v>
      </c>
      <c r="F1198" s="109" t="s">
        <v>565</v>
      </c>
      <c r="G1198" s="104">
        <v>2.86600381E8</v>
      </c>
      <c r="H1198" s="64" t="s">
        <v>3637</v>
      </c>
      <c r="I1198" s="16">
        <f>IF(@Table1[[#This Row],[Delivery Date]]="","NA",@Table1[[#This Row],[Delivery Date]]+30)</f>
        <v>46173.0</v>
      </c>
      <c r="J1198" s="35" t="s">
        <f t="shared" si="15"/>
        <v>28</v>
      </c>
      <c r="K1198" s="87"/>
      <c r="L1198" s="89"/>
      <c r="M1198" s="89"/>
      <c r="N1198" s="89"/>
    </row>
    <row r="1199" customHeight="1" ht="14.0">
      <c r="A1199" s="64" t="s">
        <v>3638</v>
      </c>
      <c r="B1199" s="22" t="s">
        <v>3639</v>
      </c>
      <c r="C1199" s="64" t="s">
        <v>1669</v>
      </c>
      <c r="D1199" s="65">
        <v>1170.0</v>
      </c>
      <c r="E1199" s="34">
        <v>46148</v>
      </c>
      <c r="F1199" s="109" t="s">
        <v>565</v>
      </c>
      <c r="G1199" s="104">
        <v>2.866004E8</v>
      </c>
      <c r="H1199" s="64" t="s">
        <v>3640</v>
      </c>
      <c r="I1199" s="16">
        <f>IF(@Table1[[#This Row],[Delivery Date]]="","NA",@Table1[[#This Row],[Delivery Date]]+30)</f>
        <v>46178.0</v>
      </c>
      <c r="J1199" s="35" t="s">
        <f t="shared" si="15"/>
        <v>28</v>
      </c>
      <c r="K1199" s="87"/>
      <c r="L1199" s="89"/>
      <c r="M1199" s="89"/>
      <c r="N1199" s="89"/>
    </row>
    <row r="1200" customHeight="1" ht="14.0">
      <c r="A1200" s="64" t="s">
        <v>3641</v>
      </c>
      <c r="B1200" s="22" t="s">
        <v>3642</v>
      </c>
      <c r="C1200" s="64" t="s">
        <v>1039</v>
      </c>
      <c r="D1200" s="65">
        <v>2216.0</v>
      </c>
      <c r="E1200" s="34">
        <v>46142</v>
      </c>
      <c r="F1200" s="109" t="s">
        <v>565</v>
      </c>
      <c r="G1200" s="104">
        <v>2.86600391E8</v>
      </c>
      <c r="H1200" s="64" t="s">
        <v>3643</v>
      </c>
      <c r="I1200" s="16">
        <f>IF(@Table1[[#This Row],[Delivery Date]]="","NA",@Table1[[#This Row],[Delivery Date]]+30)</f>
        <v>46172.0</v>
      </c>
      <c r="J1200" s="35" t="s">
        <f t="shared" si="15"/>
        <v>28</v>
      </c>
      <c r="K1200" s="87"/>
      <c r="L1200" s="89"/>
      <c r="M1200" s="89"/>
      <c r="N1200" s="89"/>
    </row>
    <row r="1201" customHeight="1" ht="14.0">
      <c r="A1201" s="64" t="s">
        <v>3644</v>
      </c>
      <c r="B1201" s="22" t="s">
        <v>3645</v>
      </c>
      <c r="C1201" s="64" t="s">
        <v>3404</v>
      </c>
      <c r="D1201" s="65">
        <v>619.0</v>
      </c>
      <c r="E1201" s="34">
        <v>46146</v>
      </c>
      <c r="F1201" s="109" t="s">
        <v>3437</v>
      </c>
      <c r="G1201" s="104">
        <v>1.8462243E9</v>
      </c>
      <c r="H1201" s="64" t="s">
        <v>3646</v>
      </c>
      <c r="I1201" s="16">
        <f>IF(@Table1[[#This Row],[Delivery Date]]="","NA",@Table1[[#This Row],[Delivery Date]]+30)</f>
        <v>46176.0</v>
      </c>
      <c r="J1201" s="35" t="s">
        <f t="shared" si="15"/>
        <v>28</v>
      </c>
      <c r="K1201" s="87"/>
      <c r="L1201" s="89"/>
      <c r="M1201" s="89"/>
      <c r="N1201" s="89"/>
    </row>
    <row r="1202" customHeight="1" ht="14.0">
      <c r="A1202" s="64" t="s">
        <v>3647</v>
      </c>
      <c r="B1202" s="22" t="s">
        <v>3648</v>
      </c>
      <c r="C1202" s="64" t="s">
        <v>2895</v>
      </c>
      <c r="D1202" s="65">
        <v>258.0</v>
      </c>
      <c r="E1202" s="34">
        <v>46142</v>
      </c>
      <c r="F1202" s="109" t="s">
        <v>565</v>
      </c>
      <c r="G1202" s="104">
        <v>2.86600396E8</v>
      </c>
      <c r="H1202" s="64" t="s">
        <v>3649</v>
      </c>
      <c r="I1202" s="16">
        <f>IF(@Table1[[#This Row],[Delivery Date]]="","NA",@Table1[[#This Row],[Delivery Date]]+30)</f>
        <v>46172.0</v>
      </c>
      <c r="J1202" s="35" t="s">
        <f t="shared" si="15"/>
        <v>28</v>
      </c>
      <c r="K1202" s="87"/>
      <c r="L1202" s="89"/>
      <c r="M1202" s="89"/>
      <c r="N1202" s="89"/>
    </row>
    <row r="1203" customHeight="1" ht="14.0">
      <c r="A1203" s="64" t="s">
        <v>3650</v>
      </c>
      <c r="B1203" s="22" t="s">
        <v>3651</v>
      </c>
      <c r="C1203" s="64" t="s">
        <v>1284</v>
      </c>
      <c r="D1203" s="65">
        <v>1155.0</v>
      </c>
      <c r="E1203" s="34">
        <v>46146</v>
      </c>
      <c r="F1203" s="109" t="s">
        <v>3183</v>
      </c>
      <c r="G1203" s="104">
        <v>1.846224186E9</v>
      </c>
      <c r="H1203" s="64" t="s">
        <v>3652</v>
      </c>
      <c r="I1203" s="16">
        <f>IF(@Table1[[#This Row],[Delivery Date]]="","NA",@Table1[[#This Row],[Delivery Date]]+30)</f>
        <v>46176.0</v>
      </c>
      <c r="J1203" s="35" t="s">
        <f t="shared" si="15"/>
        <v>28</v>
      </c>
      <c r="K1203" s="87"/>
      <c r="L1203" s="89"/>
      <c r="M1203" s="89"/>
      <c r="N1203" s="89"/>
    </row>
    <row r="1204" customHeight="1" ht="14.0">
      <c r="A1204" s="64" t="s">
        <v>3653</v>
      </c>
      <c r="B1204" s="22" t="s">
        <v>3654</v>
      </c>
      <c r="C1204" s="64" t="s">
        <v>30</v>
      </c>
      <c r="D1204" s="65">
        <v>1888.0</v>
      </c>
      <c r="E1204" s="34">
        <v>46138</v>
      </c>
      <c r="F1204" s="109" t="s">
        <v>1576</v>
      </c>
      <c r="G1204" s="104" t="s">
        <v>1576</v>
      </c>
      <c r="H1204" s="64" t="s">
        <v>3655</v>
      </c>
      <c r="I1204" s="16">
        <f>IF(@Table1[[#This Row],[Delivery Date]]="","NA",@Table1[[#This Row],[Delivery Date]]+30)</f>
        <v>46168.0</v>
      </c>
      <c r="J1204" s="35" t="s">
        <f t="shared" si="15"/>
        <v>28</v>
      </c>
      <c r="K1204" s="87"/>
      <c r="L1204" s="89"/>
      <c r="M1204" s="89"/>
      <c r="N1204" s="89"/>
    </row>
    <row r="1205" customHeight="1" ht="14.0">
      <c r="A1205" s="64" t="s">
        <v>3656</v>
      </c>
      <c r="B1205" s="22" t="s">
        <v>3657</v>
      </c>
      <c r="C1205" s="64" t="s">
        <v>1231</v>
      </c>
      <c r="D1205" s="65">
        <v>765.0</v>
      </c>
      <c r="E1205" s="34">
        <v>46138</v>
      </c>
      <c r="F1205" s="109" t="s">
        <v>1576</v>
      </c>
      <c r="G1205" s="104" t="s">
        <v>1576</v>
      </c>
      <c r="H1205" s="64" t="s">
        <v>3658</v>
      </c>
      <c r="I1205" s="16">
        <f>IF(@Table1[[#This Row],[Delivery Date]]="","NA",@Table1[[#This Row],[Delivery Date]]+30)</f>
        <v>46168.0</v>
      </c>
      <c r="J1205" s="35" t="s">
        <f t="shared" si="15"/>
        <v>28</v>
      </c>
      <c r="K1205" s="87"/>
      <c r="L1205" s="89"/>
      <c r="M1205" s="89"/>
      <c r="N1205" s="89"/>
    </row>
    <row r="1206" customHeight="1" ht="14.0">
      <c r="A1206" s="64" t="s">
        <v>3659</v>
      </c>
      <c r="B1206" s="22" t="s">
        <v>3660</v>
      </c>
      <c r="C1206" s="64" t="s">
        <v>2895</v>
      </c>
      <c r="D1206" s="65">
        <v>400.0</v>
      </c>
      <c r="E1206" s="34">
        <v>46146</v>
      </c>
      <c r="F1206" s="109" t="s">
        <v>1031</v>
      </c>
      <c r="G1206" s="104">
        <v>2.86600431E8</v>
      </c>
      <c r="H1206" s="64" t="s">
        <v>3661</v>
      </c>
      <c r="I1206" s="16">
        <f>IF(@Table1[[#This Row],[Delivery Date]]="","NA",@Table1[[#This Row],[Delivery Date]]+30)</f>
        <v>46176.0</v>
      </c>
      <c r="J1206" s="35" t="s">
        <f t="shared" si="15"/>
        <v>28</v>
      </c>
      <c r="K1206" s="87"/>
      <c r="L1206" s="89"/>
      <c r="M1206" s="89"/>
      <c r="N1206" s="89"/>
    </row>
    <row r="1207" customHeight="1" ht="14.0">
      <c r="A1207" s="64" t="s">
        <v>3662</v>
      </c>
      <c r="B1207" s="22" t="s">
        <v>3663</v>
      </c>
      <c r="C1207" s="64" t="s">
        <v>1039</v>
      </c>
      <c r="D1207" s="65">
        <v>1616.0</v>
      </c>
      <c r="E1207" s="34">
        <v>46145</v>
      </c>
      <c r="F1207" s="109" t="s">
        <v>1031</v>
      </c>
      <c r="G1207" s="104">
        <v>2.86600432E8</v>
      </c>
      <c r="H1207" s="64" t="s">
        <v>3664</v>
      </c>
      <c r="I1207" s="16">
        <f>IF(@Table1[[#This Row],[Delivery Date]]="","NA",@Table1[[#This Row],[Delivery Date]]+30)</f>
        <v>46175.0</v>
      </c>
      <c r="J1207" s="35" t="s">
        <f t="shared" si="15"/>
        <v>28</v>
      </c>
      <c r="K1207" s="87"/>
      <c r="L1207" s="89"/>
      <c r="M1207" s="89"/>
      <c r="N1207" s="89"/>
    </row>
    <row r="1208" customHeight="1" ht="14.0">
      <c r="A1208" s="64" t="s">
        <v>3665</v>
      </c>
      <c r="B1208" s="22" t="s">
        <v>3666</v>
      </c>
      <c r="C1208" s="64" t="s">
        <v>3667</v>
      </c>
      <c r="D1208" s="65">
        <v>402.0</v>
      </c>
      <c r="E1208" s="34">
        <v>46160</v>
      </c>
      <c r="F1208" s="109" t="s">
        <v>3183</v>
      </c>
      <c r="G1208" s="104">
        <v>1.846226778E9</v>
      </c>
      <c r="H1208" s="64" t="s">
        <v>3668</v>
      </c>
      <c r="I1208" s="16">
        <f>IF(@Table1[[#This Row],[Delivery Date]]="","NA",@Table1[[#This Row],[Delivery Date]]+30)</f>
        <v>46190.0</v>
      </c>
      <c r="J1208" s="35" t="s">
        <f t="shared" si="15"/>
        <v>28</v>
      </c>
      <c r="K1208" s="87"/>
      <c r="L1208" s="89"/>
      <c r="M1208" s="89"/>
      <c r="N1208" s="89"/>
    </row>
    <row r="1209" customHeight="1" ht="14.0">
      <c r="A1209" s="64" t="s">
        <v>3669</v>
      </c>
      <c r="B1209" s="22" t="s">
        <v>3670</v>
      </c>
      <c r="C1209" s="64" t="s">
        <v>141</v>
      </c>
      <c r="D1209" s="65">
        <v>574.0</v>
      </c>
      <c r="E1209" s="34">
        <v>46149</v>
      </c>
      <c r="F1209" s="109" t="s">
        <v>1031</v>
      </c>
      <c r="G1209" s="104">
        <v>2.86600434E8</v>
      </c>
      <c r="H1209" s="64" t="s">
        <v>3671</v>
      </c>
      <c r="I1209" s="16">
        <f>IF(@Table1[[#This Row],[Delivery Date]]="","NA",@Table1[[#This Row],[Delivery Date]]+30)</f>
        <v>46179.0</v>
      </c>
      <c r="J1209" s="35" t="s">
        <f t="shared" si="15"/>
        <v>28</v>
      </c>
      <c r="K1209" s="87"/>
      <c r="L1209" s="89"/>
      <c r="M1209" s="89"/>
      <c r="N1209" s="89"/>
    </row>
    <row r="1210" customHeight="1" ht="14.0">
      <c r="A1210" s="64" t="s">
        <v>3672</v>
      </c>
      <c r="B1210" s="22" t="s">
        <v>3673</v>
      </c>
      <c r="C1210" s="64" t="s">
        <v>2981</v>
      </c>
      <c r="D1210" s="65">
        <v>316.0</v>
      </c>
      <c r="E1210" s="66">
        <v>46144</v>
      </c>
      <c r="F1210" s="109" t="s">
        <v>1031</v>
      </c>
      <c r="G1210" s="104">
        <v>2.86600435E8</v>
      </c>
      <c r="H1210" s="64" t="s">
        <v>3674</v>
      </c>
      <c r="I1210" s="16">
        <f>IF(@Table1[[#This Row],[Delivery Date]]="","NA",@Table1[[#This Row],[Delivery Date]]+30)</f>
        <v>46174.0</v>
      </c>
      <c r="J1210" s="35" t="s">
        <f t="shared" si="15"/>
        <v>28</v>
      </c>
      <c r="K1210" s="87"/>
      <c r="L1210" s="89"/>
      <c r="M1210" s="89"/>
      <c r="N1210" s="89"/>
    </row>
    <row r="1211" customHeight="1" ht="14.0">
      <c r="A1211" s="64" t="s">
        <v>3675</v>
      </c>
      <c r="B1211" s="22" t="s">
        <v>3676</v>
      </c>
      <c r="C1211" s="64" t="s">
        <v>3677</v>
      </c>
      <c r="D1211" s="65">
        <v>626.0</v>
      </c>
      <c r="E1211" s="75">
        <v>46153</v>
      </c>
      <c r="F1211" s="109" t="s">
        <v>3183</v>
      </c>
      <c r="G1211" s="104">
        <v>1.846226777E9</v>
      </c>
      <c r="H1211" s="116" t="s">
        <v>3678</v>
      </c>
      <c r="I1211" s="16">
        <f>IF(@Table1[[#This Row],[Delivery Date]]="","NA",@Table1[[#This Row],[Delivery Date]]+30)</f>
        <v>46183.0</v>
      </c>
      <c r="J1211" s="35" t="s">
        <f t="shared" si="15"/>
        <v>28</v>
      </c>
      <c r="K1211" s="87"/>
      <c r="L1211" s="89"/>
      <c r="M1211" s="89"/>
      <c r="N1211" s="89"/>
    </row>
    <row r="1212" customHeight="1" ht="14.0">
      <c r="A1212" s="64" t="s">
        <v>3679</v>
      </c>
      <c r="B1212" s="22" t="s">
        <v>3680</v>
      </c>
      <c r="C1212" s="64" t="s">
        <v>3681</v>
      </c>
      <c r="D1212" s="65">
        <v>792.0</v>
      </c>
      <c r="E1212" s="34">
        <v>46186</v>
      </c>
      <c r="F1212" s="109" t="s">
        <v>3183</v>
      </c>
      <c r="G1212" s="104">
        <v>1.846226779E9</v>
      </c>
      <c r="H1212" s="64" t="s">
        <v>3682</v>
      </c>
      <c r="I1212" s="16">
        <f>IF(@Table1[[#This Row],[Delivery Date]]="","NA",@Table1[[#This Row],[Delivery Date]]+30)</f>
        <v>46216.0</v>
      </c>
      <c r="J1212" s="35" t="s">
        <f t="shared" si="15"/>
        <v>707</v>
      </c>
      <c r="K1212" s="87"/>
      <c r="L1212" s="89"/>
      <c r="M1212" s="89"/>
      <c r="N1212" s="89"/>
    </row>
    <row r="1213" customHeight="1" ht="14.0">
      <c r="A1213" s="64" t="s">
        <v>3683</v>
      </c>
      <c r="B1213" s="22" t="s">
        <v>3684</v>
      </c>
      <c r="C1213" s="64" t="s">
        <v>1728</v>
      </c>
      <c r="D1213" s="65">
        <v>1164.0</v>
      </c>
      <c r="E1213" s="34">
        <v>46146</v>
      </c>
      <c r="F1213" s="109" t="s">
        <v>1031</v>
      </c>
      <c r="G1213" s="104">
        <v>2.86600438E8</v>
      </c>
      <c r="H1213" s="64" t="s">
        <v>3685</v>
      </c>
      <c r="I1213" s="16">
        <f>IF(@Table1[[#This Row],[Delivery Date]]="","NA",@Table1[[#This Row],[Delivery Date]]+30)</f>
        <v>46176.0</v>
      </c>
      <c r="J1213" s="35" t="s">
        <f t="shared" si="15"/>
        <v>28</v>
      </c>
      <c r="K1213" s="87"/>
      <c r="L1213" s="89"/>
      <c r="M1213" s="89"/>
      <c r="N1213" s="89"/>
    </row>
    <row r="1214" customHeight="1" ht="14.0">
      <c r="A1214" s="64" t="s">
        <v>3686</v>
      </c>
      <c r="B1214" s="22" t="s">
        <v>3687</v>
      </c>
      <c r="C1214" s="64" t="s">
        <v>2208</v>
      </c>
      <c r="D1214" s="65">
        <v>758.0</v>
      </c>
      <c r="E1214" s="34">
        <v>46153</v>
      </c>
      <c r="F1214" s="109" t="s">
        <v>3183</v>
      </c>
      <c r="G1214" s="104">
        <v>1.846226781E9</v>
      </c>
      <c r="H1214" s="64" t="s">
        <v>3688</v>
      </c>
      <c r="I1214" s="16">
        <f>IF(@Table1[[#This Row],[Delivery Date]]="","NA",@Table1[[#This Row],[Delivery Date]]+30)</f>
        <v>46183.0</v>
      </c>
      <c r="J1214" s="35" t="s">
        <f t="shared" si="15"/>
        <v>28</v>
      </c>
      <c r="K1214" s="87"/>
      <c r="L1214" s="89"/>
      <c r="M1214" s="89"/>
      <c r="N1214" s="89"/>
    </row>
    <row r="1215" customHeight="1" ht="14.0">
      <c r="A1215" s="64" t="s">
        <v>3689</v>
      </c>
      <c r="B1215" s="22" t="s">
        <v>3690</v>
      </c>
      <c r="C1215" s="64" t="s">
        <v>1066</v>
      </c>
      <c r="D1215" s="65">
        <v>354.0</v>
      </c>
      <c r="E1215" s="34">
        <v>46148</v>
      </c>
      <c r="F1215" s="109" t="s">
        <v>1031</v>
      </c>
      <c r="G1215" s="104">
        <v>2.8660044E8</v>
      </c>
      <c r="H1215" s="64" t="s">
        <v>3691</v>
      </c>
      <c r="I1215" s="16">
        <f>IF(@Table1[[#This Row],[Delivery Date]]="","NA",@Table1[[#This Row],[Delivery Date]]+30)</f>
        <v>46178.0</v>
      </c>
      <c r="J1215" s="35" t="s">
        <f t="shared" si="15"/>
        <v>28</v>
      </c>
      <c r="K1215" s="87"/>
      <c r="L1215" s="89"/>
      <c r="M1215" s="89"/>
      <c r="N1215" s="89"/>
    </row>
    <row r="1216" customHeight="1" ht="14.0">
      <c r="A1216" s="118" t="s">
        <v>3692</v>
      </c>
      <c r="B1216" s="42" t="s">
        <v>3693</v>
      </c>
      <c r="C1216" s="118" t="s">
        <v>58</v>
      </c>
      <c r="D1216" s="137">
        <v>265.0</v>
      </c>
      <c r="E1216" s="120">
        <v>46148</v>
      </c>
      <c r="F1216" s="122" t="s">
        <v>3183</v>
      </c>
      <c r="G1216" s="143">
        <v>1.846224843E9</v>
      </c>
      <c r="H1216" s="118" t="s">
        <v>108</v>
      </c>
      <c r="I1216" s="16">
        <f>IF(@Table1[[#This Row],[Delivery Date]]="","NA",@Table1[[#This Row],[Delivery Date]]+30)</f>
        <v>46178.0</v>
      </c>
      <c r="J1216" s="35" t="s">
        <f t="shared" si="15"/>
        <v>28</v>
      </c>
      <c r="K1216" s="87"/>
      <c r="L1216" s="89"/>
      <c r="M1216" s="89"/>
      <c r="N1216" s="89"/>
    </row>
    <row r="1217" customHeight="1" ht="14.0">
      <c r="A1217" s="64" t="s">
        <v>3694</v>
      </c>
      <c r="B1217" s="22" t="s">
        <v>3695</v>
      </c>
      <c r="C1217" s="64" t="s">
        <v>3404</v>
      </c>
      <c r="D1217" s="65">
        <v>844.0</v>
      </c>
      <c r="E1217" s="34"/>
      <c r="F1217" s="109" t="s">
        <v>3183</v>
      </c>
      <c r="G1217" s="104">
        <v>1.84622494E9</v>
      </c>
      <c r="H1217" s="64" t="s">
        <v>3696</v>
      </c>
      <c r="I1217" s="16" t="s">
        <f>IF(@Table1[[#This Row],[Delivery Date]]="","NA",@Table1[[#This Row],[Delivery Date]]+30)</f>
        <v>706</v>
      </c>
      <c r="J1217" s="35" t="s">
        <f t="shared" si="15"/>
        <v>707</v>
      </c>
      <c r="K1217" s="87"/>
      <c r="L1217" s="89"/>
      <c r="M1217" s="89"/>
      <c r="N1217" s="89"/>
    </row>
    <row r="1218" customHeight="1" ht="14.0">
      <c r="A1218" s="64" t="s">
        <v>3697</v>
      </c>
      <c r="B1218" s="22" t="s">
        <v>3698</v>
      </c>
      <c r="C1218" s="64" t="s">
        <v>1231</v>
      </c>
      <c r="D1218" s="65">
        <v>1095.0</v>
      </c>
      <c r="E1218" s="34">
        <v>46143</v>
      </c>
      <c r="F1218" s="109" t="s">
        <v>1576</v>
      </c>
      <c r="G1218" s="104" t="s">
        <v>1576</v>
      </c>
      <c r="H1218" s="64" t="s">
        <v>3699</v>
      </c>
      <c r="I1218" s="16">
        <f>IF(@Table1[[#This Row],[Delivery Date]]="","NA",@Table1[[#This Row],[Delivery Date]]+30)</f>
        <v>46173.0</v>
      </c>
      <c r="J1218" s="35" t="s">
        <f t="shared" si="15"/>
        <v>28</v>
      </c>
      <c r="K1218" s="87"/>
      <c r="L1218" s="89"/>
      <c r="M1218" s="89"/>
      <c r="N1218" s="89"/>
    </row>
    <row r="1219" customHeight="1" ht="14.0">
      <c r="A1219" s="64" t="s">
        <v>3700</v>
      </c>
      <c r="B1219" s="22" t="s">
        <v>3701</v>
      </c>
      <c r="C1219" s="64" t="s">
        <v>1231</v>
      </c>
      <c r="D1219" s="65">
        <v>627.0</v>
      </c>
      <c r="E1219" s="34">
        <v>46143</v>
      </c>
      <c r="F1219" s="109" t="s">
        <v>1576</v>
      </c>
      <c r="G1219" s="104" t="s">
        <v>1576</v>
      </c>
      <c r="H1219" s="64" t="s">
        <v>3702</v>
      </c>
      <c r="I1219" s="16">
        <f>IF(@Table1[[#This Row],[Delivery Date]]="","NA",@Table1[[#This Row],[Delivery Date]]+30)</f>
        <v>46173.0</v>
      </c>
      <c r="J1219" s="35" t="s">
        <f t="shared" si="15"/>
        <v>28</v>
      </c>
      <c r="K1219" s="87"/>
      <c r="L1219" s="89"/>
      <c r="M1219" s="89"/>
      <c r="N1219" s="89"/>
    </row>
    <row r="1220" customHeight="1" ht="14.0">
      <c r="A1220" s="64" t="s">
        <v>3703</v>
      </c>
      <c r="B1220" s="22" t="s">
        <v>3704</v>
      </c>
      <c r="C1220" s="64" t="s">
        <v>1728</v>
      </c>
      <c r="D1220" s="65">
        <v>516.0</v>
      </c>
      <c r="E1220" s="34">
        <v>46149</v>
      </c>
      <c r="F1220" s="109" t="s">
        <v>1031</v>
      </c>
      <c r="G1220" s="104">
        <v>2.86600497E8</v>
      </c>
      <c r="H1220" s="64" t="s">
        <v>3705</v>
      </c>
      <c r="I1220" s="16">
        <f>IF(@Table1[[#This Row],[Delivery Date]]="","NA",@Table1[[#This Row],[Delivery Date]]+30)</f>
        <v>46179.0</v>
      </c>
      <c r="J1220" s="35" t="s">
        <f t="shared" si="15"/>
        <v>28</v>
      </c>
      <c r="K1220" s="87"/>
      <c r="L1220" s="89"/>
      <c r="M1220" s="89"/>
      <c r="N1220" s="89"/>
    </row>
    <row r="1221" customHeight="1" ht="14.0">
      <c r="A1221" s="64" t="s">
        <v>3706</v>
      </c>
      <c r="B1221" s="22" t="s">
        <v>3707</v>
      </c>
      <c r="C1221" s="64" t="s">
        <v>2208</v>
      </c>
      <c r="D1221" s="65">
        <v>461.0</v>
      </c>
      <c r="E1221" s="34">
        <v>46153</v>
      </c>
      <c r="F1221" s="109" t="s">
        <v>1031</v>
      </c>
      <c r="G1221" s="104">
        <v>1.846226781E9</v>
      </c>
      <c r="H1221" s="64" t="s">
        <v>3708</v>
      </c>
      <c r="I1221" s="16">
        <f>IF(@Table1[[#This Row],[Delivery Date]]="","NA",@Table1[[#This Row],[Delivery Date]]+30)</f>
        <v>46183.0</v>
      </c>
      <c r="J1221" s="35" t="s">
        <f t="shared" si="15"/>
        <v>28</v>
      </c>
      <c r="K1221" s="87"/>
      <c r="L1221" s="89"/>
      <c r="M1221" s="89"/>
      <c r="N1221" s="89"/>
    </row>
    <row r="1222" customHeight="1" ht="14.0">
      <c r="A1222" s="64" t="s">
        <v>3709</v>
      </c>
      <c r="B1222" s="22" t="s">
        <v>3710</v>
      </c>
      <c r="C1222" s="64" t="s">
        <v>141</v>
      </c>
      <c r="D1222" s="65">
        <v>511.0</v>
      </c>
      <c r="E1222" s="34">
        <v>46151</v>
      </c>
      <c r="F1222" s="109" t="s">
        <v>1031</v>
      </c>
      <c r="G1222" s="104">
        <v>2.86600499E8</v>
      </c>
      <c r="H1222" s="64" t="s">
        <v>3711</v>
      </c>
      <c r="I1222" s="16">
        <f>IF(@Table1[[#This Row],[Delivery Date]]="","NA",@Table1[[#This Row],[Delivery Date]]+30)</f>
        <v>46181.0</v>
      </c>
      <c r="J1222" s="35" t="s">
        <f t="shared" si="15"/>
        <v>28</v>
      </c>
      <c r="K1222" s="87"/>
      <c r="L1222" s="89"/>
      <c r="M1222" s="89"/>
      <c r="N1222" s="89"/>
    </row>
    <row r="1223" customHeight="1" ht="14.0">
      <c r="A1223" s="64" t="s">
        <v>3712</v>
      </c>
      <c r="B1223" s="22" t="s">
        <v>3713</v>
      </c>
      <c r="C1223" s="64" t="s">
        <v>1669</v>
      </c>
      <c r="D1223" s="65">
        <v>409.0</v>
      </c>
      <c r="E1223" s="34">
        <v>46153</v>
      </c>
      <c r="F1223" s="109" t="s">
        <v>1031</v>
      </c>
      <c r="G1223" s="104">
        <v>1.846226777E9</v>
      </c>
      <c r="H1223" s="64" t="s">
        <v>3714</v>
      </c>
      <c r="I1223" s="16">
        <f>IF(@Table1[[#This Row],[Delivery Date]]="","NA",@Table1[[#This Row],[Delivery Date]]+30)</f>
        <v>46183.0</v>
      </c>
      <c r="J1223" s="35" t="s">
        <f t="shared" si="15"/>
        <v>28</v>
      </c>
      <c r="K1223" s="87"/>
      <c r="L1223" s="89"/>
      <c r="M1223" s="89"/>
      <c r="N1223" s="89"/>
    </row>
    <row r="1224" customHeight="1" ht="14.0">
      <c r="A1224" s="64" t="s">
        <v>3715</v>
      </c>
      <c r="B1224" s="22" t="s">
        <v>3716</v>
      </c>
      <c r="C1224" s="64" t="s">
        <v>3257</v>
      </c>
      <c r="D1224" s="65">
        <v>871.0</v>
      </c>
      <c r="E1224" s="34">
        <v>46148</v>
      </c>
      <c r="F1224" s="109" t="s">
        <v>3183</v>
      </c>
      <c r="G1224" s="104">
        <v>1.847268809E9</v>
      </c>
      <c r="H1224" s="64" t="s">
        <v>3717</v>
      </c>
      <c r="I1224" s="16">
        <f>IF(@Table1[[#This Row],[Delivery Date]]="","NA",@Table1[[#This Row],[Delivery Date]]+30)</f>
        <v>46178.0</v>
      </c>
      <c r="J1224" s="35" t="s">
        <f t="shared" si="15"/>
        <v>28</v>
      </c>
      <c r="K1224" s="87"/>
      <c r="L1224" s="89"/>
      <c r="M1224" s="89"/>
      <c r="N1224" s="89"/>
    </row>
    <row r="1225" customHeight="1" ht="14.0">
      <c r="A1225" s="64" t="s">
        <v>3718</v>
      </c>
      <c r="B1225" s="22" t="s">
        <v>3719</v>
      </c>
      <c r="C1225" s="64" t="s">
        <v>3245</v>
      </c>
      <c r="D1225" s="65">
        <v>260.0</v>
      </c>
      <c r="E1225" s="34"/>
      <c r="F1225" s="109" t="s">
        <v>3183</v>
      </c>
      <c r="G1225" s="104">
        <v>1.846225906E9</v>
      </c>
      <c r="H1225" s="64" t="s">
        <v>3720</v>
      </c>
      <c r="I1225" s="16" t="s">
        <f>IF(@Table1[[#This Row],[Delivery Date]]="","NA",@Table1[[#This Row],[Delivery Date]]+30)</f>
        <v>706</v>
      </c>
      <c r="J1225" s="35" t="s">
        <f t="shared" si="15"/>
        <v>707</v>
      </c>
      <c r="K1225" s="87"/>
      <c r="L1225" s="89"/>
      <c r="M1225" s="89"/>
      <c r="N1225" s="89"/>
    </row>
    <row r="1226" customHeight="1" ht="14.0">
      <c r="A1226" s="64" t="s">
        <v>3721</v>
      </c>
      <c r="B1226" s="22" t="s">
        <v>3722</v>
      </c>
      <c r="C1226" s="64" t="s">
        <v>3245</v>
      </c>
      <c r="D1226" s="65">
        <v>1008.0</v>
      </c>
      <c r="E1226" s="34">
        <v>46153</v>
      </c>
      <c r="F1226" s="109" t="s">
        <v>3183</v>
      </c>
      <c r="G1226" s="104">
        <v>1.846225906E9</v>
      </c>
      <c r="H1226" s="64" t="s">
        <v>3723</v>
      </c>
      <c r="I1226" s="16">
        <f>IF(@Table1[[#This Row],[Delivery Date]]="","NA",@Table1[[#This Row],[Delivery Date]]+30)</f>
        <v>46183.0</v>
      </c>
      <c r="J1226" s="35" t="s">
        <f t="shared" si="15"/>
        <v>28</v>
      </c>
      <c r="K1226" s="87"/>
      <c r="L1226" s="89"/>
      <c r="M1226" s="89"/>
      <c r="N1226" s="89"/>
    </row>
    <row r="1227" customHeight="1" ht="14.0">
      <c r="A1227" s="64" t="s">
        <v>3724</v>
      </c>
      <c r="B1227" s="22" t="s">
        <v>3725</v>
      </c>
      <c r="C1227" s="64" t="s">
        <v>3404</v>
      </c>
      <c r="D1227" s="65">
        <v>332.0</v>
      </c>
      <c r="E1227" s="34">
        <v>46148</v>
      </c>
      <c r="F1227" s="109" t="s">
        <v>3183</v>
      </c>
      <c r="G1227" s="104">
        <v>1.846225881E9</v>
      </c>
      <c r="H1227" s="64" t="s">
        <v>3726</v>
      </c>
      <c r="I1227" s="16">
        <f>IF(@Table1[[#This Row],[Delivery Date]]="","NA",@Table1[[#This Row],[Delivery Date]]+30)</f>
        <v>46178.0</v>
      </c>
      <c r="J1227" s="35" t="s">
        <f t="shared" si="15"/>
        <v>28</v>
      </c>
      <c r="K1227" s="87"/>
      <c r="L1227" s="89"/>
      <c r="M1227" s="89"/>
      <c r="N1227" s="89"/>
    </row>
    <row r="1228" customHeight="1" ht="14.0">
      <c r="A1228" s="64" t="s">
        <v>3727</v>
      </c>
      <c r="B1228" s="22" t="s">
        <v>3728</v>
      </c>
      <c r="C1228" s="64" t="s">
        <v>3383</v>
      </c>
      <c r="D1228" s="65">
        <v>1240.0</v>
      </c>
      <c r="E1228" s="34"/>
      <c r="F1228" s="109" t="s">
        <v>3183</v>
      </c>
      <c r="G1228" s="140">
        <v>1.846225902E9</v>
      </c>
      <c r="H1228" s="64" t="s">
        <v>3729</v>
      </c>
      <c r="I1228" s="16" t="s">
        <f>IF(@Table1[[#This Row],[Delivery Date]]="","NA",@Table1[[#This Row],[Delivery Date]]+30)</f>
        <v>706</v>
      </c>
      <c r="J1228" s="35" t="s">
        <f t="shared" si="15"/>
        <v>707</v>
      </c>
      <c r="K1228" s="87"/>
      <c r="L1228" s="89"/>
      <c r="M1228" s="89"/>
      <c r="N1228" s="89"/>
    </row>
    <row r="1229" customHeight="1" ht="14.0">
      <c r="A1229" s="64" t="s">
        <v>3730</v>
      </c>
      <c r="B1229" s="22" t="s">
        <v>3731</v>
      </c>
      <c r="C1229" s="64" t="s">
        <v>58</v>
      </c>
      <c r="D1229" s="65">
        <v>165.0</v>
      </c>
      <c r="E1229" s="34">
        <v>46155</v>
      </c>
      <c r="F1229" s="109" t="s">
        <v>1031</v>
      </c>
      <c r="G1229" s="140">
        <v>1.847268824E9</v>
      </c>
      <c r="H1229" s="64" t="s">
        <v>3732</v>
      </c>
      <c r="I1229" s="16">
        <f>IF(@Table1[[#This Row],[Delivery Date]]="","NA",@Table1[[#This Row],[Delivery Date]]+30)</f>
        <v>46185.0</v>
      </c>
      <c r="J1229" s="35" t="s">
        <f t="shared" si="15"/>
        <v>28</v>
      </c>
      <c r="K1229" s="87"/>
      <c r="L1229" s="89"/>
      <c r="M1229" s="89"/>
      <c r="N1229" s="89"/>
    </row>
    <row r="1230" customHeight="1" ht="14.0">
      <c r="A1230" s="64" t="s">
        <v>3733</v>
      </c>
      <c r="B1230" s="22" t="s">
        <v>3734</v>
      </c>
      <c r="C1230" s="64" t="s">
        <v>1066</v>
      </c>
      <c r="D1230" s="65">
        <v>180.0</v>
      </c>
      <c r="E1230" s="34">
        <v>46157</v>
      </c>
      <c r="F1230" s="109" t="s">
        <v>1031</v>
      </c>
      <c r="G1230" s="104">
        <v>2.86600627E8</v>
      </c>
      <c r="H1230" s="64" t="s">
        <v>3735</v>
      </c>
      <c r="I1230" s="16">
        <f>IF(@Table1[[#This Row],[Delivery Date]]="","NA",@Table1[[#This Row],[Delivery Date]]+30)</f>
        <v>46187.0</v>
      </c>
      <c r="J1230" s="35" t="s">
        <f t="shared" si="15"/>
        <v>28</v>
      </c>
      <c r="K1230" s="87"/>
      <c r="L1230" s="89"/>
      <c r="M1230" s="89"/>
      <c r="N1230" s="89"/>
    </row>
    <row r="1231" customHeight="1" ht="14.0">
      <c r="A1231" s="64" t="s">
        <v>3736</v>
      </c>
      <c r="B1231" s="22" t="s">
        <v>3737</v>
      </c>
      <c r="C1231" s="64" t="s">
        <v>1231</v>
      </c>
      <c r="D1231" s="65">
        <v>810.0</v>
      </c>
      <c r="E1231" s="34">
        <v>46143</v>
      </c>
      <c r="F1231" s="109" t="s">
        <v>1576</v>
      </c>
      <c r="G1231" s="104" t="s">
        <v>1576</v>
      </c>
      <c r="H1231" s="64" t="s">
        <v>3738</v>
      </c>
      <c r="I1231" s="16">
        <f>IF(@Table1[[#This Row],[Delivery Date]]="","NA",@Table1[[#This Row],[Delivery Date]]+30)</f>
        <v>46173.0</v>
      </c>
      <c r="J1231" s="35" t="s">
        <f t="shared" si="15"/>
        <v>28</v>
      </c>
      <c r="K1231" s="87"/>
      <c r="L1231" s="89"/>
      <c r="M1231" s="89"/>
      <c r="N1231" s="89"/>
    </row>
    <row r="1232" customHeight="1" ht="14.0">
      <c r="A1232" s="64" t="s">
        <v>3739</v>
      </c>
      <c r="B1232" s="22" t="s">
        <v>3740</v>
      </c>
      <c r="C1232" s="64" t="s">
        <v>2195</v>
      </c>
      <c r="D1232" s="65">
        <v>1536.0</v>
      </c>
      <c r="E1232" s="34">
        <v>46153</v>
      </c>
      <c r="F1232" s="109" t="s">
        <v>3183</v>
      </c>
      <c r="G1232" s="104">
        <v>1.84726881E9</v>
      </c>
      <c r="H1232" s="64" t="s">
        <v>3741</v>
      </c>
      <c r="I1232" s="16">
        <f>IF(@Table1[[#This Row],[Delivery Date]]="","NA",@Table1[[#This Row],[Delivery Date]]+30)</f>
        <v>46183.0</v>
      </c>
      <c r="J1232" s="35" t="s">
        <f t="shared" si="15"/>
        <v>28</v>
      </c>
      <c r="K1232" s="87"/>
      <c r="L1232" s="89"/>
      <c r="M1232" s="89"/>
      <c r="N1232" s="89"/>
    </row>
    <row r="1233" customHeight="1" ht="14.0">
      <c r="A1233" s="64" t="s">
        <v>3742</v>
      </c>
      <c r="B1233" s="22" t="s">
        <v>3743</v>
      </c>
      <c r="C1233" s="64" t="s">
        <v>1039</v>
      </c>
      <c r="D1233" s="65">
        <v>2024.0</v>
      </c>
      <c r="E1233" s="34">
        <v>46149</v>
      </c>
      <c r="F1233" s="109" t="s">
        <v>1031</v>
      </c>
      <c r="G1233" s="104">
        <v>2.86600516E8</v>
      </c>
      <c r="H1233" s="64" t="s">
        <v>3744</v>
      </c>
      <c r="I1233" s="16">
        <f>IF(@Table1[[#This Row],[Delivery Date]]="","NA",@Table1[[#This Row],[Delivery Date]]+30)</f>
        <v>46179.0</v>
      </c>
      <c r="J1233" s="35" t="s">
        <f t="shared" si="15"/>
        <v>28</v>
      </c>
      <c r="K1233" s="87"/>
      <c r="L1233" s="89"/>
      <c r="M1233" s="89"/>
      <c r="N1233" s="89"/>
    </row>
    <row r="1234" customHeight="1" ht="14.0">
      <c r="A1234" s="64" t="s">
        <v>3745</v>
      </c>
      <c r="B1234" s="22" t="s">
        <v>3746</v>
      </c>
      <c r="C1234" s="64" t="s">
        <v>1039</v>
      </c>
      <c r="D1234" s="65">
        <v>2024.0</v>
      </c>
      <c r="E1234" s="34">
        <v>46152</v>
      </c>
      <c r="F1234" s="109" t="s">
        <v>1031</v>
      </c>
      <c r="G1234" s="104">
        <v>2.86600566E8</v>
      </c>
      <c r="H1234" s="64" t="s">
        <v>3747</v>
      </c>
      <c r="I1234" s="16">
        <f>IF(@Table1[[#This Row],[Delivery Date]]="","NA",@Table1[[#This Row],[Delivery Date]]+30)</f>
        <v>46182.0</v>
      </c>
      <c r="J1234" s="35" t="s">
        <f t="shared" si="15"/>
        <v>28</v>
      </c>
      <c r="K1234" s="87"/>
      <c r="L1234" s="89"/>
      <c r="M1234" s="89"/>
      <c r="N1234" s="89"/>
    </row>
    <row r="1235" customHeight="1" ht="14.0">
      <c r="A1235" s="64" t="s">
        <v>3748</v>
      </c>
      <c r="B1235" s="22" t="s">
        <v>3749</v>
      </c>
      <c r="C1235" s="64" t="s">
        <v>1319</v>
      </c>
      <c r="D1235" s="65">
        <v>232.0</v>
      </c>
      <c r="E1235" s="34">
        <v>46153</v>
      </c>
      <c r="F1235" s="109" t="s">
        <v>3183</v>
      </c>
      <c r="G1235" s="104">
        <v>1.846226781E9</v>
      </c>
      <c r="H1235" s="64" t="s">
        <v>3750</v>
      </c>
      <c r="I1235" s="16">
        <f>IF(@Table1[[#This Row],[Delivery Date]]="","NA",@Table1[[#This Row],[Delivery Date]]+30)</f>
        <v>46183.0</v>
      </c>
      <c r="J1235" s="35" t="s">
        <f t="shared" si="15"/>
        <v>28</v>
      </c>
      <c r="K1235" s="87"/>
      <c r="L1235" s="89"/>
      <c r="M1235" s="89"/>
      <c r="N1235" s="89"/>
    </row>
    <row r="1236" customHeight="1" ht="14.0">
      <c r="A1236" s="64" t="s">
        <v>3751</v>
      </c>
      <c r="B1236" s="22" t="s">
        <v>3752</v>
      </c>
      <c r="C1236" s="64" t="s">
        <v>3257</v>
      </c>
      <c r="D1236" s="65">
        <v>314.0</v>
      </c>
      <c r="E1236" s="34">
        <v>46160</v>
      </c>
      <c r="F1236" s="109" t="s">
        <v>3183</v>
      </c>
      <c r="G1236" s="104">
        <v>1.846226778E9</v>
      </c>
      <c r="H1236" s="64" t="s">
        <v>3753</v>
      </c>
      <c r="I1236" s="16">
        <f>IF(@Table1[[#This Row],[Delivery Date]]="","NA",@Table1[[#This Row],[Delivery Date]]+30)</f>
        <v>46190.0</v>
      </c>
      <c r="J1236" s="35" t="s">
        <f t="shared" si="15"/>
        <v>28</v>
      </c>
      <c r="K1236" s="87"/>
      <c r="L1236" s="89"/>
      <c r="M1236" s="89"/>
      <c r="N1236" s="89"/>
    </row>
    <row r="1237" customHeight="1" ht="14.0">
      <c r="A1237" s="64" t="s">
        <v>3754</v>
      </c>
      <c r="B1237" s="22" t="s">
        <v>3755</v>
      </c>
      <c r="C1237" s="64" t="s">
        <v>2195</v>
      </c>
      <c r="D1237" s="65">
        <v>2418.0</v>
      </c>
      <c r="E1237" s="34">
        <v>46187</v>
      </c>
      <c r="F1237" s="109" t="s">
        <v>3183</v>
      </c>
      <c r="G1237" s="104">
        <v>1.846226779E9</v>
      </c>
      <c r="H1237" s="64" t="s">
        <v>3756</v>
      </c>
      <c r="I1237" s="16">
        <f>IF(@Table1[[#This Row],[Delivery Date]]="","NA",@Table1[[#This Row],[Delivery Date]]+30)</f>
        <v>46217.0</v>
      </c>
      <c r="J1237" s="35" t="s">
        <f t="shared" si="15"/>
        <v>707</v>
      </c>
      <c r="K1237" s="87"/>
      <c r="L1237" s="89"/>
      <c r="M1237" s="89"/>
      <c r="N1237" s="89"/>
    </row>
    <row r="1238" customHeight="1" ht="14.0">
      <c r="A1238" s="64" t="s">
        <v>3757</v>
      </c>
      <c r="B1238" s="22" t="s">
        <v>3758</v>
      </c>
      <c r="C1238" s="64" t="s">
        <v>1047</v>
      </c>
      <c r="D1238" s="65">
        <v>824.0</v>
      </c>
      <c r="E1238" s="34">
        <v>46153</v>
      </c>
      <c r="F1238" s="109" t="s">
        <v>3183</v>
      </c>
      <c r="G1238" s="104">
        <v>1.846226784E9</v>
      </c>
      <c r="H1238" s="64" t="s">
        <v>3759</v>
      </c>
      <c r="I1238" s="16">
        <f>IF(@Table1[[#This Row],[Delivery Date]]="","NA",@Table1[[#This Row],[Delivery Date]]+30)</f>
        <v>46183.0</v>
      </c>
      <c r="J1238" s="35" t="s">
        <f t="shared" si="15"/>
        <v>28</v>
      </c>
      <c r="K1238" s="87"/>
      <c r="L1238" s="89"/>
      <c r="M1238" s="89"/>
      <c r="N1238" s="89"/>
    </row>
    <row r="1239" customHeight="1" ht="14.0">
      <c r="A1239" s="64" t="s">
        <v>3760</v>
      </c>
      <c r="B1239" s="22" t="s">
        <v>3761</v>
      </c>
      <c r="C1239" s="64" t="s">
        <v>1284</v>
      </c>
      <c r="D1239" s="65">
        <v>985.0</v>
      </c>
      <c r="E1239" s="34">
        <v>46153</v>
      </c>
      <c r="F1239" s="109" t="s">
        <v>3183</v>
      </c>
      <c r="G1239" s="104">
        <v>1.846226776E9</v>
      </c>
      <c r="H1239" s="64" t="s">
        <v>3762</v>
      </c>
      <c r="I1239" s="16">
        <f>IF(@Table1[[#This Row],[Delivery Date]]="","NA",@Table1[[#This Row],[Delivery Date]]+30)</f>
        <v>46183.0</v>
      </c>
      <c r="J1239" s="35" t="s">
        <f t="shared" si="15"/>
        <v>28</v>
      </c>
      <c r="K1239" s="87"/>
      <c r="L1239" s="89"/>
      <c r="M1239" s="89"/>
      <c r="N1239" s="89"/>
    </row>
    <row r="1240" customHeight="1" ht="14.0">
      <c r="A1240" s="64" t="s">
        <v>3763</v>
      </c>
      <c r="B1240" s="22" t="s">
        <v>3764</v>
      </c>
      <c r="C1240" s="64" t="s">
        <v>141</v>
      </c>
      <c r="D1240" s="65">
        <v>714.0</v>
      </c>
      <c r="E1240" s="34">
        <v>46154</v>
      </c>
      <c r="F1240" s="109" t="s">
        <v>1031</v>
      </c>
      <c r="G1240" s="104">
        <v>2.86600607E8</v>
      </c>
      <c r="H1240" s="64" t="s">
        <v>3765</v>
      </c>
      <c r="I1240" s="16">
        <f>IF(@Table1[[#This Row],[Delivery Date]]="","NA",@Table1[[#This Row],[Delivery Date]]+30)</f>
        <v>46184.0</v>
      </c>
      <c r="J1240" s="35" t="s">
        <f t="shared" si="15"/>
        <v>28</v>
      </c>
      <c r="K1240" s="87"/>
      <c r="L1240" s="89"/>
      <c r="M1240" s="89"/>
      <c r="N1240" s="89"/>
    </row>
    <row r="1241" customHeight="1" ht="14.0">
      <c r="A1241" s="64" t="s">
        <v>3766</v>
      </c>
      <c r="B1241" s="22" t="s">
        <v>3767</v>
      </c>
      <c r="C1241" s="64" t="s">
        <v>1102</v>
      </c>
      <c r="D1241" s="65">
        <v>367.0</v>
      </c>
      <c r="E1241" s="34">
        <v>46154</v>
      </c>
      <c r="F1241" s="109" t="s">
        <v>1031</v>
      </c>
      <c r="G1241" s="104">
        <v>2.86600609E8</v>
      </c>
      <c r="H1241" s="64" t="s">
        <v>3768</v>
      </c>
      <c r="I1241" s="16">
        <f>IF(@Table1[[#This Row],[Delivery Date]]="","NA",@Table1[[#This Row],[Delivery Date]]+30)</f>
        <v>46184.0</v>
      </c>
      <c r="J1241" s="35" t="s">
        <f t="shared" si="15"/>
        <v>28</v>
      </c>
      <c r="K1241" s="87"/>
      <c r="L1241" s="89"/>
      <c r="M1241" s="89"/>
      <c r="N1241" s="89"/>
    </row>
    <row r="1242" customHeight="1" ht="14.0">
      <c r="A1242" s="64" t="s">
        <v>3769</v>
      </c>
      <c r="B1242" s="22" t="s">
        <v>3770</v>
      </c>
      <c r="C1242" s="64" t="s">
        <v>1561</v>
      </c>
      <c r="D1242" s="65">
        <v>376.0</v>
      </c>
      <c r="E1242" s="34">
        <v>46154</v>
      </c>
      <c r="F1242" s="109" t="s">
        <v>1031</v>
      </c>
      <c r="G1242" s="104">
        <v>2.86600612E8</v>
      </c>
      <c r="H1242" s="64" t="s">
        <v>3771</v>
      </c>
      <c r="I1242" s="16">
        <f>IF(@Table1[[#This Row],[Delivery Date]]="","NA",@Table1[[#This Row],[Delivery Date]]+30)</f>
        <v>46184.0</v>
      </c>
      <c r="J1242" s="35" t="s">
        <f t="shared" si="15"/>
        <v>28</v>
      </c>
      <c r="K1242" s="87"/>
      <c r="L1242" s="89"/>
      <c r="M1242" s="89"/>
      <c r="N1242" s="89"/>
    </row>
    <row r="1243" customHeight="1" ht="14.0">
      <c r="A1243" s="64" t="s">
        <v>3772</v>
      </c>
      <c r="B1243" s="22" t="s">
        <v>3773</v>
      </c>
      <c r="C1243" s="64" t="s">
        <v>3404</v>
      </c>
      <c r="D1243" s="65">
        <v>1798.0</v>
      </c>
      <c r="E1243" s="34">
        <v>46155</v>
      </c>
      <c r="F1243" s="109" t="s">
        <v>3183</v>
      </c>
      <c r="G1243" s="104">
        <v>1.847268822E9</v>
      </c>
      <c r="H1243" s="64" t="s">
        <v>3774</v>
      </c>
      <c r="I1243" s="16">
        <f>IF(@Table1[[#This Row],[Delivery Date]]="","NA",@Table1[[#This Row],[Delivery Date]]+30)</f>
        <v>46185.0</v>
      </c>
      <c r="J1243" s="35" t="s">
        <f t="shared" si="15"/>
        <v>28</v>
      </c>
      <c r="K1243" s="87"/>
      <c r="L1243" s="89"/>
      <c r="M1243" s="89"/>
      <c r="N1243" s="89"/>
    </row>
    <row r="1244" customHeight="1" ht="14.0">
      <c r="A1244" s="64" t="s">
        <v>3775</v>
      </c>
      <c r="B1244" s="22" t="s">
        <v>3776</v>
      </c>
      <c r="C1244" s="64" t="s">
        <v>3383</v>
      </c>
      <c r="D1244" s="65">
        <v>404.0</v>
      </c>
      <c r="E1244" s="34">
        <v>46157</v>
      </c>
      <c r="F1244" s="109" t="s">
        <v>3183</v>
      </c>
      <c r="G1244" s="104">
        <v>1.847268826E9</v>
      </c>
      <c r="H1244" s="64" t="s">
        <v>3777</v>
      </c>
      <c r="I1244" s="16">
        <f>IF(@Table1[[#This Row],[Delivery Date]]="","NA",@Table1[[#This Row],[Delivery Date]]+30)</f>
        <v>46187.0</v>
      </c>
      <c r="J1244" s="35" t="s">
        <f t="shared" si="15"/>
        <v>28</v>
      </c>
      <c r="K1244" s="87"/>
      <c r="L1244" s="89"/>
      <c r="M1244" s="89"/>
      <c r="N1244" s="89"/>
    </row>
    <row r="1245" customHeight="1" ht="14.0">
      <c r="A1245" s="64" t="s">
        <v>3778</v>
      </c>
      <c r="B1245" s="22" t="s">
        <v>3779</v>
      </c>
      <c r="C1245" s="64" t="s">
        <v>58</v>
      </c>
      <c r="D1245" s="65">
        <v>856.0</v>
      </c>
      <c r="E1245" s="34">
        <v>46155</v>
      </c>
      <c r="F1245" s="109" t="s">
        <v>3183</v>
      </c>
      <c r="G1245" s="104">
        <v>1.847268824E9</v>
      </c>
      <c r="H1245" s="64" t="s">
        <v>3780</v>
      </c>
      <c r="I1245" s="16">
        <f>IF(@Table1[[#This Row],[Delivery Date]]="","NA",@Table1[[#This Row],[Delivery Date]]+30)</f>
        <v>46185.0</v>
      </c>
      <c r="J1245" s="35" t="s">
        <f t="shared" si="15"/>
        <v>28</v>
      </c>
      <c r="K1245" s="87"/>
      <c r="L1245" s="89"/>
      <c r="M1245" s="89"/>
      <c r="N1245" s="89"/>
    </row>
    <row r="1246" customHeight="1" ht="14.0">
      <c r="A1246" s="64" t="s">
        <v>3781</v>
      </c>
      <c r="B1246" s="22" t="s">
        <v>3782</v>
      </c>
      <c r="C1246" s="64" t="s">
        <v>3783</v>
      </c>
      <c r="D1246" s="65">
        <v>698.0</v>
      </c>
      <c r="E1246" s="34">
        <v>46157</v>
      </c>
      <c r="F1246" s="109" t="s">
        <v>3183</v>
      </c>
      <c r="G1246" s="104">
        <v>1.847268858E9</v>
      </c>
      <c r="H1246" s="64" t="s">
        <v>3784</v>
      </c>
      <c r="I1246" s="16">
        <f>IF(@Table1[[#This Row],[Delivery Date]]="","NA",@Table1[[#This Row],[Delivery Date]]+30)</f>
        <v>46187.0</v>
      </c>
      <c r="J1246" s="35" t="s">
        <f t="shared" si="15"/>
        <v>28</v>
      </c>
      <c r="K1246" s="87"/>
      <c r="L1246" s="89"/>
      <c r="M1246" s="89"/>
      <c r="N1246" s="89"/>
    </row>
    <row r="1247" customHeight="1" ht="14.0">
      <c r="A1247" s="64" t="s">
        <v>3785</v>
      </c>
      <c r="B1247" s="22" t="s">
        <v>3786</v>
      </c>
      <c r="C1247" s="64" t="s">
        <v>1284</v>
      </c>
      <c r="D1247" s="65">
        <v>450.0</v>
      </c>
      <c r="E1247" s="34">
        <v>46155</v>
      </c>
      <c r="F1247" s="109" t="s">
        <v>1031</v>
      </c>
      <c r="G1247" s="104">
        <v>2.86600628E8</v>
      </c>
      <c r="H1247" s="64" t="s">
        <v>3787</v>
      </c>
      <c r="I1247" s="16">
        <f>IF(@Table1[[#This Row],[Delivery Date]]="","NA",@Table1[[#This Row],[Delivery Date]]+30)</f>
        <v>46185.0</v>
      </c>
      <c r="J1247" s="35" t="s">
        <f t="shared" si="15"/>
        <v>28</v>
      </c>
      <c r="K1247" s="87"/>
      <c r="L1247" s="89"/>
      <c r="M1247" s="89"/>
      <c r="N1247" s="89"/>
    </row>
    <row r="1248" customHeight="1" ht="14.0">
      <c r="A1248" s="64" t="s">
        <v>3788</v>
      </c>
      <c r="B1248" s="22" t="s">
        <v>3789</v>
      </c>
      <c r="C1248" s="64" t="s">
        <v>1047</v>
      </c>
      <c r="D1248" s="65">
        <v>468.0</v>
      </c>
      <c r="E1248" s="34">
        <v>46154</v>
      </c>
      <c r="F1248" s="109" t="s">
        <v>1031</v>
      </c>
      <c r="G1248" s="104">
        <v>2.86600629E8</v>
      </c>
      <c r="H1248" s="64" t="s">
        <v>3790</v>
      </c>
      <c r="I1248" s="16">
        <f>IF(@Table1[[#This Row],[Delivery Date]]="","NA",@Table1[[#This Row],[Delivery Date]]+30)</f>
        <v>46184.0</v>
      </c>
      <c r="J1248" s="35" t="s">
        <f t="shared" si="15"/>
        <v>28</v>
      </c>
      <c r="K1248" s="87"/>
      <c r="L1248" s="89"/>
      <c r="M1248" s="89"/>
      <c r="N1248" s="89"/>
    </row>
    <row r="1249" customHeight="1" ht="14.0">
      <c r="A1249" s="64" t="s">
        <v>3791</v>
      </c>
      <c r="B1249" s="22" t="s">
        <v>3792</v>
      </c>
      <c r="C1249" s="64" t="s">
        <v>1066</v>
      </c>
      <c r="D1249" s="65">
        <v>180.0</v>
      </c>
      <c r="E1249" s="34">
        <v>46157</v>
      </c>
      <c r="F1249" s="109" t="s">
        <v>1031</v>
      </c>
      <c r="G1249" s="104">
        <v>2.86600627E8</v>
      </c>
      <c r="H1249" s="64" t="s">
        <v>3793</v>
      </c>
      <c r="I1249" s="16">
        <f>IF(@Table1[[#This Row],[Delivery Date]]="","NA",@Table1[[#This Row],[Delivery Date]]+30)</f>
        <v>46187.0</v>
      </c>
      <c r="J1249" s="35" t="s">
        <f t="shared" si="15"/>
        <v>28</v>
      </c>
      <c r="K1249" s="87"/>
      <c r="L1249" s="89"/>
      <c r="M1249" s="89"/>
      <c r="N1249" s="89"/>
    </row>
    <row r="1250" customHeight="1" ht="14.0">
      <c r="A1250" s="64" t="s">
        <v>3794</v>
      </c>
      <c r="B1250" s="22" t="s">
        <v>3795</v>
      </c>
      <c r="C1250" s="64" t="s">
        <v>3667</v>
      </c>
      <c r="D1250" s="65">
        <v>560.0</v>
      </c>
      <c r="E1250" s="34"/>
      <c r="F1250" s="109" t="s">
        <v>3183</v>
      </c>
      <c r="G1250" s="104">
        <v>1.847268857E9</v>
      </c>
      <c r="H1250" s="64" t="s">
        <v>3796</v>
      </c>
      <c r="I1250" s="16" t="s">
        <f>IF(@Table1[[#This Row],[Delivery Date]]="","NA",@Table1[[#This Row],[Delivery Date]]+30)</f>
        <v>706</v>
      </c>
      <c r="J1250" s="35" t="s">
        <f t="shared" si="15"/>
        <v>707</v>
      </c>
      <c r="K1250" s="87"/>
      <c r="L1250" s="89"/>
      <c r="M1250" s="89"/>
      <c r="N1250" s="89"/>
    </row>
    <row r="1251" customHeight="1" ht="14.0">
      <c r="A1251" s="64" t="s">
        <v>3797</v>
      </c>
      <c r="B1251" s="22" t="s">
        <v>3798</v>
      </c>
      <c r="C1251" s="64" t="s">
        <v>1728</v>
      </c>
      <c r="D1251" s="65">
        <v>644.0</v>
      </c>
      <c r="E1251" s="34">
        <v>46158</v>
      </c>
      <c r="F1251" s="109" t="s">
        <v>1031</v>
      </c>
      <c r="G1251" s="104">
        <v>2.8660063E8</v>
      </c>
      <c r="H1251" s="64" t="s">
        <v>3799</v>
      </c>
      <c r="I1251" s="16">
        <f>IF(@Table1[[#This Row],[Delivery Date]]="","NA",@Table1[[#This Row],[Delivery Date]]+30)</f>
        <v>46188.0</v>
      </c>
      <c r="J1251" s="35" t="s">
        <f t="shared" si="15"/>
        <v>28</v>
      </c>
      <c r="K1251" s="87"/>
      <c r="L1251" s="89"/>
      <c r="M1251" s="89"/>
      <c r="N1251" s="89"/>
    </row>
    <row r="1252" customHeight="1" ht="14.0">
      <c r="A1252" s="64" t="s">
        <v>3800</v>
      </c>
      <c r="B1252" s="22" t="s">
        <v>3801</v>
      </c>
      <c r="C1252" s="64" t="s">
        <v>1039</v>
      </c>
      <c r="D1252" s="65">
        <v>1396.0</v>
      </c>
      <c r="E1252" s="34">
        <v>46155</v>
      </c>
      <c r="F1252" s="109" t="s">
        <v>1031</v>
      </c>
      <c r="G1252" s="104">
        <v>2.86600631E8</v>
      </c>
      <c r="H1252" s="64" t="s">
        <v>3802</v>
      </c>
      <c r="I1252" s="16">
        <f>IF(@Table1[[#This Row],[Delivery Date]]="","NA",@Table1[[#This Row],[Delivery Date]]+30)</f>
        <v>46185.0</v>
      </c>
      <c r="J1252" s="35" t="s">
        <f t="shared" si="15"/>
        <v>28</v>
      </c>
      <c r="K1252" s="87"/>
      <c r="L1252" s="89"/>
      <c r="M1252" s="89"/>
      <c r="N1252" s="89"/>
    </row>
    <row r="1253" customHeight="1" ht="14.0">
      <c r="A1253" s="64" t="s">
        <v>3803</v>
      </c>
      <c r="B1253" s="22" t="s">
        <v>3804</v>
      </c>
      <c r="C1253" s="64" t="s">
        <v>3257</v>
      </c>
      <c r="D1253" s="65">
        <v>611.0</v>
      </c>
      <c r="E1253" s="34">
        <v>46158</v>
      </c>
      <c r="F1253" s="109" t="s">
        <v>3183</v>
      </c>
      <c r="G1253" s="104"/>
      <c r="H1253" s="64" t="s">
        <v>3805</v>
      </c>
      <c r="I1253" s="16">
        <f>IF(@Table1[[#This Row],[Delivery Date]]="","NA",@Table1[[#This Row],[Delivery Date]]+30)</f>
        <v>46188.0</v>
      </c>
      <c r="J1253" s="35" t="s">
        <f t="shared" si="15"/>
        <v>28</v>
      </c>
      <c r="K1253" s="87"/>
      <c r="L1253" s="89"/>
      <c r="M1253" s="89"/>
      <c r="N1253" s="89"/>
    </row>
    <row r="1254" customHeight="1" ht="14.0">
      <c r="A1254" s="64" t="s">
        <v>3806</v>
      </c>
      <c r="B1254" s="22" t="s">
        <v>3807</v>
      </c>
      <c r="C1254" s="64" t="s">
        <v>1047</v>
      </c>
      <c r="D1254" s="65">
        <v>284.0</v>
      </c>
      <c r="E1254" s="34">
        <v>46158</v>
      </c>
      <c r="F1254" s="109" t="s">
        <v>1031</v>
      </c>
      <c r="G1254" s="104">
        <v>2.86600669E8</v>
      </c>
      <c r="H1254" s="64" t="s">
        <v>3808</v>
      </c>
      <c r="I1254" s="16">
        <f>IF(@Table1[[#This Row],[Delivery Date]]="","NA",@Table1[[#This Row],[Delivery Date]]+30)</f>
        <v>46188.0</v>
      </c>
      <c r="J1254" s="35" t="s">
        <f t="shared" si="15"/>
        <v>28</v>
      </c>
      <c r="K1254" s="87"/>
      <c r="L1254" s="89"/>
      <c r="M1254" s="89"/>
      <c r="N1254" s="89"/>
    </row>
    <row r="1255" customHeight="1" ht="14.0">
      <c r="A1255" s="64" t="s">
        <v>3809</v>
      </c>
      <c r="B1255" s="22" t="s">
        <v>3810</v>
      </c>
      <c r="C1255" s="64" t="s">
        <v>2195</v>
      </c>
      <c r="D1255" s="65">
        <v>925.0</v>
      </c>
      <c r="E1255" s="34">
        <v>46167</v>
      </c>
      <c r="F1255" s="109" t="s">
        <v>3183</v>
      </c>
      <c r="G1255" s="104">
        <v>1.847268875E9</v>
      </c>
      <c r="H1255" s="64" t="s">
        <v>3811</v>
      </c>
      <c r="I1255" s="16">
        <f>IF(@Table1[[#This Row],[Delivery Date]]="","NA",@Table1[[#This Row],[Delivery Date]]+30)</f>
        <v>46197.0</v>
      </c>
      <c r="J1255" s="35" t="s">
        <f t="shared" si="15"/>
        <v>28</v>
      </c>
      <c r="K1255" s="87"/>
      <c r="L1255" s="89"/>
      <c r="M1255" s="89"/>
      <c r="N1255" s="89"/>
    </row>
    <row r="1256" customHeight="1" ht="14.0">
      <c r="A1256" s="64" t="s">
        <v>3812</v>
      </c>
      <c r="B1256" s="22" t="s">
        <v>3813</v>
      </c>
      <c r="C1256" s="64" t="s">
        <v>1231</v>
      </c>
      <c r="D1256" s="65">
        <v>513.0</v>
      </c>
      <c r="E1256" s="34">
        <v>46155</v>
      </c>
      <c r="F1256" s="109" t="s">
        <v>1576</v>
      </c>
      <c r="G1256" s="104" t="s">
        <v>1576</v>
      </c>
      <c r="H1256" s="64" t="s">
        <v>3814</v>
      </c>
      <c r="I1256" s="16">
        <f>IF(@Table1[[#This Row],[Delivery Date]]="","NA",@Table1[[#This Row],[Delivery Date]]+30)</f>
        <v>46185.0</v>
      </c>
      <c r="J1256" s="35" t="s">
        <f t="shared" si="15"/>
        <v>28</v>
      </c>
      <c r="K1256" s="87"/>
      <c r="L1256" s="89"/>
      <c r="M1256" s="89"/>
      <c r="N1256" s="89"/>
    </row>
    <row r="1257" customHeight="1" ht="14.0">
      <c r="A1257" s="64" t="s">
        <v>3815</v>
      </c>
      <c r="B1257" s="22" t="s">
        <v>3816</v>
      </c>
      <c r="C1257" s="64" t="s">
        <v>141</v>
      </c>
      <c r="D1257" s="65">
        <v>638.0</v>
      </c>
      <c r="E1257" s="34">
        <v>46162</v>
      </c>
      <c r="F1257" s="109" t="s">
        <v>3817</v>
      </c>
      <c r="G1257" s="104">
        <v>2.86598616E8</v>
      </c>
      <c r="H1257" s="64" t="s">
        <v>3818</v>
      </c>
      <c r="I1257" s="16">
        <f>IF(@Table1[[#This Row],[Delivery Date]]="","NA",@Table1[[#This Row],[Delivery Date]]+30)</f>
        <v>46192.0</v>
      </c>
      <c r="J1257" s="35" t="s">
        <f t="shared" si="15"/>
        <v>28</v>
      </c>
      <c r="K1257" s="87"/>
      <c r="L1257" s="89"/>
      <c r="M1257" s="89"/>
      <c r="N1257" s="89"/>
    </row>
    <row r="1258" customHeight="1" ht="14.0">
      <c r="A1258" s="64" t="s">
        <v>3819</v>
      </c>
      <c r="B1258" s="22" t="s">
        <v>3820</v>
      </c>
      <c r="C1258" s="64" t="s">
        <v>1102</v>
      </c>
      <c r="D1258" s="65">
        <v>567.0</v>
      </c>
      <c r="E1258" s="34">
        <v>46165</v>
      </c>
      <c r="F1258" s="109" t="s">
        <v>1031</v>
      </c>
      <c r="G1258" s="104">
        <v>2.86598615E8</v>
      </c>
      <c r="H1258" s="64" t="s">
        <v>3821</v>
      </c>
      <c r="I1258" s="16">
        <f>IF(@Table1[[#This Row],[Delivery Date]]="","NA",@Table1[[#This Row],[Delivery Date]]+30)</f>
        <v>46195.0</v>
      </c>
      <c r="J1258" s="35" t="s">
        <f t="shared" si="15"/>
        <v>28</v>
      </c>
      <c r="K1258" s="87"/>
      <c r="L1258" s="89"/>
      <c r="M1258" s="89"/>
      <c r="N1258" s="89"/>
    </row>
    <row r="1259" customHeight="1" ht="14.0">
      <c r="A1259" s="64" t="s">
        <v>3822</v>
      </c>
      <c r="B1259" s="22" t="s">
        <v>3823</v>
      </c>
      <c r="C1259" s="64" t="s">
        <v>1561</v>
      </c>
      <c r="D1259" s="65">
        <v>648.0</v>
      </c>
      <c r="E1259" s="34">
        <v>46160</v>
      </c>
      <c r="F1259" s="109" t="s">
        <v>1031</v>
      </c>
      <c r="G1259" s="104">
        <v>2.86598618E8</v>
      </c>
      <c r="H1259" s="64" t="s">
        <v>3824</v>
      </c>
      <c r="I1259" s="16">
        <f>IF(@Table1[[#This Row],[Delivery Date]]="","NA",@Table1[[#This Row],[Delivery Date]]+30)</f>
        <v>46190.0</v>
      </c>
      <c r="J1259" s="35" t="s">
        <f t="shared" si="15"/>
        <v>28</v>
      </c>
      <c r="K1259" s="87"/>
      <c r="L1259" s="89"/>
      <c r="M1259" s="89"/>
      <c r="N1259" s="89"/>
    </row>
    <row r="1260" customHeight="1" ht="14.0">
      <c r="A1260" s="64" t="s">
        <v>3825</v>
      </c>
      <c r="B1260" s="22" t="s">
        <v>3826</v>
      </c>
      <c r="C1260" s="64" t="s">
        <v>1728</v>
      </c>
      <c r="D1260" s="65">
        <v>456.0</v>
      </c>
      <c r="E1260" s="34">
        <v>46190</v>
      </c>
      <c r="F1260" s="109" t="s">
        <v>1031</v>
      </c>
      <c r="G1260" s="104">
        <v>2.86598617E8</v>
      </c>
      <c r="H1260" s="64" t="s">
        <v>3827</v>
      </c>
      <c r="I1260" s="16">
        <f>IF(@Table1[[#This Row],[Delivery Date]]="","NA",@Table1[[#This Row],[Delivery Date]]+30)</f>
        <v>46220.0</v>
      </c>
      <c r="J1260" s="35" t="s">
        <f t="shared" si="15"/>
        <v>707</v>
      </c>
      <c r="K1260" s="87"/>
      <c r="L1260" s="89"/>
      <c r="M1260" s="89"/>
      <c r="N1260" s="89"/>
    </row>
    <row r="1261" customHeight="1" ht="14.0">
      <c r="A1261" s="64" t="s">
        <v>3828</v>
      </c>
      <c r="B1261" s="22" t="s">
        <v>3829</v>
      </c>
      <c r="C1261" s="64" t="s">
        <v>3783</v>
      </c>
      <c r="D1261" s="65">
        <v>535.0</v>
      </c>
      <c r="E1261" s="34">
        <v>46167</v>
      </c>
      <c r="F1261" s="109" t="s">
        <v>3183</v>
      </c>
      <c r="G1261" s="104">
        <v>1.847268878E9</v>
      </c>
      <c r="H1261" s="64" t="s">
        <v>3830</v>
      </c>
      <c r="I1261" s="16">
        <f>IF(@Table1[[#This Row],[Delivery Date]]="","NA",@Table1[[#This Row],[Delivery Date]]+30)</f>
        <v>46197.0</v>
      </c>
      <c r="J1261" s="35" t="s">
        <f t="shared" si="15"/>
        <v>28</v>
      </c>
      <c r="K1261" s="87"/>
      <c r="L1261" s="89"/>
      <c r="M1261" s="89"/>
      <c r="N1261" s="89"/>
    </row>
    <row r="1262" customHeight="1" ht="14.0">
      <c r="A1262" s="64" t="s">
        <v>3831</v>
      </c>
      <c r="B1262" s="22" t="s">
        <v>3832</v>
      </c>
      <c r="C1262" s="64" t="s">
        <v>3048</v>
      </c>
      <c r="D1262" s="65">
        <v>300.0</v>
      </c>
      <c r="E1262" s="34">
        <v>46162</v>
      </c>
      <c r="F1262" s="109" t="s">
        <v>3183</v>
      </c>
      <c r="G1262" s="104">
        <v>1.847268881E9</v>
      </c>
      <c r="H1262" s="64" t="s">
        <v>3833</v>
      </c>
      <c r="I1262" s="16">
        <f>IF(@Table1[[#This Row],[Delivery Date]]="","NA",@Table1[[#This Row],[Delivery Date]]+30)</f>
        <v>46192.0</v>
      </c>
      <c r="J1262" s="35" t="s">
        <f t="shared" si="15"/>
        <v>28</v>
      </c>
      <c r="K1262" s="87"/>
      <c r="L1262" s="89"/>
      <c r="M1262" s="89"/>
      <c r="N1262" s="89"/>
    </row>
    <row r="1263" customHeight="1" ht="14.0">
      <c r="A1263" s="64" t="s">
        <v>3834</v>
      </c>
      <c r="B1263" s="22" t="s">
        <v>3835</v>
      </c>
      <c r="C1263" s="64" t="s">
        <v>2208</v>
      </c>
      <c r="D1263" s="65">
        <v>758.0</v>
      </c>
      <c r="E1263" s="34">
        <v>46160</v>
      </c>
      <c r="F1263" s="109" t="s">
        <v>3183</v>
      </c>
      <c r="G1263" s="104">
        <v>1.847268882E9</v>
      </c>
      <c r="H1263" s="64" t="s">
        <v>3836</v>
      </c>
      <c r="I1263" s="16">
        <f>IF(@Table1[[#This Row],[Delivery Date]]="","NA",@Table1[[#This Row],[Delivery Date]]+30)</f>
        <v>46190.0</v>
      </c>
      <c r="J1263" s="35" t="s">
        <f t="shared" si="15"/>
        <v>28</v>
      </c>
      <c r="K1263" s="87"/>
      <c r="L1263" s="89"/>
      <c r="M1263" s="89"/>
      <c r="N1263" s="89"/>
    </row>
    <row r="1264" customHeight="1" ht="14.0">
      <c r="A1264" s="64" t="s">
        <v>3837</v>
      </c>
      <c r="B1264" s="22" t="s">
        <v>3838</v>
      </c>
      <c r="C1264" s="64" t="s">
        <v>58</v>
      </c>
      <c r="D1264" s="65">
        <v>1434.0</v>
      </c>
      <c r="E1264" s="34">
        <v>46164</v>
      </c>
      <c r="F1264" s="109" t="s">
        <v>3183</v>
      </c>
      <c r="G1264" s="104">
        <v>1.84726888E9</v>
      </c>
      <c r="H1264" s="64" t="s">
        <v>3839</v>
      </c>
      <c r="I1264" s="16">
        <f>IF(@Table1[[#This Row],[Delivery Date]]="","NA",@Table1[[#This Row],[Delivery Date]]+30)</f>
        <v>46194.0</v>
      </c>
      <c r="J1264" s="35" t="s">
        <f t="shared" si="15"/>
        <v>28</v>
      </c>
      <c r="K1264" s="87"/>
      <c r="L1264" s="89"/>
      <c r="M1264" s="89"/>
      <c r="N1264" s="89"/>
    </row>
    <row r="1265" customHeight="1" ht="14.0">
      <c r="A1265" s="64" t="s">
        <v>3840</v>
      </c>
      <c r="B1265" s="22" t="s">
        <v>3841</v>
      </c>
      <c r="C1265" s="64" t="s">
        <v>3404</v>
      </c>
      <c r="D1265" s="65">
        <v>1890.0</v>
      </c>
      <c r="E1265" s="34">
        <v>46161</v>
      </c>
      <c r="F1265" s="109" t="s">
        <v>3183</v>
      </c>
      <c r="G1265" s="104">
        <v>1.847268879E9</v>
      </c>
      <c r="H1265" s="64" t="s">
        <v>3842</v>
      </c>
      <c r="I1265" s="16">
        <f>IF(@Table1[[#This Row],[Delivery Date]]="","NA",@Table1[[#This Row],[Delivery Date]]+30)</f>
        <v>46191.0</v>
      </c>
      <c r="J1265" s="35" t="s">
        <f t="shared" si="15"/>
        <v>28</v>
      </c>
      <c r="K1265" s="87"/>
      <c r="L1265" s="89"/>
      <c r="M1265" s="89"/>
      <c r="N1265" s="89"/>
    </row>
    <row r="1266" customHeight="1" ht="14.0">
      <c r="A1266" s="64" t="s">
        <v>3843</v>
      </c>
      <c r="B1266" s="22" t="s">
        <v>3844</v>
      </c>
      <c r="C1266" s="64" t="s">
        <v>3257</v>
      </c>
      <c r="D1266" s="65">
        <v>624.0</v>
      </c>
      <c r="E1266" s="34">
        <v>46163</v>
      </c>
      <c r="F1266" s="109" t="s">
        <v>3183</v>
      </c>
      <c r="G1266" s="104">
        <v>1.847268891E9</v>
      </c>
      <c r="H1266" s="64" t="s">
        <v>3845</v>
      </c>
      <c r="I1266" s="16">
        <f>IF(@Table1[[#This Row],[Delivery Date]]="","NA",@Table1[[#This Row],[Delivery Date]]+30)</f>
        <v>46193.0</v>
      </c>
      <c r="J1266" s="35" t="s">
        <f t="shared" si="15"/>
        <v>28</v>
      </c>
      <c r="K1266" s="87"/>
      <c r="L1266" s="89"/>
      <c r="M1266" s="89"/>
      <c r="N1266" s="89"/>
    </row>
    <row r="1267" customHeight="1" ht="14.0">
      <c r="A1267" s="64" t="s">
        <v>3846</v>
      </c>
      <c r="B1267" s="22" t="s">
        <v>3847</v>
      </c>
      <c r="C1267" s="64" t="s">
        <v>1047</v>
      </c>
      <c r="D1267" s="65">
        <v>312.0</v>
      </c>
      <c r="E1267" s="34">
        <v>46163</v>
      </c>
      <c r="F1267" s="109" t="s">
        <v>1031</v>
      </c>
      <c r="G1267" s="104">
        <v>2.86598658E8</v>
      </c>
      <c r="H1267" s="64" t="s">
        <v>3848</v>
      </c>
      <c r="I1267" s="16">
        <f>IF(@Table1[[#This Row],[Delivery Date]]="","NA",@Table1[[#This Row],[Delivery Date]]+30)</f>
        <v>46193.0</v>
      </c>
      <c r="J1267" s="35" t="s">
        <f t="shared" si="15"/>
        <v>28</v>
      </c>
      <c r="K1267" s="87"/>
      <c r="L1267" s="89"/>
      <c r="M1267" s="89"/>
      <c r="N1267" s="89"/>
    </row>
    <row r="1268" customHeight="1" ht="14.0">
      <c r="A1268" s="64" t="s">
        <v>3849</v>
      </c>
      <c r="B1268" s="22" t="s">
        <v>3850</v>
      </c>
      <c r="C1268" s="64" t="s">
        <v>1039</v>
      </c>
      <c r="D1268" s="65">
        <v>2236.0</v>
      </c>
      <c r="E1268" s="34">
        <v>46163</v>
      </c>
      <c r="F1268" s="109" t="s">
        <v>1031</v>
      </c>
      <c r="G1268" s="104">
        <v>2.8659866E8</v>
      </c>
      <c r="H1268" s="64" t="s">
        <v>3851</v>
      </c>
      <c r="I1268" s="16">
        <f>IF(@Table1[[#This Row],[Delivery Date]]="","NA",@Table1[[#This Row],[Delivery Date]]+30)</f>
        <v>46193.0</v>
      </c>
      <c r="J1268" s="35" t="s">
        <f t="shared" si="15"/>
        <v>28</v>
      </c>
      <c r="K1268" s="87"/>
      <c r="L1268" s="89"/>
      <c r="M1268" s="89"/>
      <c r="N1268" s="89"/>
    </row>
    <row r="1269" customHeight="1" ht="14.0">
      <c r="A1269" s="64" t="s">
        <v>3852</v>
      </c>
      <c r="B1269" s="22" t="s">
        <v>3853</v>
      </c>
      <c r="C1269" s="64" t="s">
        <v>1231</v>
      </c>
      <c r="D1269" s="65">
        <v>876.0</v>
      </c>
      <c r="E1269" s="34">
        <v>46158</v>
      </c>
      <c r="F1269" s="109" t="s">
        <v>1919</v>
      </c>
      <c r="G1269" s="104" t="s">
        <v>1919</v>
      </c>
      <c r="H1269" s="64" t="s">
        <v>3854</v>
      </c>
      <c r="I1269" s="16">
        <f>IF(@Table1[[#This Row],[Delivery Date]]="","NA",@Table1[[#This Row],[Delivery Date]]+30)</f>
        <v>46188.0</v>
      </c>
      <c r="J1269" s="35" t="s">
        <f t="shared" si="15"/>
        <v>28</v>
      </c>
      <c r="K1269" s="87"/>
      <c r="L1269" s="89"/>
      <c r="M1269" s="89"/>
      <c r="N1269" s="89"/>
    </row>
    <row r="1270" customHeight="1" ht="14.0">
      <c r="A1270" s="64" t="s">
        <v>3855</v>
      </c>
      <c r="B1270" s="22" t="s">
        <v>3856</v>
      </c>
      <c r="C1270" s="64" t="s">
        <v>3667</v>
      </c>
      <c r="D1270" s="65">
        <v>1252.0</v>
      </c>
      <c r="E1270" s="34">
        <v>46165</v>
      </c>
      <c r="F1270" s="109" t="s">
        <v>3183</v>
      </c>
      <c r="G1270" s="104">
        <v>1.847268899E9</v>
      </c>
      <c r="H1270" s="64" t="s">
        <v>3857</v>
      </c>
      <c r="I1270" s="16">
        <f>IF(@Table1[[#This Row],[Delivery Date]]="","NA",@Table1[[#This Row],[Delivery Date]]+30)</f>
        <v>46195.0</v>
      </c>
      <c r="J1270" s="35" t="s">
        <f t="shared" si="15"/>
        <v>28</v>
      </c>
      <c r="K1270" s="87"/>
      <c r="L1270" s="89"/>
      <c r="M1270" s="89"/>
      <c r="N1270" s="89"/>
    </row>
    <row r="1271" customHeight="1" ht="14.0">
      <c r="A1271" s="64" t="s">
        <v>3858</v>
      </c>
      <c r="B1271" s="22" t="s">
        <v>3859</v>
      </c>
      <c r="C1271" s="64" t="s">
        <v>26</v>
      </c>
      <c r="D1271" s="65">
        <v>880.0</v>
      </c>
      <c r="E1271" s="34">
        <v>46168</v>
      </c>
      <c r="F1271" s="109" t="s">
        <v>565</v>
      </c>
      <c r="G1271" s="104">
        <v>2.86598696E8</v>
      </c>
      <c r="H1271" s="64" t="s">
        <v>3860</v>
      </c>
      <c r="I1271" s="16">
        <f>IF(@Table1[[#This Row],[Delivery Date]]="","NA",@Table1[[#This Row],[Delivery Date]]+30)</f>
        <v>46198.0</v>
      </c>
      <c r="J1271" s="35" t="s">
        <f t="shared" si="15"/>
        <v>28</v>
      </c>
      <c r="K1271" s="87"/>
      <c r="L1271" s="89"/>
      <c r="M1271" s="89"/>
      <c r="N1271" s="89"/>
    </row>
    <row r="1272" customHeight="1" ht="14.0">
      <c r="A1272" s="64" t="s">
        <v>3861</v>
      </c>
      <c r="B1272" s="22" t="s">
        <v>3862</v>
      </c>
      <c r="C1272" s="64" t="s">
        <v>33</v>
      </c>
      <c r="D1272" s="65">
        <v>1000.0</v>
      </c>
      <c r="E1272" s="34">
        <v>46168</v>
      </c>
      <c r="F1272" s="109" t="s">
        <v>565</v>
      </c>
      <c r="G1272" s="104">
        <v>2.86598697E8</v>
      </c>
      <c r="H1272" s="64" t="s">
        <v>3863</v>
      </c>
      <c r="I1272" s="16">
        <f>IF(@Table1[[#This Row],[Delivery Date]]="","NA",@Table1[[#This Row],[Delivery Date]]+30)</f>
        <v>46198.0</v>
      </c>
      <c r="J1272" s="35" t="s">
        <f t="shared" si="15"/>
        <v>28</v>
      </c>
      <c r="K1272" s="87"/>
      <c r="L1272" s="89"/>
      <c r="M1272" s="89"/>
      <c r="N1272" s="89"/>
    </row>
    <row r="1273" customHeight="1" ht="14.0">
      <c r="A1273" s="64" t="s">
        <v>3864</v>
      </c>
      <c r="B1273" s="22" t="s">
        <v>3865</v>
      </c>
      <c r="C1273" s="64" t="s">
        <v>3681</v>
      </c>
      <c r="D1273" s="65">
        <v>1752.0</v>
      </c>
      <c r="E1273" s="34">
        <v>46178</v>
      </c>
      <c r="F1273" s="109" t="s">
        <v>3183</v>
      </c>
      <c r="G1273" s="104">
        <v>1.847268898E9</v>
      </c>
      <c r="H1273" s="64" t="s">
        <v>3866</v>
      </c>
      <c r="I1273" s="16">
        <f>IF(@Table1[[#This Row],[Delivery Date]]="","NA",@Table1[[#This Row],[Delivery Date]]+30)</f>
        <v>46208.0</v>
      </c>
      <c r="J1273" s="35" t="s">
        <f t="shared" si="15"/>
        <v>707</v>
      </c>
      <c r="K1273" s="87"/>
      <c r="L1273" s="89"/>
      <c r="M1273" s="89"/>
      <c r="N1273" s="89"/>
    </row>
    <row r="1274" customHeight="1" ht="14.0">
      <c r="A1274" s="64" t="s">
        <v>3867</v>
      </c>
      <c r="B1274" s="22" t="s">
        <v>3868</v>
      </c>
      <c r="C1274" s="64" t="s">
        <v>420</v>
      </c>
      <c r="D1274" s="65">
        <v>2988.0</v>
      </c>
      <c r="E1274" s="34">
        <v>46168</v>
      </c>
      <c r="F1274" s="109" t="s">
        <v>565</v>
      </c>
      <c r="G1274" s="104">
        <v>2.86598703E8</v>
      </c>
      <c r="H1274" s="64" t="s">
        <v>3869</v>
      </c>
      <c r="I1274" s="16">
        <f>IF(@Table1[[#This Row],[Delivery Date]]="","NA",@Table1[[#This Row],[Delivery Date]]+30)</f>
        <v>46198.0</v>
      </c>
      <c r="J1274" s="35" t="s">
        <f t="shared" si="15"/>
        <v>28</v>
      </c>
      <c r="K1274" s="87"/>
      <c r="L1274" s="89"/>
      <c r="M1274" s="89"/>
      <c r="N1274" s="89"/>
    </row>
    <row r="1275" customHeight="1" ht="14.0">
      <c r="A1275" s="64" t="s">
        <v>3870</v>
      </c>
      <c r="B1275" s="22" t="s">
        <v>3871</v>
      </c>
      <c r="C1275" s="64" t="s">
        <v>3245</v>
      </c>
      <c r="D1275" s="65">
        <v>72.0</v>
      </c>
      <c r="E1275" s="75">
        <v>46170</v>
      </c>
      <c r="F1275" s="109" t="s">
        <v>3183</v>
      </c>
      <c r="G1275" s="104">
        <v>1.847268912E9</v>
      </c>
      <c r="H1275" s="64" t="s">
        <v>3872</v>
      </c>
      <c r="I1275" s="16">
        <f>IF(@Table1[[#This Row],[Delivery Date]]="","NA",@Table1[[#This Row],[Delivery Date]]+30)</f>
        <v>46200.0</v>
      </c>
      <c r="J1275" s="35" t="s">
        <f t="shared" si="15"/>
        <v>28</v>
      </c>
      <c r="K1275" s="87"/>
      <c r="L1275" s="89"/>
      <c r="M1275" s="89"/>
      <c r="N1275" s="89"/>
    </row>
    <row r="1276" customHeight="1" ht="14.0">
      <c r="A1276" s="64" t="s">
        <v>3873</v>
      </c>
      <c r="B1276" s="22" t="s">
        <v>3874</v>
      </c>
      <c r="C1276" s="64" t="s">
        <v>3245</v>
      </c>
      <c r="D1276" s="65">
        <v>168.0</v>
      </c>
      <c r="E1276" s="75">
        <v>46170</v>
      </c>
      <c r="F1276" s="109" t="s">
        <v>3183</v>
      </c>
      <c r="G1276" s="104">
        <v>1.847268912E9</v>
      </c>
      <c r="H1276" s="64" t="s">
        <v>3875</v>
      </c>
      <c r="I1276" s="16">
        <f>IF(@Table1[[#This Row],[Delivery Date]]="","NA",@Table1[[#This Row],[Delivery Date]]+30)</f>
        <v>46200.0</v>
      </c>
      <c r="J1276" s="35" t="s">
        <f t="shared" si="15"/>
        <v>28</v>
      </c>
      <c r="K1276" s="87"/>
      <c r="L1276" s="89"/>
      <c r="M1276" s="89"/>
      <c r="N1276" s="89"/>
    </row>
    <row r="1277" customHeight="1" ht="14.0">
      <c r="A1277" s="64" t="s">
        <v>3876</v>
      </c>
      <c r="B1277" s="22" t="s">
        <v>3877</v>
      </c>
      <c r="C1277" s="64" t="s">
        <v>3245</v>
      </c>
      <c r="D1277" s="65">
        <v>252.0</v>
      </c>
      <c r="E1277" s="75">
        <v>46170</v>
      </c>
      <c r="F1277" s="109" t="s">
        <v>3183</v>
      </c>
      <c r="G1277" s="104">
        <v>1.847268912E9</v>
      </c>
      <c r="H1277" s="64" t="s">
        <v>3878</v>
      </c>
      <c r="I1277" s="16">
        <f>IF(@Table1[[#This Row],[Delivery Date]]="","NA",@Table1[[#This Row],[Delivery Date]]+30)</f>
        <v>46200.0</v>
      </c>
      <c r="J1277" s="35" t="s">
        <f t="shared" si="15"/>
        <v>28</v>
      </c>
      <c r="K1277" s="87"/>
      <c r="L1277" s="89"/>
      <c r="M1277" s="89"/>
      <c r="N1277" s="89"/>
    </row>
    <row r="1278" customHeight="1" ht="14.0">
      <c r="A1278" s="64" t="s">
        <v>3879</v>
      </c>
      <c r="B1278" s="22" t="s">
        <v>3880</v>
      </c>
      <c r="C1278" s="64" t="s">
        <v>15</v>
      </c>
      <c r="D1278" s="131">
        <v>450.0</v>
      </c>
      <c r="E1278" s="75">
        <v>46170</v>
      </c>
      <c r="F1278" s="132" t="s">
        <v>565</v>
      </c>
      <c r="G1278" s="144">
        <v>2.86598731E8</v>
      </c>
      <c r="H1278" s="64" t="s">
        <v>3881</v>
      </c>
      <c r="I1278" s="16">
        <f>IF(@Table1[[#This Row],[Delivery Date]]="","NA",@Table1[[#This Row],[Delivery Date]]+30)</f>
        <v>46200.0</v>
      </c>
      <c r="J1278" s="35" t="s">
        <f t="shared" si="15"/>
        <v>28</v>
      </c>
      <c r="K1278" s="87"/>
      <c r="L1278" s="89"/>
      <c r="M1278" s="89"/>
      <c r="N1278" s="89"/>
    </row>
    <row r="1279" customHeight="1" ht="14.0">
      <c r="A1279" s="64" t="s">
        <v>3882</v>
      </c>
      <c r="B1279" s="22" t="s">
        <v>3883</v>
      </c>
      <c r="C1279" s="64" t="s">
        <v>15</v>
      </c>
      <c r="D1279" s="65">
        <v>633.0</v>
      </c>
      <c r="E1279" s="75">
        <v>46170</v>
      </c>
      <c r="F1279" s="109" t="s">
        <v>565</v>
      </c>
      <c r="G1279" s="104">
        <v>2.86598731E8</v>
      </c>
      <c r="H1279" s="116" t="s">
        <v>3884</v>
      </c>
      <c r="I1279" s="16">
        <f>IF(@Table1[[#This Row],[Delivery Date]]="","NA",@Table1[[#This Row],[Delivery Date]]+30)</f>
        <v>46200.0</v>
      </c>
      <c r="J1279" s="35" t="s">
        <f t="shared" si="15"/>
        <v>28</v>
      </c>
      <c r="K1279" s="87"/>
      <c r="L1279" s="89"/>
      <c r="M1279" s="89"/>
      <c r="N1279" s="89"/>
    </row>
    <row r="1280" customHeight="1" ht="14.0">
      <c r="A1280" s="64" t="s">
        <v>3885</v>
      </c>
      <c r="B1280" s="22" t="s">
        <v>3886</v>
      </c>
      <c r="C1280" s="64" t="s">
        <v>3887</v>
      </c>
      <c r="D1280" s="65">
        <v>514.0</v>
      </c>
      <c r="E1280" s="34">
        <v>46178</v>
      </c>
      <c r="F1280" s="109" t="s">
        <v>3183</v>
      </c>
      <c r="G1280" s="104">
        <v>1.84726891E9</v>
      </c>
      <c r="H1280" s="64" t="s">
        <v>3888</v>
      </c>
      <c r="I1280" s="16">
        <f>IF(@Table1[[#This Row],[Delivery Date]]="","NA",@Table1[[#This Row],[Delivery Date]]+30)</f>
        <v>46208.0</v>
      </c>
      <c r="J1280" s="35" t="s">
        <f t="shared" si="15"/>
        <v>707</v>
      </c>
      <c r="K1280" s="87"/>
      <c r="L1280" s="89"/>
      <c r="M1280" s="89"/>
      <c r="N1280" s="89"/>
    </row>
    <row r="1281" customHeight="1" ht="14.0">
      <c r="A1281" s="64" t="s">
        <v>3889</v>
      </c>
      <c r="B1281" s="22" t="s">
        <v>3890</v>
      </c>
      <c r="C1281" s="64" t="s">
        <v>3404</v>
      </c>
      <c r="D1281" s="65">
        <v>838.0</v>
      </c>
      <c r="E1281" s="34">
        <v>46177</v>
      </c>
      <c r="F1281" s="109" t="s">
        <v>3183</v>
      </c>
      <c r="G1281" s="104">
        <v>1.847268908E9</v>
      </c>
      <c r="H1281" s="64" t="s">
        <v>3891</v>
      </c>
      <c r="I1281" s="16">
        <f>IF(@Table1[[#This Row],[Delivery Date]]="","NA",@Table1[[#This Row],[Delivery Date]]+30)</f>
        <v>46207.0</v>
      </c>
      <c r="J1281" s="35" t="s">
        <f t="shared" si="15"/>
        <v>707</v>
      </c>
      <c r="K1281" s="87"/>
      <c r="L1281" s="89"/>
      <c r="M1281" s="89"/>
      <c r="N1281" s="89"/>
    </row>
    <row r="1282" customHeight="1" ht="14.0">
      <c r="A1282" s="64" t="s">
        <v>3892</v>
      </c>
      <c r="B1282" s="22" t="s">
        <v>3893</v>
      </c>
      <c r="C1282" s="64" t="s">
        <v>3404</v>
      </c>
      <c r="D1282" s="65">
        <v>1433.0</v>
      </c>
      <c r="E1282" s="34">
        <v>46177</v>
      </c>
      <c r="F1282" s="109" t="s">
        <v>3183</v>
      </c>
      <c r="G1282" s="104">
        <v>1.847268908E9</v>
      </c>
      <c r="H1282" s="64" t="s">
        <v>3894</v>
      </c>
      <c r="I1282" s="16">
        <f>IF(@Table1[[#This Row],[Delivery Date]]="","NA",@Table1[[#This Row],[Delivery Date]]+30)</f>
        <v>46207.0</v>
      </c>
      <c r="J1282" s="35" t="s">
        <f t="shared" si="15"/>
        <v>707</v>
      </c>
      <c r="K1282" s="87"/>
      <c r="L1282" s="89"/>
      <c r="M1282" s="89"/>
      <c r="N1282" s="89"/>
    </row>
    <row r="1283" customHeight="1" ht="14.0">
      <c r="A1283" s="64" t="s">
        <v>3895</v>
      </c>
      <c r="B1283" s="22" t="s">
        <v>3896</v>
      </c>
      <c r="C1283" s="64" t="s">
        <v>58</v>
      </c>
      <c r="D1283" s="65">
        <v>268.0</v>
      </c>
      <c r="E1283" s="75">
        <v>46170</v>
      </c>
      <c r="F1283" s="109" t="s">
        <v>3183</v>
      </c>
      <c r="G1283" s="104">
        <v>1.847268911E9</v>
      </c>
      <c r="H1283" s="64" t="s">
        <v>3897</v>
      </c>
      <c r="I1283" s="16">
        <f>IF(@Table1[[#This Row],[Delivery Date]]="","NA",@Table1[[#This Row],[Delivery Date]]+30)</f>
        <v>46200.0</v>
      </c>
      <c r="J1283" s="35" t="s">
        <f t="shared" si="15"/>
        <v>28</v>
      </c>
      <c r="K1283" s="87"/>
      <c r="L1283" s="89"/>
      <c r="M1283" s="89"/>
      <c r="N1283" s="89"/>
    </row>
    <row r="1284" customHeight="1" ht="14.0">
      <c r="A1284" s="64" t="s">
        <v>3898</v>
      </c>
      <c r="B1284" s="22" t="s">
        <v>3899</v>
      </c>
      <c r="C1284" s="64" t="s">
        <v>58</v>
      </c>
      <c r="D1284" s="65">
        <v>575.0</v>
      </c>
      <c r="E1284" s="75">
        <v>46170</v>
      </c>
      <c r="F1284" s="109" t="s">
        <v>3183</v>
      </c>
      <c r="G1284" s="104">
        <v>1.847268911E9</v>
      </c>
      <c r="H1284" s="64" t="s">
        <v>3900</v>
      </c>
      <c r="I1284" s="16">
        <f>IF(@Table1[[#This Row],[Delivery Date]]="","NA",@Table1[[#This Row],[Delivery Date]]+30)</f>
        <v>46200.0</v>
      </c>
      <c r="J1284" s="35" t="s">
        <f t="shared" si="15"/>
        <v>28</v>
      </c>
      <c r="K1284" s="87"/>
      <c r="L1284" s="89"/>
      <c r="M1284" s="89"/>
      <c r="N1284" s="89"/>
    </row>
    <row r="1285" customHeight="1" ht="14.0">
      <c r="A1285" s="64" t="s">
        <v>3901</v>
      </c>
      <c r="B1285" s="22" t="s">
        <v>3902</v>
      </c>
      <c r="C1285" s="64" t="s">
        <v>58</v>
      </c>
      <c r="D1285" s="65">
        <v>1006.0</v>
      </c>
      <c r="E1285" s="75">
        <v>46170</v>
      </c>
      <c r="F1285" s="109" t="s">
        <v>3183</v>
      </c>
      <c r="G1285" s="104">
        <v>1.847268911E9</v>
      </c>
      <c r="H1285" s="64" t="s">
        <v>3903</v>
      </c>
      <c r="I1285" s="16">
        <f>IF(@Table1[[#This Row],[Delivery Date]]="","NA",@Table1[[#This Row],[Delivery Date]]+30)</f>
        <v>46200.0</v>
      </c>
      <c r="J1285" s="35" t="s">
        <f t="shared" si="15"/>
        <v>28</v>
      </c>
      <c r="K1285" s="87"/>
      <c r="L1285" s="89"/>
      <c r="M1285" s="89"/>
      <c r="N1285" s="89"/>
    </row>
    <row r="1286" customHeight="1" ht="14.0">
      <c r="A1286" s="64" t="s">
        <v>3904</v>
      </c>
      <c r="B1286" s="22" t="s">
        <v>3905</v>
      </c>
      <c r="C1286" s="64" t="s">
        <v>144</v>
      </c>
      <c r="D1286" s="65">
        <v>207.0</v>
      </c>
      <c r="E1286" s="34">
        <v>46169</v>
      </c>
      <c r="F1286" s="109" t="s">
        <v>565</v>
      </c>
      <c r="G1286" s="104">
        <v>2.8659873E8</v>
      </c>
      <c r="H1286" s="64" t="s">
        <v>3906</v>
      </c>
      <c r="I1286" s="16">
        <f>IF(@Table1[[#This Row],[Delivery Date]]="","NA",@Table1[[#This Row],[Delivery Date]]+30)</f>
        <v>46199.0</v>
      </c>
      <c r="J1286" s="35" t="s">
        <f t="shared" si="15"/>
        <v>28</v>
      </c>
      <c r="K1286" s="87"/>
      <c r="L1286" s="89"/>
      <c r="M1286" s="89"/>
      <c r="N1286" s="89"/>
    </row>
    <row r="1287" customHeight="1" ht="14.0">
      <c r="A1287" s="64" t="s">
        <v>3907</v>
      </c>
      <c r="B1287" s="22" t="s">
        <v>3908</v>
      </c>
      <c r="C1287" s="64" t="s">
        <v>144</v>
      </c>
      <c r="D1287" s="65">
        <v>168.0</v>
      </c>
      <c r="E1287" s="34">
        <v>46169</v>
      </c>
      <c r="F1287" s="109" t="s">
        <v>565</v>
      </c>
      <c r="G1287" s="104">
        <v>2.8659873E8</v>
      </c>
      <c r="H1287" s="64" t="s">
        <v>3909</v>
      </c>
      <c r="I1287" s="16">
        <f>IF(@Table1[[#This Row],[Delivery Date]]="","NA",@Table1[[#This Row],[Delivery Date]]+30)</f>
        <v>46199.0</v>
      </c>
      <c r="J1287" s="35" t="s">
        <f t="shared" si="15"/>
        <v>28</v>
      </c>
      <c r="K1287" s="87"/>
      <c r="L1287" s="89"/>
      <c r="M1287" s="89"/>
      <c r="N1287" s="89"/>
    </row>
    <row r="1288" customHeight="1" ht="14.0">
      <c r="A1288" s="64" t="s">
        <v>3910</v>
      </c>
      <c r="B1288" s="22" t="s">
        <v>3911</v>
      </c>
      <c r="C1288" s="64" t="s">
        <v>144</v>
      </c>
      <c r="D1288" s="65">
        <v>669.0</v>
      </c>
      <c r="E1288" s="34">
        <v>46169</v>
      </c>
      <c r="F1288" s="109" t="s">
        <v>565</v>
      </c>
      <c r="G1288" s="104">
        <v>2.8659873E8</v>
      </c>
      <c r="H1288" s="64" t="s">
        <v>3912</v>
      </c>
      <c r="I1288" s="16">
        <f>IF(@Table1[[#This Row],[Delivery Date]]="","NA",@Table1[[#This Row],[Delivery Date]]+30)</f>
        <v>46199.0</v>
      </c>
      <c r="J1288" s="35" t="s">
        <f t="shared" si="15"/>
        <v>28</v>
      </c>
      <c r="K1288" s="87"/>
      <c r="L1288" s="89"/>
      <c r="M1288" s="89"/>
      <c r="N1288" s="89"/>
    </row>
    <row r="1289" customHeight="1" ht="14.0">
      <c r="A1289" s="64" t="s">
        <v>3913</v>
      </c>
      <c r="B1289" s="22" t="s">
        <v>3914</v>
      </c>
      <c r="C1289" s="64" t="s">
        <v>1102</v>
      </c>
      <c r="D1289" s="65">
        <v>371.0</v>
      </c>
      <c r="E1289" s="75">
        <v>46170</v>
      </c>
      <c r="F1289" s="109" t="s">
        <v>565</v>
      </c>
      <c r="G1289" s="104">
        <v>2.86598733E8</v>
      </c>
      <c r="H1289" s="64" t="s">
        <v>3915</v>
      </c>
      <c r="I1289" s="16">
        <f>IF(@Table1[[#This Row],[Delivery Date]]="","NA",@Table1[[#This Row],[Delivery Date]]+30)</f>
        <v>46200.0</v>
      </c>
      <c r="J1289" s="35" t="s">
        <f t="shared" si="15"/>
        <v>28</v>
      </c>
      <c r="K1289" s="87"/>
      <c r="L1289" s="89"/>
      <c r="M1289" s="89"/>
      <c r="N1289" s="89"/>
    </row>
    <row r="1290" customHeight="1" ht="14.0">
      <c r="A1290" s="64" t="s">
        <v>3916</v>
      </c>
      <c r="B1290" s="22" t="s">
        <v>3917</v>
      </c>
      <c r="C1290" s="64" t="s">
        <v>1102</v>
      </c>
      <c r="D1290" s="65">
        <v>265.0</v>
      </c>
      <c r="E1290" s="75">
        <v>46170</v>
      </c>
      <c r="F1290" s="109" t="s">
        <v>565</v>
      </c>
      <c r="G1290" s="104">
        <v>2.86598733E8</v>
      </c>
      <c r="H1290" s="64" t="s">
        <v>3918</v>
      </c>
      <c r="I1290" s="16">
        <f>IF(@Table1[[#This Row],[Delivery Date]]="","NA",@Table1[[#This Row],[Delivery Date]]+30)</f>
        <v>46200.0</v>
      </c>
      <c r="J1290" s="35" t="s">
        <f t="shared" si="15"/>
        <v>28</v>
      </c>
      <c r="K1290" s="87"/>
      <c r="L1290" s="89"/>
      <c r="M1290" s="89"/>
      <c r="N1290" s="89"/>
    </row>
    <row r="1291" customHeight="1" ht="14.0">
      <c r="A1291" s="64" t="s">
        <v>3919</v>
      </c>
      <c r="B1291" s="22" t="s">
        <v>3920</v>
      </c>
      <c r="C1291" s="64" t="s">
        <v>2208</v>
      </c>
      <c r="D1291" s="65">
        <v>407.0</v>
      </c>
      <c r="E1291" s="34">
        <v>46168</v>
      </c>
      <c r="F1291" s="109" t="s">
        <v>565</v>
      </c>
      <c r="G1291" s="104">
        <v>2.86598732E8</v>
      </c>
      <c r="H1291" s="64" t="s">
        <v>3921</v>
      </c>
      <c r="I1291" s="16">
        <f>IF(@Table1[[#This Row],[Delivery Date]]="","NA",@Table1[[#This Row],[Delivery Date]]+30)</f>
        <v>46198.0</v>
      </c>
      <c r="J1291" s="35" t="s">
        <f t="shared" si="15"/>
        <v>28</v>
      </c>
      <c r="K1291" s="87"/>
      <c r="L1291" s="89"/>
      <c r="M1291" s="89"/>
      <c r="N1291" s="89"/>
    </row>
    <row r="1292" customHeight="1" ht="14.0">
      <c r="A1292" s="64" t="s">
        <v>3922</v>
      </c>
      <c r="B1292" s="22" t="s">
        <v>3923</v>
      </c>
      <c r="C1292" s="64" t="s">
        <v>3245</v>
      </c>
      <c r="D1292" s="65">
        <v>592.0</v>
      </c>
      <c r="E1292" s="34">
        <v>46178</v>
      </c>
      <c r="F1292" s="109" t="s">
        <v>3183</v>
      </c>
      <c r="G1292" s="104">
        <v>1.847268909E9</v>
      </c>
      <c r="H1292" s="64" t="s">
        <v>3924</v>
      </c>
      <c r="I1292" s="16">
        <f>IF(@Table1[[#This Row],[Delivery Date]]="","NA",@Table1[[#This Row],[Delivery Date]]+30)</f>
        <v>46208.0</v>
      </c>
      <c r="J1292" s="35" t="s">
        <f t="shared" si="15"/>
        <v>707</v>
      </c>
      <c r="K1292" s="87"/>
      <c r="L1292" s="89"/>
      <c r="M1292" s="89"/>
      <c r="N1292" s="89"/>
    </row>
    <row r="1293" customHeight="1" ht="14.0">
      <c r="A1293" s="64" t="s">
        <v>3925</v>
      </c>
      <c r="B1293" s="22" t="s">
        <v>3926</v>
      </c>
      <c r="C1293" s="64" t="s">
        <v>3783</v>
      </c>
      <c r="D1293" s="65">
        <v>376.0</v>
      </c>
      <c r="E1293" s="34">
        <v>46168</v>
      </c>
      <c r="F1293" s="109" t="s">
        <v>565</v>
      </c>
      <c r="G1293" s="104">
        <v>2.8659874E8</v>
      </c>
      <c r="H1293" s="64" t="s">
        <v>3927</v>
      </c>
      <c r="I1293" s="16">
        <f>IF(@Table1[[#This Row],[Delivery Date]]="","NA",@Table1[[#This Row],[Delivery Date]]+30)</f>
        <v>46198.0</v>
      </c>
      <c r="J1293" s="35" t="s">
        <f t="shared" si="15"/>
        <v>28</v>
      </c>
      <c r="K1293" s="87"/>
      <c r="L1293" s="89"/>
      <c r="M1293" s="89"/>
      <c r="N1293" s="89"/>
    </row>
    <row r="1294" customHeight="1" ht="14.0">
      <c r="A1294" s="64" t="s">
        <v>3928</v>
      </c>
      <c r="B1294" s="22" t="s">
        <v>3929</v>
      </c>
      <c r="C1294" s="64" t="s">
        <v>30</v>
      </c>
      <c r="D1294" s="65">
        <v>1016.0</v>
      </c>
      <c r="E1294" s="34">
        <v>46168</v>
      </c>
      <c r="F1294" s="109" t="s">
        <v>1919</v>
      </c>
      <c r="G1294" s="104" t="s">
        <v>1919</v>
      </c>
      <c r="H1294" s="64" t="s">
        <v>3930</v>
      </c>
      <c r="I1294" s="16">
        <f>IF(@Table1[[#This Row],[Delivery Date]]="","NA",@Table1[[#This Row],[Delivery Date]]+30)</f>
        <v>46198.0</v>
      </c>
      <c r="J1294" s="35" t="s">
        <f t="shared" si="15"/>
        <v>28</v>
      </c>
      <c r="K1294" s="87"/>
      <c r="L1294" s="89"/>
      <c r="M1294" s="89"/>
      <c r="N1294" s="89"/>
    </row>
    <row r="1295" customHeight="1" ht="14.0">
      <c r="A1295" s="64" t="s">
        <v>3931</v>
      </c>
      <c r="B1295" s="22" t="s">
        <v>3932</v>
      </c>
      <c r="C1295" s="64" t="s">
        <v>1047</v>
      </c>
      <c r="D1295" s="65">
        <v>420.0</v>
      </c>
      <c r="E1295" s="94">
        <v>46169</v>
      </c>
      <c r="F1295" s="109" t="s">
        <v>565</v>
      </c>
      <c r="G1295" s="104">
        <v>2.86598765E8</v>
      </c>
      <c r="H1295" s="64" t="s">
        <v>3933</v>
      </c>
      <c r="I1295" s="16">
        <f>IF(@Table1[[#This Row],[Delivery Date]]="","NA",@Table1[[#This Row],[Delivery Date]]+30)</f>
        <v>46199.0</v>
      </c>
      <c r="J1295" s="35" t="s">
        <f t="shared" si="15"/>
        <v>28</v>
      </c>
      <c r="K1295" s="87"/>
      <c r="L1295" s="89"/>
      <c r="M1295" s="89"/>
      <c r="N1295" s="89"/>
    </row>
    <row r="1296" customHeight="1" ht="14.0">
      <c r="A1296" s="64" t="s">
        <v>3934</v>
      </c>
      <c r="B1296" s="22" t="s">
        <v>3935</v>
      </c>
      <c r="C1296" s="64" t="s">
        <v>1039</v>
      </c>
      <c r="D1296" s="65">
        <v>1624.0</v>
      </c>
      <c r="E1296" s="34">
        <v>46168</v>
      </c>
      <c r="F1296" s="109" t="s">
        <v>565</v>
      </c>
      <c r="G1296" s="104">
        <v>2.86598763E8</v>
      </c>
      <c r="H1296" s="64" t="s">
        <v>3936</v>
      </c>
      <c r="I1296" s="16">
        <f>IF(@Table1[[#This Row],[Delivery Date]]="","NA",@Table1[[#This Row],[Delivery Date]]+30)</f>
        <v>46198.0</v>
      </c>
      <c r="J1296" s="35" t="s">
        <f t="shared" si="15"/>
        <v>28</v>
      </c>
      <c r="K1296" s="87"/>
      <c r="L1296" s="89"/>
      <c r="M1296" s="89"/>
      <c r="N1296" s="89"/>
    </row>
    <row r="1297" customHeight="1" ht="14.0">
      <c r="A1297" s="64" t="s">
        <v>3937</v>
      </c>
      <c r="B1297" s="22" t="s">
        <v>3938</v>
      </c>
      <c r="C1297" s="64" t="s">
        <v>3257</v>
      </c>
      <c r="D1297" s="65">
        <v>1360.0</v>
      </c>
      <c r="E1297" s="94">
        <v>46169</v>
      </c>
      <c r="F1297" s="109" t="s">
        <v>3183</v>
      </c>
      <c r="G1297" s="104">
        <v>1.847268917E9</v>
      </c>
      <c r="H1297" s="64" t="s">
        <v>3939</v>
      </c>
      <c r="I1297" s="16">
        <f>IF(@Table1[[#This Row],[Delivery Date]]="","NA",@Table1[[#This Row],[Delivery Date]]+30)</f>
        <v>46199.0</v>
      </c>
      <c r="J1297" s="35" t="s">
        <f t="shared" si="15"/>
        <v>28</v>
      </c>
      <c r="K1297" s="87"/>
      <c r="L1297" s="89"/>
      <c r="M1297" s="89"/>
      <c r="N1297" s="89"/>
    </row>
    <row r="1298" customHeight="1" ht="14.0">
      <c r="A1298" s="64" t="s">
        <v>3940</v>
      </c>
      <c r="B1298" s="64" t="s">
        <v>3941</v>
      </c>
      <c r="C1298" s="64" t="s">
        <v>3942</v>
      </c>
      <c r="D1298" s="65">
        <v>1943.0</v>
      </c>
      <c r="E1298" s="66">
        <v>46178</v>
      </c>
      <c r="F1298" s="95" t="s">
        <v>3183</v>
      </c>
      <c r="G1298" s="140">
        <v>1.847268918E9</v>
      </c>
      <c r="H1298" s="64" t="s">
        <v>3943</v>
      </c>
      <c r="I1298" s="16">
        <f>IF(@Table1[[#This Row],[Delivery Date]]="","NA",@Table1[[#This Row],[Delivery Date]]+30)</f>
        <v>46208.0</v>
      </c>
      <c r="J1298" s="35" t="s">
        <f t="shared" si="15"/>
        <v>707</v>
      </c>
      <c r="K1298" s="87"/>
      <c r="L1298" s="89"/>
      <c r="M1298" s="89"/>
      <c r="N1298" s="89"/>
    </row>
    <row r="1299" customHeight="1" ht="14.0">
      <c r="A1299" s="64" t="s">
        <v>3944</v>
      </c>
      <c r="B1299" s="64" t="s">
        <v>3945</v>
      </c>
      <c r="C1299" s="64" t="s">
        <v>3048</v>
      </c>
      <c r="D1299" s="65">
        <v>272.0</v>
      </c>
      <c r="E1299" s="66">
        <v>46175</v>
      </c>
      <c r="F1299" s="95" t="s">
        <v>3183</v>
      </c>
      <c r="G1299" s="145">
        <v>1.84726893E9</v>
      </c>
      <c r="H1299" s="22" t="s">
        <v>3946</v>
      </c>
      <c r="I1299" s="82"/>
      <c r="J1299" s="35" t="s">
        <v>3947</v>
      </c>
      <c r="K1299" s="87"/>
      <c r="L1299" s="89"/>
      <c r="M1299" s="89"/>
      <c r="N1299" s="89"/>
    </row>
    <row r="1300" customHeight="1" ht="14.0">
      <c r="A1300" s="64" t="s">
        <v>3948</v>
      </c>
      <c r="B1300" s="64" t="s">
        <v>3949</v>
      </c>
      <c r="C1300" s="64" t="s">
        <v>3048</v>
      </c>
      <c r="D1300" s="65">
        <v>540.0</v>
      </c>
      <c r="E1300" s="66">
        <v>46175</v>
      </c>
      <c r="F1300" s="95" t="s">
        <v>3183</v>
      </c>
      <c r="G1300" s="145">
        <v>1.84726893E9</v>
      </c>
      <c r="H1300" s="22" t="s">
        <v>3950</v>
      </c>
      <c r="I1300" s="82"/>
      <c r="J1300" s="35"/>
      <c r="K1300" s="87"/>
      <c r="L1300" s="89"/>
      <c r="M1300" s="89"/>
      <c r="N1300" s="89"/>
    </row>
    <row r="1301" customHeight="1" ht="14.0">
      <c r="A1301" s="64" t="s">
        <v>3951</v>
      </c>
      <c r="B1301" s="64" t="s">
        <v>3952</v>
      </c>
      <c r="C1301" s="64" t="s">
        <v>3048</v>
      </c>
      <c r="D1301" s="65">
        <v>240.0</v>
      </c>
      <c r="E1301" s="66">
        <v>46175</v>
      </c>
      <c r="F1301" s="95" t="s">
        <v>3183</v>
      </c>
      <c r="G1301" s="145">
        <v>1.84726893E9</v>
      </c>
      <c r="H1301" s="22" t="s">
        <v>3953</v>
      </c>
      <c r="I1301" s="82"/>
      <c r="J1301" s="35" t="s">
        <v>3947</v>
      </c>
      <c r="K1301" s="87"/>
      <c r="L1301" s="89"/>
      <c r="M1301" s="89"/>
      <c r="N1301" s="89"/>
    </row>
    <row r="1302" customHeight="1" ht="14.0">
      <c r="A1302" s="64" t="s">
        <v>3954</v>
      </c>
      <c r="B1302" s="64" t="s">
        <v>3955</v>
      </c>
      <c r="C1302" s="64" t="s">
        <v>1039</v>
      </c>
      <c r="D1302" s="65">
        <v>404.0</v>
      </c>
      <c r="E1302" s="66">
        <v>46173</v>
      </c>
      <c r="F1302" s="95" t="s">
        <v>1031</v>
      </c>
      <c r="G1302" s="140">
        <v>2.86598828E8</v>
      </c>
      <c r="H1302" s="116" t="s">
        <v>3956</v>
      </c>
      <c r="I1302" s="16"/>
      <c r="J1302" s="35"/>
      <c r="K1302" s="87"/>
      <c r="L1302" s="89"/>
      <c r="M1302" s="89"/>
      <c r="N1302" s="89"/>
    </row>
    <row r="1303" ht="17.0">
      <c r="A1303" s="64" t="s">
        <v>3957</v>
      </c>
      <c r="B1303" s="64" t="s">
        <v>3958</v>
      </c>
      <c r="C1303" s="64" t="s">
        <v>1039</v>
      </c>
      <c r="D1303" s="65">
        <v>2200.0</v>
      </c>
      <c r="E1303" s="66">
        <v>46173</v>
      </c>
      <c r="F1303" s="95" t="s">
        <v>1031</v>
      </c>
      <c r="G1303" s="140">
        <v>2.86598828E8</v>
      </c>
      <c r="H1303" s="64" t="s">
        <v>3959</v>
      </c>
      <c r="I1303" s="16"/>
      <c r="J1303" s="35"/>
      <c r="K1303" s="87"/>
      <c r="L1303" s="89"/>
      <c r="M1303" s="89"/>
      <c r="N1303" s="89"/>
    </row>
    <row r="1304">
      <c r="A1304" s="64" t="s">
        <v>3960</v>
      </c>
      <c r="B1304" s="64" t="s">
        <v>3961</v>
      </c>
      <c r="C1304" s="64" t="s">
        <v>3681</v>
      </c>
      <c r="D1304" s="65">
        <v>260.0</v>
      </c>
      <c r="E1304" s="66"/>
      <c r="F1304" s="95" t="s">
        <v>3437</v>
      </c>
      <c r="G1304" s="140"/>
      <c r="H1304" s="64"/>
      <c r="I1304" s="16"/>
      <c r="J1304" s="35"/>
      <c r="K1304" s="87"/>
      <c r="L1304" s="89"/>
      <c r="M1304" s="89"/>
      <c r="N1304" s="89"/>
    </row>
    <row r="1305">
      <c r="A1305" s="64" t="s">
        <v>3962</v>
      </c>
      <c r="B1305" s="64" t="s">
        <v>3963</v>
      </c>
      <c r="C1305" s="64" t="s">
        <v>3681</v>
      </c>
      <c r="D1305" s="65">
        <v>3140.0</v>
      </c>
      <c r="E1305" s="66"/>
      <c r="F1305" s="95" t="s">
        <v>3183</v>
      </c>
      <c r="G1305" s="140"/>
      <c r="H1305" s="64"/>
      <c r="I1305" s="16"/>
      <c r="J1305" s="35"/>
      <c r="K1305" s="87"/>
      <c r="L1305" s="89"/>
      <c r="M1305" s="89"/>
      <c r="N1305" s="89"/>
    </row>
    <row r="1306" ht="17.0">
      <c r="A1306" s="64" t="s">
        <v>3964</v>
      </c>
      <c r="B1306" s="64" t="s">
        <v>3965</v>
      </c>
      <c r="C1306" s="64" t="s">
        <v>26</v>
      </c>
      <c r="D1306" s="65">
        <v>1240.0</v>
      </c>
      <c r="E1306" s="66">
        <v>46174</v>
      </c>
      <c r="F1306" s="95" t="s">
        <v>1031</v>
      </c>
      <c r="G1306" s="140">
        <v>2.86598824E8</v>
      </c>
      <c r="H1306" s="64" t="s">
        <v>3966</v>
      </c>
      <c r="I1306" s="16"/>
      <c r="J1306" s="35"/>
      <c r="K1306" s="87"/>
      <c r="L1306" s="89"/>
      <c r="M1306" s="89"/>
      <c r="N1306" s="89"/>
    </row>
    <row r="1307" ht="17.0">
      <c r="A1307" s="64" t="s">
        <v>3967</v>
      </c>
      <c r="B1307" s="64" t="s">
        <v>3968</v>
      </c>
      <c r="C1307" s="64" t="s">
        <v>26</v>
      </c>
      <c r="D1307" s="65">
        <v>240.0</v>
      </c>
      <c r="E1307" s="66">
        <v>46174</v>
      </c>
      <c r="F1307" s="95" t="s">
        <v>1031</v>
      </c>
      <c r="G1307" s="140">
        <v>2.86598824E8</v>
      </c>
      <c r="H1307" s="64" t="s">
        <v>3969</v>
      </c>
      <c r="I1307" s="16"/>
      <c r="J1307" s="35"/>
      <c r="K1307" s="87"/>
      <c r="L1307" s="89"/>
      <c r="M1307" s="89"/>
      <c r="N1307" s="89"/>
    </row>
    <row r="1308" ht="17.0">
      <c r="A1308" s="64" t="s">
        <v>3970</v>
      </c>
      <c r="B1308" s="64" t="s">
        <v>3971</v>
      </c>
      <c r="C1308" s="64" t="s">
        <v>2208</v>
      </c>
      <c r="D1308" s="65">
        <v>860.0</v>
      </c>
      <c r="E1308" s="66">
        <v>46174</v>
      </c>
      <c r="F1308" s="95" t="s">
        <v>1031</v>
      </c>
      <c r="G1308" s="140">
        <v>2.86598826E8</v>
      </c>
      <c r="H1308" s="64" t="s">
        <v>3972</v>
      </c>
      <c r="I1308" s="16"/>
      <c r="J1308" s="35"/>
      <c r="K1308" s="87"/>
      <c r="L1308" s="89"/>
      <c r="M1308" s="89"/>
      <c r="N1308" s="89"/>
    </row>
    <row r="1309" ht="17.0">
      <c r="A1309" s="64" t="s">
        <v>3973</v>
      </c>
      <c r="B1309" s="64" t="s">
        <v>3974</v>
      </c>
      <c r="C1309" s="64" t="s">
        <v>2208</v>
      </c>
      <c r="D1309" s="65">
        <v>229.0</v>
      </c>
      <c r="E1309" s="66">
        <v>46174</v>
      </c>
      <c r="F1309" s="95" t="s">
        <v>1031</v>
      </c>
      <c r="G1309" s="140">
        <v>2.86598826E8</v>
      </c>
      <c r="H1309" s="64" t="s">
        <v>3975</v>
      </c>
      <c r="I1309" s="16"/>
      <c r="J1309" s="35"/>
      <c r="K1309" s="87"/>
      <c r="L1309" s="89"/>
      <c r="M1309" s="89"/>
      <c r="N1309" s="89"/>
    </row>
    <row r="1310" ht="17.0">
      <c r="A1310" s="64" t="s">
        <v>3976</v>
      </c>
      <c r="B1310" s="64" t="s">
        <v>3977</v>
      </c>
      <c r="C1310" s="64" t="s">
        <v>1728</v>
      </c>
      <c r="D1310" s="65">
        <v>436.0</v>
      </c>
      <c r="E1310" s="66">
        <v>46174</v>
      </c>
      <c r="F1310" s="95" t="s">
        <v>1031</v>
      </c>
      <c r="G1310" s="140">
        <v>2.8659883E8</v>
      </c>
      <c r="H1310" s="64" t="s">
        <v>3978</v>
      </c>
      <c r="I1310" s="16"/>
      <c r="J1310" s="35"/>
      <c r="K1310" s="87"/>
      <c r="L1310" s="89"/>
      <c r="M1310" s="89"/>
      <c r="N1310" s="89"/>
    </row>
    <row r="1311" ht="17.0">
      <c r="A1311" s="64" t="s">
        <v>3979</v>
      </c>
      <c r="B1311" s="64" t="s">
        <v>3980</v>
      </c>
      <c r="C1311" s="64" t="s">
        <v>1728</v>
      </c>
      <c r="D1311" s="65">
        <v>880.0</v>
      </c>
      <c r="E1311" s="66">
        <v>46174</v>
      </c>
      <c r="F1311" s="95" t="s">
        <v>1031</v>
      </c>
      <c r="G1311" s="140">
        <v>2.8659883E8</v>
      </c>
      <c r="H1311" s="64" t="s">
        <v>3981</v>
      </c>
      <c r="I1311" s="16"/>
      <c r="J1311" s="35"/>
      <c r="K1311" s="87"/>
      <c r="L1311" s="89"/>
      <c r="M1311" s="89"/>
      <c r="N1311" s="89"/>
    </row>
    <row r="1312" ht="17.0">
      <c r="A1312" s="64" t="s">
        <v>3982</v>
      </c>
      <c r="B1312" s="64" t="s">
        <v>3983</v>
      </c>
      <c r="C1312" s="64" t="s">
        <v>3404</v>
      </c>
      <c r="D1312" s="65">
        <v>1700.0</v>
      </c>
      <c r="E1312" s="66">
        <v>46199</v>
      </c>
      <c r="F1312" s="95" t="s">
        <v>1031</v>
      </c>
      <c r="G1312" s="140">
        <v>2.86598823E8</v>
      </c>
      <c r="H1312" s="64" t="s">
        <v>3984</v>
      </c>
      <c r="I1312" s="16"/>
      <c r="J1312" s="146" t="s">
        <v>3982</v>
      </c>
      <c r="K1312" s="87"/>
      <c r="L1312" s="89"/>
      <c r="M1312" s="89"/>
      <c r="N1312" s="89"/>
    </row>
    <row r="1313" ht="17.0">
      <c r="A1313" s="64" t="s">
        <v>3985</v>
      </c>
      <c r="B1313" s="64" t="s">
        <v>3986</v>
      </c>
      <c r="C1313" s="64" t="s">
        <v>3404</v>
      </c>
      <c r="D1313" s="65">
        <v>384.0</v>
      </c>
      <c r="E1313" s="66">
        <v>46199</v>
      </c>
      <c r="F1313" s="95" t="s">
        <v>1031</v>
      </c>
      <c r="G1313" s="140">
        <v>2.86598823E8</v>
      </c>
      <c r="H1313" s="64" t="s">
        <v>3987</v>
      </c>
      <c r="I1313" s="16"/>
      <c r="J1313" s="35"/>
      <c r="K1313" s="87"/>
      <c r="L1313" s="89"/>
      <c r="M1313" s="89"/>
      <c r="N1313" s="89"/>
    </row>
    <row r="1314" ht="17.0">
      <c r="A1314" s="64" t="s">
        <v>3988</v>
      </c>
      <c r="B1314" s="64" t="s">
        <v>3989</v>
      </c>
      <c r="C1314" s="64" t="s">
        <v>1561</v>
      </c>
      <c r="D1314" s="65">
        <v>400.0</v>
      </c>
      <c r="E1314" s="66">
        <v>46172</v>
      </c>
      <c r="F1314" s="95" t="s">
        <v>1031</v>
      </c>
      <c r="G1314" s="140">
        <v>2.86598835E8</v>
      </c>
      <c r="H1314" s="64" t="s">
        <v>3990</v>
      </c>
      <c r="I1314" s="16"/>
      <c r="J1314" s="35"/>
      <c r="K1314" s="87"/>
      <c r="L1314" s="89"/>
      <c r="M1314" s="89"/>
      <c r="N1314" s="89"/>
    </row>
    <row r="1315" ht="17.0">
      <c r="A1315" s="64" t="s">
        <v>3991</v>
      </c>
      <c r="B1315" s="64" t="s">
        <v>3992</v>
      </c>
      <c r="C1315" s="64" t="s">
        <v>1561</v>
      </c>
      <c r="D1315" s="65">
        <v>260.0</v>
      </c>
      <c r="E1315" s="66">
        <v>46172</v>
      </c>
      <c r="F1315" s="95" t="s">
        <v>1031</v>
      </c>
      <c r="G1315" s="140">
        <v>2.86598835E8</v>
      </c>
      <c r="H1315" s="64" t="s">
        <v>3993</v>
      </c>
      <c r="I1315" s="16"/>
      <c r="J1315" s="35"/>
      <c r="K1315" s="87"/>
      <c r="L1315" s="89"/>
      <c r="M1315" s="89"/>
      <c r="N1315" s="89"/>
    </row>
    <row r="1316" ht="17.0">
      <c r="A1316" s="64" t="s">
        <v>3994</v>
      </c>
      <c r="B1316" s="64" t="s">
        <v>3995</v>
      </c>
      <c r="C1316" s="64" t="s">
        <v>1066</v>
      </c>
      <c r="D1316" s="65">
        <v>640.0</v>
      </c>
      <c r="E1316" s="66">
        <v>46175</v>
      </c>
      <c r="F1316" s="95" t="s">
        <v>1031</v>
      </c>
      <c r="G1316" s="140">
        <v>2.86598829E8</v>
      </c>
      <c r="H1316" s="64" t="s">
        <v>3996</v>
      </c>
      <c r="I1316" s="16"/>
      <c r="J1316" s="35"/>
      <c r="K1316" s="87"/>
      <c r="L1316" s="89"/>
      <c r="M1316" s="89"/>
      <c r="N1316" s="89"/>
    </row>
    <row r="1317" ht="17.0">
      <c r="A1317" s="64" t="s">
        <v>3997</v>
      </c>
      <c r="B1317" s="64" t="s">
        <v>3998</v>
      </c>
      <c r="C1317" s="64" t="s">
        <v>3783</v>
      </c>
      <c r="D1317" s="65">
        <v>1020.0</v>
      </c>
      <c r="E1317" s="66">
        <v>46178</v>
      </c>
      <c r="F1317" s="95" t="s">
        <v>1031</v>
      </c>
      <c r="G1317" s="140">
        <v>2.86598827E8</v>
      </c>
      <c r="H1317" s="64" t="s">
        <v>3999</v>
      </c>
      <c r="I1317" s="16"/>
      <c r="J1317" s="35"/>
      <c r="K1317" s="87"/>
      <c r="L1317" s="89"/>
      <c r="M1317" s="89"/>
      <c r="N1317" s="89"/>
    </row>
    <row r="1318" ht="17.0">
      <c r="A1318" s="64" t="s">
        <v>4000</v>
      </c>
      <c r="B1318" s="64" t="s">
        <v>4001</v>
      </c>
      <c r="C1318" s="64" t="s">
        <v>58</v>
      </c>
      <c r="D1318" s="65">
        <v>820.0</v>
      </c>
      <c r="E1318" s="66">
        <v>46176</v>
      </c>
      <c r="F1318" s="95" t="s">
        <v>1031</v>
      </c>
      <c r="G1318" s="140">
        <v>2.86598832E8</v>
      </c>
      <c r="H1318" s="64" t="s">
        <v>4002</v>
      </c>
      <c r="I1318" s="16"/>
      <c r="J1318" s="35"/>
      <c r="K1318" s="87"/>
      <c r="L1318" s="89"/>
      <c r="M1318" s="89"/>
      <c r="N1318" s="89"/>
    </row>
    <row r="1319" ht="17.0">
      <c r="A1319" s="64" t="s">
        <v>4003</v>
      </c>
      <c r="B1319" s="64" t="s">
        <v>4004</v>
      </c>
      <c r="C1319" s="64" t="s">
        <v>1047</v>
      </c>
      <c r="D1319" s="65">
        <v>880.0</v>
      </c>
      <c r="E1319" s="66">
        <v>46172</v>
      </c>
      <c r="F1319" s="95" t="s">
        <v>1031</v>
      </c>
      <c r="G1319" s="140">
        <v>2.86598825E8</v>
      </c>
      <c r="H1319" s="64" t="s">
        <v>4005</v>
      </c>
      <c r="I1319" s="16"/>
      <c r="J1319" s="35"/>
      <c r="K1319" s="87"/>
      <c r="L1319" s="89"/>
      <c r="M1319" s="89"/>
      <c r="N1319" s="89"/>
    </row>
    <row r="1320" ht="17.0">
      <c r="A1320" s="64" t="s">
        <v>4006</v>
      </c>
      <c r="B1320" s="64" t="s">
        <v>4007</v>
      </c>
      <c r="C1320" s="64" t="s">
        <v>141</v>
      </c>
      <c r="D1320" s="65">
        <v>1120.0</v>
      </c>
      <c r="E1320" s="66">
        <v>46172</v>
      </c>
      <c r="F1320" s="95" t="s">
        <v>1031</v>
      </c>
      <c r="G1320" s="140">
        <v>2.86598833E8</v>
      </c>
      <c r="H1320" s="64" t="s">
        <v>4008</v>
      </c>
      <c r="I1320" s="16"/>
      <c r="J1320" s="35"/>
      <c r="K1320" s="87"/>
      <c r="L1320" s="89"/>
      <c r="M1320" s="89"/>
      <c r="N1320" s="89"/>
    </row>
    <row r="1321" customHeight="1" ht="14.0">
      <c r="A1321" s="64" t="s">
        <v>4009</v>
      </c>
      <c r="B1321" s="64" t="s">
        <v>4010</v>
      </c>
      <c r="C1321" s="64" t="s">
        <v>1102</v>
      </c>
      <c r="D1321" s="65">
        <v>840.0</v>
      </c>
      <c r="E1321" s="66">
        <v>46175</v>
      </c>
      <c r="F1321" s="95" t="s">
        <v>1031</v>
      </c>
      <c r="G1321" s="140">
        <v>2.86598822E8</v>
      </c>
      <c r="H1321" s="64" t="s">
        <v>4011</v>
      </c>
      <c r="I1321" s="16"/>
      <c r="J1321" s="35"/>
      <c r="K1321" s="87"/>
      <c r="L1321" s="89"/>
      <c r="M1321" s="89"/>
      <c r="N1321" s="89"/>
    </row>
    <row r="1322" customHeight="1" ht="14.0">
      <c r="A1322" s="64" t="s">
        <v>4012</v>
      </c>
      <c r="B1322" s="64" t="s">
        <v>4013</v>
      </c>
      <c r="C1322" s="64" t="s">
        <v>3887</v>
      </c>
      <c r="D1322" s="65">
        <v>1440.0</v>
      </c>
      <c r="E1322" s="66">
        <v>46175</v>
      </c>
      <c r="F1322" s="95" t="s">
        <v>3183</v>
      </c>
      <c r="G1322" s="140">
        <v>1.84726893E9</v>
      </c>
      <c r="H1322" s="64" t="s">
        <v>4014</v>
      </c>
      <c r="I1322" s="82"/>
      <c r="J1322" s="35"/>
      <c r="K1322" s="87"/>
      <c r="L1322" s="89"/>
      <c r="M1322" s="89"/>
      <c r="N1322" s="89"/>
    </row>
    <row r="1323" customHeight="1" ht="14.0">
      <c r="A1323" s="64" t="s">
        <v>4015</v>
      </c>
      <c r="B1323" s="64" t="s">
        <v>4016</v>
      </c>
      <c r="C1323" s="64" t="s">
        <v>3245</v>
      </c>
      <c r="D1323" s="65">
        <v>500.0</v>
      </c>
      <c r="E1323" s="34">
        <v>46186</v>
      </c>
      <c r="F1323" s="95" t="s">
        <v>3183</v>
      </c>
      <c r="G1323" s="140">
        <v>1.84726893E9</v>
      </c>
      <c r="H1323" s="64" t="s">
        <v>4017</v>
      </c>
      <c r="I1323" s="82"/>
      <c r="J1323" s="35"/>
      <c r="K1323" s="87"/>
      <c r="L1323" s="89"/>
      <c r="M1323" s="89"/>
      <c r="N1323" s="89"/>
    </row>
    <row r="1324" customHeight="1" ht="14.0">
      <c r="A1324" s="64" t="s">
        <v>4018</v>
      </c>
      <c r="B1324" s="64" t="s">
        <v>4019</v>
      </c>
      <c r="C1324" s="64" t="s">
        <v>1039</v>
      </c>
      <c r="D1324" s="65">
        <v>1308.0</v>
      </c>
      <c r="E1324" s="66">
        <v>46173</v>
      </c>
      <c r="F1324" s="95" t="s">
        <v>1031</v>
      </c>
      <c r="G1324" s="140">
        <v>2.86598828E8</v>
      </c>
      <c r="H1324" s="116" t="s">
        <v>4020</v>
      </c>
      <c r="I1324" s="16"/>
      <c r="J1324" s="35"/>
      <c r="K1324" s="87"/>
      <c r="L1324" s="89"/>
      <c r="M1324" s="89"/>
      <c r="N1324" s="89"/>
    </row>
    <row r="1325" ht="17.0">
      <c r="A1325" s="64" t="s">
        <v>4021</v>
      </c>
      <c r="B1325" s="64" t="s">
        <v>4022</v>
      </c>
      <c r="C1325" s="64" t="s">
        <v>3942</v>
      </c>
      <c r="D1325" s="65">
        <v>3196.0</v>
      </c>
      <c r="E1325" s="66">
        <v>46182</v>
      </c>
      <c r="F1325" s="95" t="s">
        <v>3183</v>
      </c>
      <c r="G1325" s="140" t="s">
        <v>4023</v>
      </c>
      <c r="H1325" s="64" t="s">
        <v>4024</v>
      </c>
      <c r="I1325" s="16"/>
      <c r="J1325" s="35"/>
      <c r="K1325" s="87"/>
      <c r="L1325" s="89"/>
      <c r="M1325" s="89"/>
      <c r="N1325" s="89"/>
    </row>
    <row r="1326" ht="17.0">
      <c r="A1326" s="64" t="s">
        <v>4025</v>
      </c>
      <c r="B1326" s="64" t="s">
        <v>4026</v>
      </c>
      <c r="C1326" s="64" t="s">
        <v>3667</v>
      </c>
      <c r="D1326" s="65">
        <v>916.0</v>
      </c>
      <c r="E1326" s="66">
        <v>46175</v>
      </c>
      <c r="F1326" s="95" t="s">
        <v>3183</v>
      </c>
      <c r="G1326" s="140">
        <v>1.84726893E9</v>
      </c>
      <c r="H1326" s="64" t="s">
        <v>4027</v>
      </c>
      <c r="I1326" s="16"/>
      <c r="J1326" s="35"/>
      <c r="K1326" s="87"/>
      <c r="L1326" s="89"/>
      <c r="M1326" s="89"/>
      <c r="N1326" s="89"/>
    </row>
    <row r="1327" ht="17.0">
      <c r="A1327" s="64" t="s">
        <v>4028</v>
      </c>
      <c r="B1327" s="64" t="s">
        <v>4029</v>
      </c>
      <c r="C1327" s="64" t="s">
        <v>58</v>
      </c>
      <c r="D1327" s="65">
        <v>681.0</v>
      </c>
      <c r="E1327" s="66">
        <v>46176</v>
      </c>
      <c r="F1327" s="95" t="s">
        <v>1031</v>
      </c>
      <c r="G1327" s="140">
        <v>2.86598832E8</v>
      </c>
      <c r="H1327" s="64" t="s">
        <v>4030</v>
      </c>
      <c r="I1327" s="16"/>
      <c r="J1327" s="35"/>
      <c r="K1327" s="87"/>
      <c r="L1327" s="89"/>
      <c r="M1327" s="89"/>
      <c r="N1327" s="89"/>
    </row>
    <row r="1328" ht="17.0">
      <c r="A1328" s="64" t="s">
        <v>4031</v>
      </c>
      <c r="B1328" s="64" t="s">
        <v>4032</v>
      </c>
      <c r="C1328" s="64" t="s">
        <v>1102</v>
      </c>
      <c r="D1328" s="65">
        <v>198.0</v>
      </c>
      <c r="E1328" s="66">
        <v>46175</v>
      </c>
      <c r="F1328" s="95" t="s">
        <v>1031</v>
      </c>
      <c r="G1328" s="140">
        <v>2.86598822E8</v>
      </c>
      <c r="H1328" s="64" t="s">
        <v>4033</v>
      </c>
      <c r="I1328" s="16"/>
      <c r="J1328" s="35"/>
      <c r="K1328" s="87"/>
      <c r="L1328" s="89"/>
      <c r="M1328" s="89"/>
      <c r="N1328" s="89"/>
    </row>
    <row r="1329" ht="17.0">
      <c r="A1329" s="64" t="s">
        <v>4034</v>
      </c>
      <c r="B1329" s="64" t="s">
        <v>4035</v>
      </c>
      <c r="C1329" s="64" t="s">
        <v>3404</v>
      </c>
      <c r="D1329" s="65">
        <v>1119.0</v>
      </c>
      <c r="E1329" s="66">
        <v>46199</v>
      </c>
      <c r="F1329" s="95" t="s">
        <v>1031</v>
      </c>
      <c r="G1329" s="140">
        <v>2.86598823E8</v>
      </c>
      <c r="H1329" s="64" t="s">
        <v>4036</v>
      </c>
      <c r="I1329" s="16"/>
      <c r="J1329" s="35"/>
      <c r="K1329" s="87"/>
      <c r="L1329" s="89"/>
      <c r="M1329" s="89"/>
      <c r="N1329" s="89"/>
    </row>
    <row r="1330" ht="17.0">
      <c r="A1330" s="64" t="s">
        <v>4037</v>
      </c>
      <c r="B1330" s="64" t="s">
        <v>4038</v>
      </c>
      <c r="C1330" s="64" t="s">
        <v>1047</v>
      </c>
      <c r="D1330" s="65">
        <v>288.0</v>
      </c>
      <c r="E1330" s="66">
        <v>46172</v>
      </c>
      <c r="F1330" s="95" t="s">
        <v>1031</v>
      </c>
      <c r="G1330" s="140">
        <v>2.86598825E8</v>
      </c>
      <c r="H1330" s="64" t="s">
        <v>4039</v>
      </c>
      <c r="I1330" s="16"/>
      <c r="J1330" s="35"/>
      <c r="K1330" s="87"/>
      <c r="L1330" s="89"/>
      <c r="M1330" s="89"/>
      <c r="N1330" s="89"/>
    </row>
    <row r="1331" ht="17.0">
      <c r="A1331" s="64" t="s">
        <v>4040</v>
      </c>
      <c r="B1331" s="64" t="s">
        <v>4041</v>
      </c>
      <c r="C1331" s="64" t="s">
        <v>30</v>
      </c>
      <c r="D1331" s="65">
        <v>789.0</v>
      </c>
      <c r="E1331" s="66">
        <v>46168</v>
      </c>
      <c r="F1331" s="95" t="s">
        <v>1919</v>
      </c>
      <c r="G1331" s="140" t="s">
        <v>1919</v>
      </c>
      <c r="H1331" s="64" t="s">
        <v>4042</v>
      </c>
      <c r="I1331" s="16"/>
      <c r="J1331" s="35"/>
      <c r="K1331" s="87"/>
      <c r="L1331" s="89"/>
      <c r="M1331" s="89"/>
      <c r="N1331" s="89"/>
    </row>
    <row r="1332" customHeight="1" ht="14.0">
      <c r="A1332" s="64" t="s">
        <v>4043</v>
      </c>
      <c r="B1332" s="22" t="s">
        <v>4044</v>
      </c>
      <c r="C1332" s="64" t="s">
        <v>30</v>
      </c>
      <c r="D1332" s="65">
        <v>762.0</v>
      </c>
      <c r="E1332" s="34">
        <v>46168</v>
      </c>
      <c r="F1332" s="109" t="s">
        <v>1919</v>
      </c>
      <c r="G1332" s="104" t="s">
        <v>1919</v>
      </c>
      <c r="H1332" s="64" t="s">
        <v>4045</v>
      </c>
      <c r="I1332" s="16"/>
      <c r="J1332" s="35"/>
      <c r="K1332" s="87"/>
      <c r="L1332" s="89"/>
      <c r="M1332" s="89"/>
      <c r="N1332" s="89"/>
    </row>
    <row r="1333" customHeight="1" ht="14.0">
      <c r="A1333" s="64" t="s">
        <v>4046</v>
      </c>
      <c r="B1333" s="22" t="s">
        <v>4047</v>
      </c>
      <c r="C1333" s="64" t="s">
        <v>26</v>
      </c>
      <c r="D1333" s="65">
        <v>141.0</v>
      </c>
      <c r="E1333" s="34">
        <v>46174</v>
      </c>
      <c r="F1333" s="109" t="s">
        <v>1031</v>
      </c>
      <c r="G1333" s="104">
        <v>2.86598824E8</v>
      </c>
      <c r="H1333" s="64" t="s">
        <v>4048</v>
      </c>
      <c r="I1333" s="16"/>
      <c r="J1333" s="35"/>
      <c r="K1333" s="87"/>
      <c r="L1333" s="89"/>
      <c r="M1333" s="89"/>
      <c r="N1333" s="89"/>
    </row>
    <row r="1334" customHeight="1" ht="14.0">
      <c r="A1334" s="64" t="s">
        <v>4049</v>
      </c>
      <c r="B1334" s="22" t="s">
        <v>4050</v>
      </c>
      <c r="C1334" s="64" t="s">
        <v>1561</v>
      </c>
      <c r="D1334" s="65">
        <v>240.0</v>
      </c>
      <c r="E1334" s="34">
        <v>46177</v>
      </c>
      <c r="F1334" s="109" t="s">
        <v>1031</v>
      </c>
      <c r="G1334" s="104">
        <v>2.86598875E8</v>
      </c>
      <c r="H1334" s="64" t="s">
        <v>4051</v>
      </c>
      <c r="I1334" s="16"/>
      <c r="J1334" s="35"/>
      <c r="K1334" s="87"/>
      <c r="L1334" s="89"/>
      <c r="M1334" s="89"/>
      <c r="N1334" s="89"/>
    </row>
    <row r="1335" customHeight="1" ht="14.0">
      <c r="A1335" s="64" t="s">
        <v>4052</v>
      </c>
      <c r="B1335" s="22" t="s">
        <v>4053</v>
      </c>
      <c r="C1335" s="64" t="s">
        <v>141</v>
      </c>
      <c r="D1335" s="65">
        <v>1285.0</v>
      </c>
      <c r="E1335" s="34">
        <v>46177</v>
      </c>
      <c r="F1335" s="109" t="s">
        <v>1031</v>
      </c>
      <c r="G1335" s="104">
        <v>2.86598876E8</v>
      </c>
      <c r="H1335" s="64" t="s">
        <v>4054</v>
      </c>
      <c r="I1335" s="16"/>
      <c r="J1335" s="35"/>
      <c r="K1335" s="87"/>
      <c r="L1335" s="89"/>
      <c r="M1335" s="89"/>
      <c r="N1335" s="89"/>
    </row>
    <row r="1336" customHeight="1" ht="14.0">
      <c r="A1336" s="64" t="s">
        <v>4055</v>
      </c>
      <c r="B1336" s="22" t="s">
        <v>4056</v>
      </c>
      <c r="C1336" s="64" t="s">
        <v>3245</v>
      </c>
      <c r="D1336" s="65">
        <v>324.0</v>
      </c>
      <c r="E1336" s="34">
        <v>46186</v>
      </c>
      <c r="F1336" s="109" t="s">
        <v>3183</v>
      </c>
      <c r="G1336" s="104">
        <v>1.847268945E9</v>
      </c>
      <c r="H1336" s="64" t="s">
        <v>4057</v>
      </c>
      <c r="I1336" s="16"/>
      <c r="J1336" s="35"/>
      <c r="K1336" s="87"/>
      <c r="L1336" s="89"/>
      <c r="M1336" s="89"/>
      <c r="N1336" s="89"/>
    </row>
    <row r="1337" customHeight="1" ht="14.0">
      <c r="A1337" s="64" t="s">
        <v>4058</v>
      </c>
      <c r="B1337" s="22" t="s">
        <v>4059</v>
      </c>
      <c r="C1337" s="64" t="s">
        <v>1066</v>
      </c>
      <c r="D1337" s="65">
        <v>174.0</v>
      </c>
      <c r="E1337" s="34">
        <v>46179</v>
      </c>
      <c r="F1337" s="109" t="s">
        <v>565</v>
      </c>
      <c r="G1337" s="104">
        <v>2.86598902E8</v>
      </c>
      <c r="H1337" s="64" t="s">
        <v>4060</v>
      </c>
      <c r="I1337" s="16"/>
      <c r="J1337" s="35"/>
      <c r="K1337" s="87"/>
      <c r="L1337" s="89"/>
      <c r="M1337" s="89"/>
      <c r="N1337" s="89"/>
    </row>
    <row r="1338" customHeight="1" ht="14.0">
      <c r="A1338" s="64" t="s">
        <v>4061</v>
      </c>
      <c r="B1338" s="22" t="s">
        <v>4062</v>
      </c>
      <c r="C1338" s="64" t="s">
        <v>141</v>
      </c>
      <c r="D1338" s="65">
        <v>340.0</v>
      </c>
      <c r="E1338" s="34">
        <v>46177</v>
      </c>
      <c r="F1338" s="109" t="s">
        <v>1031</v>
      </c>
      <c r="G1338" s="104">
        <v>2.86598903E8</v>
      </c>
      <c r="H1338" s="64" t="s">
        <v>4063</v>
      </c>
      <c r="I1338" s="16"/>
      <c r="J1338" s="35"/>
      <c r="K1338" s="87"/>
      <c r="L1338" s="89"/>
      <c r="M1338" s="89"/>
      <c r="N1338" s="89"/>
    </row>
    <row r="1339" customHeight="1" ht="14.0">
      <c r="A1339" s="64" t="s">
        <v>4064</v>
      </c>
      <c r="B1339" s="22" t="s">
        <v>4065</v>
      </c>
      <c r="C1339" s="64" t="s">
        <v>3245</v>
      </c>
      <c r="D1339" s="65">
        <v>480.0</v>
      </c>
      <c r="E1339" s="34">
        <v>46186</v>
      </c>
      <c r="F1339" s="109" t="s">
        <v>3183</v>
      </c>
      <c r="G1339" s="104">
        <v>1.847268945E9</v>
      </c>
      <c r="H1339" s="64" t="s">
        <v>4066</v>
      </c>
      <c r="I1339" s="16"/>
      <c r="J1339" s="35"/>
      <c r="K1339" s="87"/>
      <c r="L1339" s="89"/>
      <c r="M1339" s="89"/>
      <c r="N1339" s="89"/>
    </row>
    <row r="1340" customHeight="1" ht="14.0">
      <c r="A1340" s="64" t="s">
        <v>4067</v>
      </c>
      <c r="B1340" s="22" t="s">
        <v>4068</v>
      </c>
      <c r="C1340" s="64" t="s">
        <v>3048</v>
      </c>
      <c r="D1340" s="65">
        <v>400.0</v>
      </c>
      <c r="E1340" s="34">
        <v>46186</v>
      </c>
      <c r="F1340" s="109" t="s">
        <v>3183</v>
      </c>
      <c r="G1340" s="104">
        <v>1.847268944E9</v>
      </c>
      <c r="H1340" s="64" t="s">
        <v>4069</v>
      </c>
      <c r="I1340" s="16"/>
      <c r="J1340" s="35"/>
      <c r="K1340" s="87"/>
      <c r="L1340" s="89"/>
      <c r="M1340" s="89"/>
      <c r="N1340" s="89"/>
    </row>
    <row r="1341" customHeight="1" ht="14.0">
      <c r="A1341" s="64" t="s">
        <v>4070</v>
      </c>
      <c r="B1341" s="22" t="s">
        <v>4071</v>
      </c>
      <c r="C1341" s="64" t="s">
        <v>3404</v>
      </c>
      <c r="D1341" s="65">
        <v>940.0</v>
      </c>
      <c r="E1341" s="34">
        <v>46177</v>
      </c>
      <c r="F1341" s="109" t="s">
        <v>1031</v>
      </c>
      <c r="G1341" s="104">
        <v>2.86598904E8</v>
      </c>
      <c r="H1341" s="64" t="s">
        <v>4072</v>
      </c>
      <c r="I1341" s="16"/>
      <c r="J1341" s="35"/>
      <c r="K1341" s="87"/>
      <c r="L1341" s="89"/>
      <c r="M1341" s="89"/>
      <c r="N1341" s="89"/>
    </row>
    <row r="1342" customHeight="1" ht="14.0">
      <c r="A1342" s="64" t="s">
        <v>4073</v>
      </c>
      <c r="B1342" s="22" t="s">
        <v>4074</v>
      </c>
      <c r="C1342" s="64" t="s">
        <v>58</v>
      </c>
      <c r="D1342" s="65">
        <v>700.0</v>
      </c>
      <c r="E1342" s="34">
        <v>46179</v>
      </c>
      <c r="F1342" s="109" t="s">
        <v>1031</v>
      </c>
      <c r="G1342" s="104">
        <v>2.86598905E8</v>
      </c>
      <c r="H1342" s="64" t="s">
        <v>4075</v>
      </c>
      <c r="I1342" s="16"/>
      <c r="J1342" s="35"/>
      <c r="K1342" s="87"/>
      <c r="L1342" s="89"/>
      <c r="M1342" s="89"/>
      <c r="N1342" s="89"/>
    </row>
    <row r="1343" customHeight="1" ht="14.0">
      <c r="A1343" s="64" t="s">
        <v>4076</v>
      </c>
      <c r="B1343" s="22" t="s">
        <v>4077</v>
      </c>
      <c r="C1343" s="64" t="s">
        <v>1102</v>
      </c>
      <c r="D1343" s="65">
        <v>500.0</v>
      </c>
      <c r="E1343" s="34"/>
      <c r="F1343" s="109" t="s">
        <v>1031</v>
      </c>
      <c r="G1343" s="104">
        <v>2.86598906E8</v>
      </c>
      <c r="H1343" s="64" t="s">
        <v>4078</v>
      </c>
      <c r="I1343" s="16"/>
      <c r="J1343" s="35"/>
      <c r="K1343" s="87"/>
      <c r="L1343" s="89"/>
      <c r="M1343" s="89"/>
      <c r="N1343" s="89"/>
    </row>
    <row r="1344" customHeight="1" ht="14.0">
      <c r="A1344" s="64" t="s">
        <v>4079</v>
      </c>
      <c r="B1344" s="22" t="s">
        <v>4080</v>
      </c>
      <c r="C1344" s="64" t="s">
        <v>1039</v>
      </c>
      <c r="D1344" s="65">
        <v>2940.0</v>
      </c>
      <c r="E1344" s="34">
        <v>46177</v>
      </c>
      <c r="F1344" s="109" t="s">
        <v>1031</v>
      </c>
      <c r="G1344" s="104">
        <v>2.86598907E8</v>
      </c>
      <c r="H1344" s="64" t="s">
        <v>4081</v>
      </c>
      <c r="I1344" s="16"/>
      <c r="J1344" s="35"/>
      <c r="K1344" s="87"/>
      <c r="L1344" s="89"/>
      <c r="M1344" s="89"/>
      <c r="N1344" s="89"/>
    </row>
    <row r="1345" customHeight="1" ht="14.0">
      <c r="A1345" s="64" t="s">
        <v>4082</v>
      </c>
      <c r="B1345" s="22" t="s">
        <v>4083</v>
      </c>
      <c r="C1345" s="64" t="s">
        <v>1561</v>
      </c>
      <c r="D1345" s="65">
        <v>540.0</v>
      </c>
      <c r="E1345" s="34">
        <v>46177</v>
      </c>
      <c r="F1345" s="109" t="s">
        <v>1031</v>
      </c>
      <c r="G1345" s="104">
        <v>2.86598908E8</v>
      </c>
      <c r="H1345" s="64" t="s">
        <v>4084</v>
      </c>
      <c r="I1345" s="16"/>
      <c r="J1345" s="35"/>
      <c r="K1345" s="87"/>
      <c r="L1345" s="89"/>
      <c r="M1345" s="89"/>
      <c r="N1345" s="89"/>
    </row>
    <row r="1346" customHeight="1" ht="14.0">
      <c r="A1346" s="64" t="s">
        <v>4085</v>
      </c>
      <c r="B1346" s="22" t="s">
        <v>4086</v>
      </c>
      <c r="C1346" s="64" t="s">
        <v>3681</v>
      </c>
      <c r="D1346" s="65">
        <v>1420.0</v>
      </c>
      <c r="E1346" s="34">
        <v>46177</v>
      </c>
      <c r="F1346" s="109" t="s">
        <v>3183</v>
      </c>
      <c r="G1346" s="104">
        <v>1.847268943E9</v>
      </c>
      <c r="H1346" s="64" t="s">
        <v>4087</v>
      </c>
      <c r="I1346" s="16"/>
      <c r="J1346" s="35"/>
      <c r="K1346" s="87"/>
      <c r="L1346" s="89"/>
      <c r="M1346" s="89"/>
      <c r="N1346" s="89"/>
    </row>
    <row r="1347" customHeight="1" ht="14.0">
      <c r="A1347" s="118" t="s">
        <v>4088</v>
      </c>
      <c r="B1347" s="42" t="s">
        <v>4089</v>
      </c>
      <c r="C1347" s="118" t="s">
        <v>1066</v>
      </c>
      <c r="D1347" s="137">
        <v>120.0</v>
      </c>
      <c r="E1347" s="120">
        <v>46179</v>
      </c>
      <c r="F1347" s="122" t="s">
        <v>1031</v>
      </c>
      <c r="G1347" s="143">
        <v>2.86598902E8</v>
      </c>
      <c r="H1347" s="118" t="s">
        <v>108</v>
      </c>
      <c r="I1347" s="16"/>
      <c r="J1347" s="35"/>
      <c r="K1347" s="87"/>
      <c r="L1347" s="89"/>
      <c r="M1347" s="89"/>
      <c r="N1347" s="89"/>
    </row>
    <row r="1348" customHeight="1" ht="14.0">
      <c r="A1348" s="64" t="s">
        <v>4090</v>
      </c>
      <c r="B1348" s="22" t="s">
        <v>4091</v>
      </c>
      <c r="C1348" s="64" t="s">
        <v>3404</v>
      </c>
      <c r="D1348" s="65">
        <v>325.0</v>
      </c>
      <c r="E1348" s="34">
        <v>46199</v>
      </c>
      <c r="F1348" s="109" t="s">
        <v>1031</v>
      </c>
      <c r="G1348" s="104">
        <v>2.86598959E8</v>
      </c>
      <c r="H1348" s="64" t="s">
        <v>4092</v>
      </c>
      <c r="I1348" s="16"/>
      <c r="J1348" s="35"/>
      <c r="K1348" s="87"/>
      <c r="L1348" s="89"/>
      <c r="M1348" s="89"/>
      <c r="N1348" s="89"/>
    </row>
    <row r="1349" customHeight="1" ht="14.0">
      <c r="A1349" s="64" t="s">
        <v>4093</v>
      </c>
      <c r="B1349" s="22" t="s">
        <v>4094</v>
      </c>
      <c r="C1349" s="64" t="s">
        <v>3404</v>
      </c>
      <c r="D1349" s="65">
        <v>274.0</v>
      </c>
      <c r="E1349" s="34">
        <v>46199</v>
      </c>
      <c r="F1349" s="109" t="s">
        <v>1031</v>
      </c>
      <c r="G1349" s="104">
        <v>2.86598959E8</v>
      </c>
      <c r="H1349" s="64" t="s">
        <v>4095</v>
      </c>
      <c r="I1349" s="16"/>
      <c r="J1349" s="35"/>
      <c r="K1349" s="87"/>
      <c r="L1349" s="89"/>
      <c r="M1349" s="89"/>
      <c r="N1349" s="89"/>
    </row>
    <row r="1350" customHeight="1" ht="14.0">
      <c r="A1350" s="64" t="s">
        <v>4096</v>
      </c>
      <c r="B1350" s="22" t="s">
        <v>4097</v>
      </c>
      <c r="C1350" s="64" t="s">
        <v>26</v>
      </c>
      <c r="D1350" s="65">
        <v>100.0</v>
      </c>
      <c r="E1350" s="34">
        <v>46177</v>
      </c>
      <c r="F1350" s="109" t="s">
        <v>1031</v>
      </c>
      <c r="G1350" s="104">
        <v>2.8659896E8</v>
      </c>
      <c r="H1350" s="64" t="s">
        <v>4098</v>
      </c>
      <c r="I1350" s="16"/>
      <c r="J1350" s="35"/>
      <c r="K1350" s="87"/>
      <c r="L1350" s="89"/>
      <c r="M1350" s="89"/>
      <c r="N1350" s="89"/>
    </row>
    <row r="1351" customHeight="1" ht="14.0">
      <c r="A1351" s="64" t="s">
        <v>4099</v>
      </c>
      <c r="B1351" s="22" t="s">
        <v>4100</v>
      </c>
      <c r="C1351" s="64" t="s">
        <v>26</v>
      </c>
      <c r="D1351" s="65">
        <v>379.0</v>
      </c>
      <c r="E1351" s="34">
        <v>46177</v>
      </c>
      <c r="F1351" s="109" t="s">
        <v>1031</v>
      </c>
      <c r="G1351" s="104">
        <v>2.8659896E8</v>
      </c>
      <c r="H1351" s="64" t="s">
        <v>4101</v>
      </c>
      <c r="I1351" s="16"/>
      <c r="J1351" s="35"/>
      <c r="K1351" s="87"/>
      <c r="L1351" s="89"/>
      <c r="M1351" s="89"/>
      <c r="N1351" s="89"/>
    </row>
    <row r="1352" customHeight="1" ht="14.0">
      <c r="A1352" s="64" t="s">
        <v>4102</v>
      </c>
      <c r="B1352" s="22" t="s">
        <v>4103</v>
      </c>
      <c r="C1352" s="64" t="s">
        <v>26</v>
      </c>
      <c r="D1352" s="65">
        <v>297.0</v>
      </c>
      <c r="E1352" s="34">
        <v>46177</v>
      </c>
      <c r="F1352" s="109" t="s">
        <v>1031</v>
      </c>
      <c r="G1352" s="104">
        <v>2.8659896E8</v>
      </c>
      <c r="H1352" s="64" t="s">
        <v>4104</v>
      </c>
      <c r="I1352" s="16"/>
      <c r="J1352" s="35"/>
      <c r="K1352" s="87"/>
      <c r="L1352" s="89"/>
      <c r="M1352" s="89"/>
      <c r="N1352" s="89"/>
    </row>
    <row r="1353" customHeight="1" ht="14.0">
      <c r="A1353" s="64" t="s">
        <v>4105</v>
      </c>
      <c r="B1353" s="22" t="s">
        <v>4106</v>
      </c>
      <c r="C1353" s="64" t="s">
        <v>1047</v>
      </c>
      <c r="D1353" s="65">
        <v>418.0</v>
      </c>
      <c r="E1353" s="34">
        <v>46178</v>
      </c>
      <c r="F1353" s="109" t="s">
        <v>1031</v>
      </c>
      <c r="G1353" s="104">
        <v>2.86598961E8</v>
      </c>
      <c r="H1353" s="64" t="s">
        <v>4107</v>
      </c>
      <c r="I1353" s="16"/>
      <c r="J1353" s="35"/>
      <c r="K1353" s="87"/>
      <c r="L1353" s="89"/>
      <c r="M1353" s="89"/>
      <c r="N1353" s="89"/>
    </row>
    <row r="1354" customHeight="1" ht="14.0">
      <c r="A1354" s="64" t="s">
        <v>4108</v>
      </c>
      <c r="B1354" s="22" t="s">
        <v>4109</v>
      </c>
      <c r="C1354" s="64" t="s">
        <v>1047</v>
      </c>
      <c r="D1354" s="65">
        <v>240.0</v>
      </c>
      <c r="E1354" s="34">
        <v>46178</v>
      </c>
      <c r="F1354" s="109" t="s">
        <v>1031</v>
      </c>
      <c r="G1354" s="104">
        <v>2.86598961E8</v>
      </c>
      <c r="H1354" s="64" t="s">
        <v>4110</v>
      </c>
      <c r="I1354" s="16"/>
      <c r="J1354" s="35"/>
      <c r="K1354" s="87"/>
      <c r="L1354" s="89"/>
      <c r="M1354" s="89"/>
      <c r="N1354" s="89"/>
    </row>
    <row r="1355" customHeight="1" ht="14.0">
      <c r="A1355" s="64" t="s">
        <v>4111</v>
      </c>
      <c r="B1355" s="22" t="s">
        <v>4112</v>
      </c>
      <c r="C1355" s="64" t="s">
        <v>2208</v>
      </c>
      <c r="D1355" s="65">
        <v>140.0</v>
      </c>
      <c r="E1355" s="34">
        <v>46182</v>
      </c>
      <c r="F1355" s="109" t="s">
        <v>1031</v>
      </c>
      <c r="G1355" s="104">
        <v>2.86598962E8</v>
      </c>
      <c r="H1355" s="64" t="s">
        <v>4113</v>
      </c>
      <c r="I1355" s="16"/>
      <c r="J1355" s="35"/>
      <c r="K1355" s="87"/>
      <c r="L1355" s="89"/>
      <c r="M1355" s="89"/>
      <c r="N1355" s="89"/>
    </row>
    <row r="1356" customHeight="1" ht="14.0">
      <c r="A1356" s="64" t="s">
        <v>4114</v>
      </c>
      <c r="B1356" s="22" t="s">
        <v>4115</v>
      </c>
      <c r="C1356" s="64" t="s">
        <v>2208</v>
      </c>
      <c r="D1356" s="65">
        <v>300.0</v>
      </c>
      <c r="E1356" s="34">
        <v>46182</v>
      </c>
      <c r="F1356" s="109" t="s">
        <v>1031</v>
      </c>
      <c r="G1356" s="104">
        <v>2.86598962E8</v>
      </c>
      <c r="H1356" s="64" t="s">
        <v>4116</v>
      </c>
      <c r="I1356" s="16"/>
      <c r="J1356" s="35"/>
      <c r="K1356" s="87"/>
      <c r="L1356" s="89"/>
      <c r="M1356" s="89"/>
      <c r="N1356" s="89"/>
    </row>
    <row r="1357" customHeight="1" ht="14.0">
      <c r="A1357" s="64" t="s">
        <v>4117</v>
      </c>
      <c r="B1357" s="22" t="s">
        <v>4118</v>
      </c>
      <c r="C1357" s="64" t="s">
        <v>58</v>
      </c>
      <c r="D1357" s="65">
        <v>477.0</v>
      </c>
      <c r="E1357" s="34">
        <v>46180</v>
      </c>
      <c r="F1357" s="109" t="s">
        <v>1031</v>
      </c>
      <c r="G1357" s="104">
        <v>2.86598963E8</v>
      </c>
      <c r="H1357" s="64" t="s">
        <v>4119</v>
      </c>
      <c r="I1357" s="16"/>
      <c r="J1357" s="35"/>
      <c r="K1357" s="87"/>
      <c r="L1357" s="89"/>
      <c r="M1357" s="89"/>
      <c r="N1357" s="89"/>
    </row>
    <row r="1358" customHeight="1" ht="14.0">
      <c r="A1358" s="64" t="s">
        <v>4120</v>
      </c>
      <c r="B1358" s="22" t="s">
        <v>4121</v>
      </c>
      <c r="C1358" s="64" t="s">
        <v>58</v>
      </c>
      <c r="D1358" s="65">
        <v>231.0</v>
      </c>
      <c r="E1358" s="34">
        <v>46180</v>
      </c>
      <c r="F1358" s="109" t="s">
        <v>1031</v>
      </c>
      <c r="G1358" s="104">
        <v>2.86598963E8</v>
      </c>
      <c r="H1358" s="64" t="s">
        <v>4122</v>
      </c>
      <c r="I1358" s="16"/>
      <c r="J1358" s="35"/>
      <c r="K1358" s="87"/>
      <c r="L1358" s="89"/>
      <c r="M1358" s="89"/>
      <c r="N1358" s="89"/>
    </row>
    <row r="1359" customHeight="1" ht="14.0">
      <c r="A1359" s="64" t="s">
        <v>4123</v>
      </c>
      <c r="B1359" s="22" t="s">
        <v>4124</v>
      </c>
      <c r="C1359" s="64" t="s">
        <v>1039</v>
      </c>
      <c r="D1359" s="65">
        <v>684.0</v>
      </c>
      <c r="E1359" s="34">
        <v>46179</v>
      </c>
      <c r="F1359" s="109" t="s">
        <v>1031</v>
      </c>
      <c r="G1359" s="104">
        <v>2.86598965E8</v>
      </c>
      <c r="H1359" s="64" t="s">
        <v>4125</v>
      </c>
      <c r="I1359" s="16"/>
      <c r="J1359" s="35"/>
      <c r="K1359" s="87"/>
      <c r="L1359" s="89"/>
      <c r="M1359" s="89"/>
      <c r="N1359" s="89"/>
    </row>
    <row r="1360" customHeight="1" ht="14.0">
      <c r="A1360" s="64" t="s">
        <v>4126</v>
      </c>
      <c r="B1360" s="22" t="s">
        <v>4127</v>
      </c>
      <c r="C1360" s="64" t="s">
        <v>1728</v>
      </c>
      <c r="D1360" s="65">
        <v>394.0</v>
      </c>
      <c r="E1360" s="34">
        <v>46186</v>
      </c>
      <c r="F1360" s="109" t="s">
        <v>1031</v>
      </c>
      <c r="G1360" s="104">
        <v>2.86598966E8</v>
      </c>
      <c r="H1360" s="64" t="s">
        <v>4128</v>
      </c>
      <c r="I1360" s="16"/>
      <c r="J1360" s="35"/>
      <c r="K1360" s="87"/>
      <c r="L1360" s="89"/>
      <c r="M1360" s="89"/>
      <c r="N1360" s="89"/>
    </row>
    <row r="1361" customHeight="1" ht="14.0">
      <c r="A1361" s="64" t="s">
        <v>4129</v>
      </c>
      <c r="B1361" s="22" t="s">
        <v>4130</v>
      </c>
      <c r="C1361" s="64" t="s">
        <v>1047</v>
      </c>
      <c r="D1361" s="65">
        <v>360.0</v>
      </c>
      <c r="E1361" s="34">
        <v>46186</v>
      </c>
      <c r="F1361" s="109" t="s">
        <v>1031</v>
      </c>
      <c r="G1361" s="104">
        <v>2.86598987E8</v>
      </c>
      <c r="H1361" s="64" t="s">
        <v>4131</v>
      </c>
      <c r="I1361" s="16"/>
      <c r="J1361" s="35"/>
      <c r="K1361" s="87"/>
      <c r="L1361" s="89"/>
      <c r="M1361" s="89"/>
      <c r="N1361" s="89"/>
    </row>
    <row r="1362" customHeight="1" ht="14.0">
      <c r="A1362" s="64" t="s">
        <v>4132</v>
      </c>
      <c r="B1362" s="22" t="s">
        <v>4133</v>
      </c>
      <c r="C1362" s="64" t="s">
        <v>2195</v>
      </c>
      <c r="D1362" s="65">
        <v>1157.0</v>
      </c>
      <c r="E1362" s="34"/>
      <c r="F1362" s="109" t="s">
        <v>4134</v>
      </c>
      <c r="G1362" s="104"/>
      <c r="H1362" s="64"/>
      <c r="I1362" s="16"/>
      <c r="J1362" s="35"/>
      <c r="K1362" s="87"/>
      <c r="L1362" s="89"/>
      <c r="M1362" s="89"/>
      <c r="N1362" s="89"/>
    </row>
    <row r="1363" customHeight="1" ht="14.0">
      <c r="A1363" s="64" t="s">
        <v>4135</v>
      </c>
      <c r="B1363" s="22" t="s">
        <v>4136</v>
      </c>
      <c r="C1363" s="64" t="s">
        <v>1231</v>
      </c>
      <c r="D1363" s="65">
        <v>2460.0</v>
      </c>
      <c r="E1363" s="34">
        <v>46189</v>
      </c>
      <c r="F1363" s="109" t="s">
        <v>1575</v>
      </c>
      <c r="G1363" s="104" t="s">
        <v>1575</v>
      </c>
      <c r="H1363" s="64" t="s">
        <v>4137</v>
      </c>
      <c r="I1363" s="16"/>
      <c r="J1363" s="35"/>
      <c r="K1363" s="87"/>
      <c r="L1363" s="89"/>
      <c r="M1363" s="89"/>
      <c r="N1363" s="89"/>
    </row>
    <row r="1364" customHeight="1" ht="14.0">
      <c r="A1364" s="64" t="s">
        <v>4138</v>
      </c>
      <c r="B1364" s="22" t="s">
        <v>4139</v>
      </c>
      <c r="C1364" s="64" t="s">
        <v>1231</v>
      </c>
      <c r="D1364" s="65">
        <v>518.0</v>
      </c>
      <c r="E1364" s="34">
        <v>46182</v>
      </c>
      <c r="F1364" s="109" t="s">
        <v>1575</v>
      </c>
      <c r="G1364" s="104" t="s">
        <v>1575</v>
      </c>
      <c r="H1364" s="64" t="s">
        <v>4140</v>
      </c>
      <c r="I1364" s="16"/>
      <c r="J1364" s="35"/>
      <c r="K1364" s="87"/>
      <c r="L1364" s="89"/>
      <c r="M1364" s="89"/>
      <c r="N1364" s="89"/>
    </row>
    <row r="1365" customHeight="1" ht="14.0">
      <c r="A1365" s="64" t="s">
        <v>4141</v>
      </c>
      <c r="B1365" s="22" t="s">
        <v>4142</v>
      </c>
      <c r="C1365" s="64" t="s">
        <v>3783</v>
      </c>
      <c r="D1365" s="65">
        <v>256.0</v>
      </c>
      <c r="E1365" s="34">
        <v>46191</v>
      </c>
      <c r="F1365" s="109" t="s">
        <v>565</v>
      </c>
      <c r="G1365" s="104">
        <v>2.86591111E8</v>
      </c>
      <c r="H1365" s="64" t="s">
        <v>4143</v>
      </c>
      <c r="I1365" s="16"/>
      <c r="J1365" s="35"/>
      <c r="K1365" s="87"/>
      <c r="L1365" s="89"/>
      <c r="M1365" s="89"/>
      <c r="N1365" s="89"/>
    </row>
    <row r="1366" customHeight="1" ht="14.0">
      <c r="A1366" s="64" t="s">
        <v>4144</v>
      </c>
      <c r="B1366" s="22" t="s">
        <v>4145</v>
      </c>
      <c r="C1366" s="64" t="s">
        <v>26</v>
      </c>
      <c r="D1366" s="65">
        <v>123.0</v>
      </c>
      <c r="E1366" s="34">
        <v>46189</v>
      </c>
      <c r="F1366" s="109" t="s">
        <v>565</v>
      </c>
      <c r="G1366" s="104">
        <v>2.8659101E8</v>
      </c>
      <c r="H1366" s="64" t="s">
        <v>4146</v>
      </c>
      <c r="I1366" s="16"/>
      <c r="J1366" s="35"/>
      <c r="K1366" s="87"/>
      <c r="L1366" s="89"/>
      <c r="M1366" s="89"/>
      <c r="N1366" s="89"/>
    </row>
    <row r="1367" customHeight="1" ht="14.0">
      <c r="A1367" s="64" t="s">
        <v>4147</v>
      </c>
      <c r="B1367" s="22" t="s">
        <v>4148</v>
      </c>
      <c r="C1367" s="64" t="s">
        <v>58</v>
      </c>
      <c r="D1367" s="65">
        <v>331.0</v>
      </c>
      <c r="E1367" s="34">
        <v>46189</v>
      </c>
      <c r="F1367" s="109" t="s">
        <v>1031</v>
      </c>
      <c r="G1367" s="104">
        <v>2.86599042E8</v>
      </c>
      <c r="H1367" s="64" t="s">
        <v>4149</v>
      </c>
      <c r="I1367" s="16"/>
      <c r="J1367" s="35"/>
      <c r="K1367" s="87"/>
      <c r="L1367" s="89"/>
      <c r="M1367" s="89"/>
      <c r="N1367" s="89"/>
    </row>
    <row r="1368" customHeight="1" ht="14.0">
      <c r="A1368" s="64" t="s">
        <v>4150</v>
      </c>
      <c r="B1368" s="22" t="s">
        <v>4151</v>
      </c>
      <c r="C1368" s="64" t="s">
        <v>3404</v>
      </c>
      <c r="D1368" s="65">
        <v>492.0</v>
      </c>
      <c r="E1368" s="34">
        <v>46198</v>
      </c>
      <c r="F1368" s="109" t="s">
        <v>1031</v>
      </c>
      <c r="G1368" s="104">
        <v>2.86599043E8</v>
      </c>
      <c r="H1368" s="64" t="s">
        <v>4152</v>
      </c>
      <c r="I1368" s="16"/>
      <c r="J1368" s="35"/>
      <c r="K1368" s="87"/>
      <c r="L1368" s="89"/>
      <c r="M1368" s="89"/>
      <c r="N1368" s="89"/>
    </row>
    <row r="1369" customHeight="1" ht="14.0">
      <c r="A1369" s="64" t="s">
        <v>4153</v>
      </c>
      <c r="B1369" s="22" t="s">
        <v>4154</v>
      </c>
      <c r="C1369" s="64" t="s">
        <v>1039</v>
      </c>
      <c r="D1369" s="65">
        <v>36.0</v>
      </c>
      <c r="E1369" s="34">
        <v>46189</v>
      </c>
      <c r="F1369" s="109" t="s">
        <v>1031</v>
      </c>
      <c r="G1369" s="104">
        <v>2.86599058E8</v>
      </c>
      <c r="H1369" s="64" t="s">
        <v>4155</v>
      </c>
      <c r="I1369" s="16"/>
      <c r="J1369" s="35"/>
      <c r="K1369" s="87"/>
      <c r="L1369" s="89"/>
      <c r="M1369" s="89"/>
      <c r="N1369" s="89"/>
    </row>
    <row r="1370" customHeight="1" ht="14.0">
      <c r="A1370" s="64" t="s">
        <v>4156</v>
      </c>
      <c r="B1370" s="22" t="s">
        <v>4157</v>
      </c>
      <c r="C1370" s="64" t="s">
        <v>1561</v>
      </c>
      <c r="D1370" s="65">
        <v>240.0</v>
      </c>
      <c r="E1370" s="34">
        <v>46189</v>
      </c>
      <c r="F1370" s="109" t="s">
        <v>565</v>
      </c>
      <c r="G1370" s="104">
        <v>2.8659105E8</v>
      </c>
      <c r="H1370" s="64" t="s">
        <v>4158</v>
      </c>
      <c r="I1370" s="16"/>
      <c r="J1370" s="35"/>
      <c r="K1370" s="87"/>
      <c r="L1370" s="89"/>
      <c r="M1370" s="89"/>
      <c r="N1370" s="89"/>
    </row>
    <row r="1371" customHeight="1" ht="14.0">
      <c r="A1371" s="64" t="s">
        <v>4159</v>
      </c>
      <c r="B1371" s="22" t="s">
        <v>4160</v>
      </c>
      <c r="C1371" s="64" t="s">
        <v>1102</v>
      </c>
      <c r="D1371" s="65">
        <v>514.0</v>
      </c>
      <c r="E1371" s="34">
        <v>46191</v>
      </c>
      <c r="F1371" s="104" t="s">
        <v>565</v>
      </c>
      <c r="G1371" s="140">
        <v>2.86591064E8</v>
      </c>
      <c r="H1371" s="64" t="s">
        <v>4161</v>
      </c>
      <c r="I1371" s="16"/>
      <c r="J1371" s="35"/>
      <c r="K1371" s="87"/>
      <c r="L1371" s="89"/>
      <c r="M1371" s="89"/>
      <c r="N1371" s="89"/>
    </row>
    <row r="1372" customHeight="1" ht="14.0">
      <c r="A1372" s="64" t="s">
        <v>4162</v>
      </c>
      <c r="B1372" s="22" t="s">
        <v>4163</v>
      </c>
      <c r="C1372" s="64" t="s">
        <v>2208</v>
      </c>
      <c r="D1372" s="65">
        <v>280.0</v>
      </c>
      <c r="E1372" s="34">
        <v>46189</v>
      </c>
      <c r="F1372" s="109" t="s">
        <v>565</v>
      </c>
      <c r="G1372" s="104">
        <v>2.86591044E8</v>
      </c>
      <c r="H1372" s="64" t="s">
        <v>4164</v>
      </c>
      <c r="I1372" s="16"/>
      <c r="J1372" s="35"/>
      <c r="K1372" s="87"/>
      <c r="L1372" s="89"/>
      <c r="M1372" s="89"/>
      <c r="N1372" s="89"/>
    </row>
    <row r="1373" customHeight="1" ht="14.0">
      <c r="A1373" s="64" t="s">
        <v>4165</v>
      </c>
      <c r="B1373" s="22" t="s">
        <v>4166</v>
      </c>
      <c r="C1373" s="64" t="s">
        <v>1039</v>
      </c>
      <c r="D1373" s="65">
        <v>1100.0</v>
      </c>
      <c r="E1373" s="34">
        <v>46186</v>
      </c>
      <c r="F1373" s="109" t="s">
        <v>1031</v>
      </c>
      <c r="G1373" s="104">
        <v>2.86599058E8</v>
      </c>
      <c r="H1373" s="64" t="s">
        <v>4167</v>
      </c>
      <c r="I1373" s="16"/>
      <c r="J1373" s="35"/>
      <c r="K1373" s="87"/>
      <c r="L1373" s="89"/>
      <c r="M1373" s="89"/>
      <c r="N1373" s="89"/>
    </row>
    <row r="1374" customHeight="1" ht="14.0">
      <c r="A1374" s="64" t="s">
        <v>4168</v>
      </c>
      <c r="B1374" s="22" t="s">
        <v>4169</v>
      </c>
      <c r="C1374" s="64" t="s">
        <v>420</v>
      </c>
      <c r="D1374" s="65">
        <v>552.0</v>
      </c>
      <c r="E1374" s="34">
        <v>46186</v>
      </c>
      <c r="F1374" s="109" t="s">
        <v>1031</v>
      </c>
      <c r="G1374" s="104">
        <v>2.86599058E8</v>
      </c>
      <c r="H1374" s="64" t="s">
        <v>4170</v>
      </c>
      <c r="I1374" s="16"/>
      <c r="J1374" s="35"/>
      <c r="K1374" s="87"/>
      <c r="L1374" s="89"/>
      <c r="M1374" s="89"/>
      <c r="N1374" s="89"/>
    </row>
    <row r="1375" customHeight="1" ht="14.0">
      <c r="A1375" s="64" t="s">
        <v>4171</v>
      </c>
      <c r="B1375" s="22" t="s">
        <v>4172</v>
      </c>
      <c r="C1375" s="64" t="s">
        <v>3404</v>
      </c>
      <c r="D1375" s="65">
        <v>460.0</v>
      </c>
      <c r="E1375" s="34">
        <v>46192</v>
      </c>
      <c r="F1375" s="109" t="s">
        <v>1031</v>
      </c>
      <c r="G1375" s="104">
        <v>2.8659906E8</v>
      </c>
      <c r="H1375" s="64" t="s">
        <v>4173</v>
      </c>
      <c r="I1375" s="16"/>
      <c r="J1375" s="35"/>
      <c r="K1375" s="87"/>
      <c r="L1375" s="89"/>
      <c r="M1375" s="89"/>
      <c r="N1375" s="89"/>
    </row>
    <row r="1376" customHeight="1" ht="14.0">
      <c r="A1376" s="64" t="s">
        <v>4174</v>
      </c>
      <c r="B1376" s="22" t="s">
        <v>4175</v>
      </c>
      <c r="C1376" s="64" t="s">
        <v>1728</v>
      </c>
      <c r="D1376" s="65">
        <v>520.0</v>
      </c>
      <c r="E1376" s="34">
        <v>46186</v>
      </c>
      <c r="F1376" s="109" t="s">
        <v>1031</v>
      </c>
      <c r="G1376" s="104">
        <v>2.86599057E8</v>
      </c>
      <c r="H1376" s="64" t="s">
        <v>4176</v>
      </c>
      <c r="I1376" s="16"/>
      <c r="J1376" s="35"/>
      <c r="K1376" s="87"/>
      <c r="L1376" s="89"/>
      <c r="M1376" s="89"/>
      <c r="N1376" s="89"/>
    </row>
    <row r="1377" customHeight="1" ht="14.0">
      <c r="A1377" s="64" t="s">
        <v>4177</v>
      </c>
      <c r="B1377" s="22" t="s">
        <v>4178</v>
      </c>
      <c r="C1377" s="64" t="s">
        <v>3783</v>
      </c>
      <c r="D1377" s="65">
        <v>890.0</v>
      </c>
      <c r="E1377" s="34">
        <v>46182</v>
      </c>
      <c r="F1377" s="109" t="s">
        <v>1031</v>
      </c>
      <c r="G1377" s="104">
        <v>2.86599056E8</v>
      </c>
      <c r="H1377" s="64" t="s">
        <v>4179</v>
      </c>
      <c r="I1377" s="16"/>
      <c r="J1377" s="35"/>
      <c r="K1377" s="87"/>
      <c r="L1377" s="89"/>
      <c r="M1377" s="89"/>
      <c r="N1377" s="89"/>
    </row>
    <row r="1378" customHeight="1" ht="14.0">
      <c r="A1378" s="64" t="s">
        <v>4180</v>
      </c>
      <c r="B1378" s="22" t="s">
        <v>4181</v>
      </c>
      <c r="C1378" s="64" t="s">
        <v>141</v>
      </c>
      <c r="D1378" s="65">
        <v>560.0</v>
      </c>
      <c r="E1378" s="34">
        <v>46197</v>
      </c>
      <c r="F1378" s="109" t="s">
        <v>1031</v>
      </c>
      <c r="G1378" s="104">
        <v>2.86599061E8</v>
      </c>
      <c r="H1378" s="64" t="s">
        <v>4182</v>
      </c>
      <c r="I1378" s="16"/>
      <c r="J1378" s="35"/>
      <c r="K1378" s="87"/>
      <c r="L1378" s="89"/>
      <c r="M1378" s="89"/>
      <c r="N1378" s="89"/>
    </row>
    <row r="1379" customHeight="1" ht="14.0">
      <c r="A1379" s="64" t="s">
        <v>4183</v>
      </c>
      <c r="B1379" s="22" t="s">
        <v>4184</v>
      </c>
      <c r="C1379" s="64" t="s">
        <v>141</v>
      </c>
      <c r="D1379" s="65">
        <v>183.0</v>
      </c>
      <c r="E1379" s="34">
        <v>46197</v>
      </c>
      <c r="F1379" s="109" t="s">
        <v>1031</v>
      </c>
      <c r="G1379" s="104">
        <v>2.86599061E8</v>
      </c>
      <c r="H1379" s="64" t="s">
        <v>4185</v>
      </c>
      <c r="I1379" s="16"/>
      <c r="J1379" s="35"/>
      <c r="K1379" s="87"/>
      <c r="L1379" s="89"/>
      <c r="M1379" s="89"/>
      <c r="N1379" s="89"/>
    </row>
    <row r="1380" customHeight="1" ht="14.0">
      <c r="A1380" s="64" t="s">
        <v>4186</v>
      </c>
      <c r="B1380" s="22" t="s">
        <v>4187</v>
      </c>
      <c r="C1380" s="64" t="s">
        <v>58</v>
      </c>
      <c r="D1380" s="65">
        <v>480.0</v>
      </c>
      <c r="E1380" s="34">
        <v>46275</v>
      </c>
      <c r="F1380" s="109" t="s">
        <v>1031</v>
      </c>
      <c r="G1380" s="104">
        <v>2.86599062E8</v>
      </c>
      <c r="H1380" s="64" t="s">
        <v>4188</v>
      </c>
      <c r="I1380" s="16"/>
      <c r="J1380" s="35"/>
      <c r="K1380" s="87"/>
      <c r="L1380" s="89"/>
      <c r="M1380" s="89"/>
      <c r="N1380" s="89"/>
    </row>
    <row r="1381" customHeight="1" ht="14.0">
      <c r="A1381" s="64" t="s">
        <v>4189</v>
      </c>
      <c r="B1381" s="22" t="s">
        <v>4190</v>
      </c>
      <c r="C1381" s="64" t="s">
        <v>3383</v>
      </c>
      <c r="D1381" s="65">
        <v>500.0</v>
      </c>
      <c r="E1381" s="34">
        <v>46188</v>
      </c>
      <c r="F1381" s="109" t="s">
        <v>3183</v>
      </c>
      <c r="G1381" s="104">
        <v>1.847268962E9</v>
      </c>
      <c r="H1381" s="64" t="s">
        <v>4191</v>
      </c>
      <c r="I1381" s="16"/>
      <c r="J1381" s="35"/>
      <c r="K1381" s="87"/>
      <c r="L1381" s="89"/>
      <c r="M1381" s="89"/>
      <c r="N1381" s="89"/>
    </row>
    <row r="1382" customHeight="1" ht="14.0">
      <c r="A1382" s="64" t="s">
        <v>4192</v>
      </c>
      <c r="B1382" s="22" t="s">
        <v>4193</v>
      </c>
      <c r="C1382" s="64" t="s">
        <v>1047</v>
      </c>
      <c r="D1382" s="65">
        <v>760.0</v>
      </c>
      <c r="E1382" s="34">
        <v>46197</v>
      </c>
      <c r="F1382" s="144" t="s">
        <v>1031</v>
      </c>
      <c r="G1382" s="104">
        <v>2.86591201E8</v>
      </c>
      <c r="H1382" s="64" t="s">
        <v>4194</v>
      </c>
      <c r="I1382" s="16"/>
      <c r="J1382" s="35"/>
      <c r="K1382" s="87"/>
      <c r="L1382" s="89"/>
      <c r="M1382" s="89"/>
      <c r="N1382" s="89"/>
    </row>
    <row r="1383" customHeight="1" ht="14.0">
      <c r="A1383" s="64" t="s">
        <v>4195</v>
      </c>
      <c r="B1383" s="22" t="s">
        <v>4196</v>
      </c>
      <c r="C1383" s="64" t="s">
        <v>2208</v>
      </c>
      <c r="D1383" s="65">
        <v>860.0</v>
      </c>
      <c r="E1383" s="34">
        <v>46200</v>
      </c>
      <c r="F1383" s="109" t="s">
        <v>1031</v>
      </c>
      <c r="G1383" s="104">
        <v>2.86591202E8</v>
      </c>
      <c r="H1383" s="64" t="s">
        <v>4197</v>
      </c>
      <c r="I1383" s="16"/>
      <c r="J1383" s="35"/>
      <c r="K1383" s="87"/>
      <c r="L1383" s="89"/>
      <c r="M1383" s="89"/>
      <c r="N1383" s="89"/>
    </row>
    <row r="1384" customHeight="1" ht="14.0">
      <c r="A1384" s="64" t="s">
        <v>4198</v>
      </c>
      <c r="B1384" s="22" t="s">
        <v>4199</v>
      </c>
      <c r="C1384" s="64" t="s">
        <v>26</v>
      </c>
      <c r="D1384" s="65">
        <v>980.0</v>
      </c>
      <c r="E1384" s="34">
        <v>46200</v>
      </c>
      <c r="F1384" s="109" t="s">
        <v>1031</v>
      </c>
      <c r="G1384" s="104"/>
      <c r="H1384" s="64" t="s">
        <v>4200</v>
      </c>
      <c r="I1384" s="16"/>
      <c r="J1384" s="35"/>
      <c r="K1384" s="87"/>
      <c r="L1384" s="89"/>
      <c r="M1384" s="89"/>
      <c r="N1384" s="89"/>
    </row>
    <row r="1385" customHeight="1" ht="14.0">
      <c r="A1385" s="64" t="s">
        <v>4201</v>
      </c>
      <c r="B1385" s="22" t="s">
        <v>4202</v>
      </c>
      <c r="C1385" s="64" t="s">
        <v>1231</v>
      </c>
      <c r="D1385" s="65">
        <v>360.0</v>
      </c>
      <c r="E1385" s="34">
        <v>46182</v>
      </c>
      <c r="F1385" s="109" t="s">
        <v>1575</v>
      </c>
      <c r="G1385" s="104" t="s">
        <v>1575</v>
      </c>
      <c r="H1385" s="64" t="s">
        <v>4203</v>
      </c>
      <c r="I1385" s="16"/>
      <c r="J1385" s="35"/>
      <c r="K1385" s="87"/>
      <c r="L1385" s="89"/>
      <c r="M1385" s="89"/>
      <c r="N1385" s="89"/>
    </row>
    <row r="1386" customHeight="1" ht="14.0">
      <c r="A1386" s="64" t="s">
        <v>4204</v>
      </c>
      <c r="B1386" s="22" t="s">
        <v>4205</v>
      </c>
      <c r="C1386" s="64" t="s">
        <v>1102</v>
      </c>
      <c r="D1386" s="65">
        <v>120.0</v>
      </c>
      <c r="E1386" s="34">
        <v>46193</v>
      </c>
      <c r="F1386" s="109" t="s">
        <v>565</v>
      </c>
      <c r="G1386" s="104">
        <v>2.86591043E8</v>
      </c>
      <c r="H1386" s="64" t="s">
        <v>4206</v>
      </c>
      <c r="I1386" s="16"/>
      <c r="J1386" s="35"/>
      <c r="K1386" s="87"/>
      <c r="L1386" s="89"/>
      <c r="M1386" s="89"/>
      <c r="N1386" s="89"/>
    </row>
    <row r="1387" customHeight="1" ht="14.0">
      <c r="A1387" s="118" t="s">
        <v>4207</v>
      </c>
      <c r="B1387" s="42" t="s">
        <v>4208</v>
      </c>
      <c r="C1387" s="118" t="s">
        <v>3245</v>
      </c>
      <c r="D1387" s="137">
        <v>140.0</v>
      </c>
      <c r="E1387" s="120">
        <v>46191</v>
      </c>
      <c r="F1387" s="147" t="s">
        <v>3183</v>
      </c>
      <c r="G1387" s="143">
        <v>1.847268974E9</v>
      </c>
      <c r="H1387" s="118" t="s">
        <v>108</v>
      </c>
      <c r="I1387" s="40"/>
      <c r="J1387" s="35"/>
      <c r="K1387" s="87"/>
      <c r="L1387" s="89"/>
      <c r="M1387" s="89"/>
      <c r="N1387" s="89"/>
    </row>
    <row r="1388" customHeight="1" ht="14.0">
      <c r="A1388" s="64" t="s">
        <v>4209</v>
      </c>
      <c r="B1388" s="22" t="s">
        <v>4210</v>
      </c>
      <c r="C1388" s="64" t="s">
        <v>3257</v>
      </c>
      <c r="D1388" s="65">
        <v>450.0</v>
      </c>
      <c r="E1388" s="34">
        <v>46197</v>
      </c>
      <c r="F1388" s="144" t="s">
        <v>1031</v>
      </c>
      <c r="G1388" s="104">
        <v>2.865912E8</v>
      </c>
      <c r="H1388" s="64" t="s">
        <v>4211</v>
      </c>
      <c r="I1388" s="16"/>
      <c r="J1388" s="35"/>
      <c r="K1388" s="87"/>
      <c r="L1388" s="89"/>
      <c r="M1388" s="89"/>
      <c r="N1388" s="89"/>
    </row>
    <row r="1389" customHeight="1" ht="14.0">
      <c r="A1389" s="64" t="s">
        <v>4212</v>
      </c>
      <c r="B1389" s="22" t="s">
        <v>4213</v>
      </c>
      <c r="C1389" s="64" t="s">
        <v>1561</v>
      </c>
      <c r="D1389" s="65">
        <v>80.0</v>
      </c>
      <c r="E1389" s="34">
        <v>46189</v>
      </c>
      <c r="F1389" s="109" t="s">
        <v>565</v>
      </c>
      <c r="G1389" s="104">
        <v>2.8659105E8</v>
      </c>
      <c r="H1389" s="64" t="s">
        <v>4214</v>
      </c>
      <c r="I1389" s="16"/>
      <c r="J1389" s="35"/>
      <c r="K1389" s="87"/>
      <c r="L1389" s="89"/>
      <c r="M1389" s="89"/>
      <c r="N1389" s="89"/>
    </row>
    <row r="1390" customHeight="1" ht="14.0">
      <c r="A1390" s="118" t="s">
        <v>4215</v>
      </c>
      <c r="B1390" s="42" t="s">
        <v>4216</v>
      </c>
      <c r="C1390" s="118" t="s">
        <v>3245</v>
      </c>
      <c r="D1390" s="137">
        <v>36.0</v>
      </c>
      <c r="E1390" s="120">
        <v>46191</v>
      </c>
      <c r="F1390" s="147" t="s">
        <v>3183</v>
      </c>
      <c r="G1390" s="143">
        <v>1.847268974E9</v>
      </c>
      <c r="H1390" s="118" t="s">
        <v>108</v>
      </c>
      <c r="I1390" s="16"/>
      <c r="J1390" s="35"/>
      <c r="K1390" s="87"/>
      <c r="L1390" s="89"/>
      <c r="M1390" s="89"/>
      <c r="N1390" s="89"/>
    </row>
    <row r="1391" customHeight="1" ht="14.0">
      <c r="A1391" s="64" t="s">
        <v>4217</v>
      </c>
      <c r="B1391" s="22" t="s">
        <v>4218</v>
      </c>
      <c r="C1391" s="64" t="s">
        <v>26</v>
      </c>
      <c r="D1391" s="65">
        <v>363.0</v>
      </c>
      <c r="E1391" s="34">
        <v>46189</v>
      </c>
      <c r="F1391" s="109" t="s">
        <v>565</v>
      </c>
      <c r="G1391" s="104">
        <v>2.8659101E8</v>
      </c>
      <c r="H1391" s="64" t="s">
        <v>4219</v>
      </c>
      <c r="I1391" s="16"/>
      <c r="J1391" s="35"/>
      <c r="K1391" s="87"/>
      <c r="L1391" s="89"/>
      <c r="M1391" s="89"/>
      <c r="N1391" s="89"/>
    </row>
    <row r="1392" customHeight="1" ht="14.0">
      <c r="A1392" s="64" t="s">
        <v>4220</v>
      </c>
      <c r="B1392" s="22" t="s">
        <v>4221</v>
      </c>
      <c r="C1392" s="64" t="s">
        <v>1047</v>
      </c>
      <c r="D1392" s="65">
        <v>432.0</v>
      </c>
      <c r="E1392" s="34">
        <v>46186</v>
      </c>
      <c r="F1392" s="109" t="s">
        <v>1031</v>
      </c>
      <c r="G1392" s="104">
        <v>2.86591011E8</v>
      </c>
      <c r="H1392" s="64" t="s">
        <v>4222</v>
      </c>
      <c r="I1392" s="16"/>
      <c r="J1392" s="35"/>
      <c r="K1392" s="87"/>
      <c r="L1392" s="89"/>
      <c r="M1392" s="89"/>
      <c r="N1392" s="89"/>
    </row>
    <row r="1393" customHeight="1" ht="14.0">
      <c r="A1393" s="64" t="s">
        <v>4223</v>
      </c>
      <c r="B1393" s="22" t="s">
        <v>4224</v>
      </c>
      <c r="C1393" s="64" t="s">
        <v>1231</v>
      </c>
      <c r="D1393" s="65">
        <v>787.0</v>
      </c>
      <c r="E1393" s="34">
        <v>46182</v>
      </c>
      <c r="F1393" s="109" t="s">
        <v>1575</v>
      </c>
      <c r="G1393" s="104" t="s">
        <v>1575</v>
      </c>
      <c r="H1393" s="64" t="s">
        <v>4225</v>
      </c>
      <c r="I1393" s="16"/>
      <c r="J1393" s="35"/>
      <c r="K1393" s="87"/>
      <c r="L1393" s="89"/>
      <c r="M1393" s="89"/>
      <c r="N1393" s="89"/>
    </row>
    <row r="1394" customHeight="1" ht="14.0">
      <c r="A1394" s="64" t="s">
        <v>4226</v>
      </c>
      <c r="B1394" s="22" t="s">
        <v>4227</v>
      </c>
      <c r="C1394" s="64" t="s">
        <v>1102</v>
      </c>
      <c r="D1394" s="65">
        <v>452.0</v>
      </c>
      <c r="E1394" s="34">
        <v>46193</v>
      </c>
      <c r="F1394" s="109" t="s">
        <v>565</v>
      </c>
      <c r="G1394" s="104">
        <v>2.86591043E8</v>
      </c>
      <c r="H1394" s="64" t="s">
        <v>4228</v>
      </c>
      <c r="I1394" s="16"/>
      <c r="J1394" s="35"/>
      <c r="K1394" s="87"/>
      <c r="L1394" s="89"/>
      <c r="M1394" s="89"/>
      <c r="N1394" s="89"/>
    </row>
    <row r="1395" customHeight="1" ht="14.0">
      <c r="A1395" s="64" t="s">
        <v>4229</v>
      </c>
      <c r="B1395" s="22" t="s">
        <v>4230</v>
      </c>
      <c r="C1395" s="64" t="s">
        <v>1728</v>
      </c>
      <c r="D1395" s="65">
        <v>780.0</v>
      </c>
      <c r="E1395" s="34">
        <v>46189</v>
      </c>
      <c r="F1395" s="109" t="s">
        <v>565</v>
      </c>
      <c r="G1395" s="104">
        <v>2.86591047E8</v>
      </c>
      <c r="H1395" s="64" t="s">
        <v>4231</v>
      </c>
      <c r="I1395" s="16"/>
      <c r="J1395" s="35"/>
      <c r="K1395" s="87"/>
      <c r="L1395" s="89"/>
      <c r="M1395" s="89"/>
      <c r="N1395" s="89"/>
    </row>
    <row r="1396" customHeight="1" ht="14.0">
      <c r="A1396" s="64" t="s">
        <v>4232</v>
      </c>
      <c r="B1396" s="22" t="s">
        <v>4233</v>
      </c>
      <c r="C1396" s="64" t="s">
        <v>2208</v>
      </c>
      <c r="D1396" s="65">
        <v>550.0</v>
      </c>
      <c r="E1396" s="34">
        <v>46189</v>
      </c>
      <c r="F1396" s="109" t="s">
        <v>565</v>
      </c>
      <c r="G1396" s="104">
        <v>2.86591044E8</v>
      </c>
      <c r="H1396" s="64" t="s">
        <v>4234</v>
      </c>
      <c r="I1396" s="16"/>
      <c r="J1396" s="35"/>
      <c r="K1396" s="87"/>
      <c r="L1396" s="89"/>
      <c r="M1396" s="89"/>
      <c r="N1396" s="89"/>
    </row>
    <row r="1397" customHeight="1" ht="14.0">
      <c r="A1397" s="64" t="s">
        <v>4235</v>
      </c>
      <c r="B1397" s="22" t="s">
        <v>4236</v>
      </c>
      <c r="C1397" s="64" t="s">
        <v>1561</v>
      </c>
      <c r="D1397" s="65">
        <v>628.0</v>
      </c>
      <c r="E1397" s="34">
        <v>46189</v>
      </c>
      <c r="F1397" s="109" t="s">
        <v>565</v>
      </c>
      <c r="G1397" s="104">
        <v>2.8659105E8</v>
      </c>
      <c r="H1397" s="64" t="s">
        <v>4237</v>
      </c>
      <c r="I1397" s="16"/>
      <c r="J1397" s="35"/>
      <c r="K1397" s="87"/>
      <c r="L1397" s="89"/>
      <c r="M1397" s="89"/>
      <c r="N1397" s="89"/>
    </row>
    <row r="1398" customHeight="1" ht="14.0">
      <c r="A1398" s="64" t="s">
        <v>4238</v>
      </c>
      <c r="B1398" s="22" t="s">
        <v>4239</v>
      </c>
      <c r="C1398" s="64" t="s">
        <v>2208</v>
      </c>
      <c r="D1398" s="65">
        <v>320.0</v>
      </c>
      <c r="E1398" s="34">
        <v>46189</v>
      </c>
      <c r="F1398" s="109" t="s">
        <v>565</v>
      </c>
      <c r="G1398" s="104">
        <v>2.86591044E8</v>
      </c>
      <c r="H1398" s="64" t="s">
        <v>4240</v>
      </c>
      <c r="I1398" s="16"/>
      <c r="J1398" s="35"/>
      <c r="K1398" s="87"/>
      <c r="L1398" s="89"/>
      <c r="M1398" s="89"/>
      <c r="N1398" s="89"/>
    </row>
    <row r="1399" customHeight="1" ht="14.0">
      <c r="A1399" s="64" t="s">
        <v>4241</v>
      </c>
      <c r="B1399" s="22" t="s">
        <v>4242</v>
      </c>
      <c r="C1399" s="64" t="s">
        <v>141</v>
      </c>
      <c r="D1399" s="65">
        <v>545.0</v>
      </c>
      <c r="E1399" s="34">
        <v>46191</v>
      </c>
      <c r="F1399" s="109" t="s">
        <v>565</v>
      </c>
      <c r="G1399" s="104">
        <v>2.86591048E8</v>
      </c>
      <c r="H1399" s="64" t="s">
        <v>4243</v>
      </c>
      <c r="I1399" s="16"/>
      <c r="J1399" s="35"/>
      <c r="K1399" s="87"/>
      <c r="L1399" s="89"/>
      <c r="M1399" s="89"/>
      <c r="N1399" s="89"/>
    </row>
    <row r="1400" customHeight="1" ht="14.0">
      <c r="A1400" s="64" t="s">
        <v>4244</v>
      </c>
      <c r="B1400" s="22" t="s">
        <v>4245</v>
      </c>
      <c r="C1400" s="64" t="s">
        <v>3404</v>
      </c>
      <c r="D1400" s="65">
        <v>1437.0</v>
      </c>
      <c r="E1400" s="34"/>
      <c r="F1400" s="144" t="s">
        <v>3183</v>
      </c>
      <c r="G1400" s="104">
        <v>1.847268978E9</v>
      </c>
      <c r="H1400" s="64" t="s">
        <v>4246</v>
      </c>
      <c r="I1400" s="16"/>
      <c r="J1400" s="35"/>
      <c r="K1400" s="87"/>
      <c r="L1400" s="89"/>
      <c r="M1400" s="89"/>
      <c r="N1400" s="89"/>
    </row>
    <row r="1401" customHeight="1" ht="14.0">
      <c r="A1401" s="64" t="s">
        <v>4247</v>
      </c>
      <c r="B1401" s="22" t="s">
        <v>4248</v>
      </c>
      <c r="C1401" s="64" t="s">
        <v>58</v>
      </c>
      <c r="D1401" s="65">
        <v>1213.0</v>
      </c>
      <c r="E1401" s="34">
        <v>46197</v>
      </c>
      <c r="F1401" s="144" t="s">
        <v>3183</v>
      </c>
      <c r="G1401" s="104">
        <v>1.84726898E9</v>
      </c>
      <c r="H1401" s="64" t="s">
        <v>4249</v>
      </c>
      <c r="I1401" s="16"/>
      <c r="J1401" s="35"/>
      <c r="K1401" s="87"/>
      <c r="L1401" s="89"/>
      <c r="M1401" s="89"/>
      <c r="N1401" s="89"/>
    </row>
    <row r="1402" customHeight="1" ht="14.0">
      <c r="A1402" s="64" t="s">
        <v>4250</v>
      </c>
      <c r="B1402" s="22" t="s">
        <v>4251</v>
      </c>
      <c r="C1402" s="64" t="s">
        <v>3383</v>
      </c>
      <c r="D1402" s="65">
        <v>312.0</v>
      </c>
      <c r="E1402" s="34">
        <v>46191</v>
      </c>
      <c r="F1402" s="109" t="s">
        <v>3183</v>
      </c>
      <c r="G1402" s="104"/>
      <c r="H1402" s="64" t="s">
        <v>4252</v>
      </c>
      <c r="I1402" s="16"/>
      <c r="J1402" s="35"/>
      <c r="K1402" s="87"/>
      <c r="L1402" s="89"/>
      <c r="M1402" s="89"/>
      <c r="N1402" s="89"/>
    </row>
    <row r="1403" customHeight="1" ht="14.0">
      <c r="A1403" s="64" t="s">
        <v>4253</v>
      </c>
      <c r="B1403" s="22" t="s">
        <v>4254</v>
      </c>
      <c r="C1403" s="64" t="s">
        <v>3783</v>
      </c>
      <c r="D1403" s="65">
        <v>839.0</v>
      </c>
      <c r="E1403" s="34">
        <v>46189</v>
      </c>
      <c r="F1403" s="109" t="s">
        <v>565</v>
      </c>
      <c r="G1403" s="104">
        <v>2.86591045E8</v>
      </c>
      <c r="H1403" s="64" t="s">
        <v>4255</v>
      </c>
      <c r="I1403" s="16"/>
      <c r="J1403" s="35"/>
      <c r="K1403" s="87"/>
      <c r="L1403" s="89"/>
      <c r="M1403" s="89"/>
      <c r="N1403" s="89"/>
    </row>
    <row r="1404" customHeight="1" ht="14.0">
      <c r="A1404" s="64" t="s">
        <v>4256</v>
      </c>
      <c r="B1404" s="22" t="s">
        <v>4257</v>
      </c>
      <c r="C1404" s="64" t="s">
        <v>3383</v>
      </c>
      <c r="D1404" s="65">
        <v>272.0</v>
      </c>
      <c r="E1404" s="34">
        <v>46191</v>
      </c>
      <c r="F1404" s="109" t="s">
        <v>3183</v>
      </c>
      <c r="G1404" s="104"/>
      <c r="H1404" s="64" t="s">
        <v>4258</v>
      </c>
      <c r="I1404" s="16"/>
      <c r="J1404" s="35"/>
      <c r="K1404" s="87"/>
      <c r="L1404" s="89"/>
      <c r="M1404" s="89"/>
      <c r="N1404" s="89"/>
    </row>
    <row r="1405" customHeight="1" ht="14.0">
      <c r="A1405" s="64" t="s">
        <v>4259</v>
      </c>
      <c r="B1405" s="22" t="s">
        <v>4260</v>
      </c>
      <c r="C1405" s="64" t="s">
        <v>1039</v>
      </c>
      <c r="D1405" s="65">
        <v>1344.0</v>
      </c>
      <c r="E1405" s="34">
        <v>46189</v>
      </c>
      <c r="F1405" s="109" t="s">
        <v>565</v>
      </c>
      <c r="G1405" s="104">
        <v>2.86591065E8</v>
      </c>
      <c r="H1405" s="64" t="s">
        <v>4261</v>
      </c>
      <c r="I1405" s="16"/>
      <c r="J1405" s="35"/>
      <c r="K1405" s="87"/>
      <c r="L1405" s="89"/>
      <c r="M1405" s="89"/>
      <c r="N1405" s="89"/>
    </row>
    <row r="1406" customHeight="1" ht="14.0">
      <c r="A1406" s="64" t="s">
        <v>4262</v>
      </c>
      <c r="B1406" s="22" t="s">
        <v>4263</v>
      </c>
      <c r="C1406" s="64" t="s">
        <v>3257</v>
      </c>
      <c r="D1406" s="65">
        <v>380.0</v>
      </c>
      <c r="E1406" s="34"/>
      <c r="F1406" s="109" t="s">
        <v>3183</v>
      </c>
      <c r="G1406" s="104" t="s">
        <v>4023</v>
      </c>
      <c r="H1406" s="64" t="s">
        <v>4264</v>
      </c>
      <c r="I1406" s="16"/>
      <c r="J1406" s="35"/>
      <c r="K1406" s="87"/>
      <c r="L1406" s="89"/>
      <c r="M1406" s="89"/>
      <c r="N1406" s="89"/>
    </row>
    <row r="1407" customHeight="1" ht="14.0">
      <c r="A1407" s="64" t="s">
        <v>4265</v>
      </c>
      <c r="B1407" s="22" t="s">
        <v>4266</v>
      </c>
      <c r="C1407" s="64" t="s">
        <v>2195</v>
      </c>
      <c r="D1407" s="65">
        <v>1326.0</v>
      </c>
      <c r="E1407" s="34"/>
      <c r="F1407" s="109" t="s">
        <v>3183</v>
      </c>
      <c r="G1407" s="104" t="s">
        <v>4023</v>
      </c>
      <c r="H1407" s="64"/>
      <c r="I1407" s="16"/>
      <c r="J1407" s="35"/>
      <c r="K1407" s="87"/>
      <c r="L1407" s="89"/>
      <c r="M1407" s="89"/>
      <c r="N1407" s="89"/>
    </row>
    <row r="1408" customHeight="1" ht="14.0">
      <c r="A1408" s="64" t="s">
        <v>4267</v>
      </c>
      <c r="B1408" s="22" t="s">
        <v>4268</v>
      </c>
      <c r="C1408" s="64" t="s">
        <v>3257</v>
      </c>
      <c r="D1408" s="65">
        <v>269.0</v>
      </c>
      <c r="E1408" s="34"/>
      <c r="F1408" s="109"/>
      <c r="G1408" s="104" t="s">
        <v>4023</v>
      </c>
      <c r="H1408" s="64" t="s">
        <v>4269</v>
      </c>
      <c r="I1408" s="16"/>
      <c r="J1408" s="35"/>
      <c r="K1408" s="87"/>
      <c r="L1408" s="89"/>
      <c r="M1408" s="89"/>
      <c r="N1408" s="89"/>
    </row>
    <row r="1409" customHeight="1" ht="14.0">
      <c r="A1409" s="64" t="s">
        <v>4270</v>
      </c>
      <c r="B1409" s="22" t="s">
        <v>4271</v>
      </c>
      <c r="C1409" s="64" t="s">
        <v>1102</v>
      </c>
      <c r="D1409" s="65">
        <v>286.0</v>
      </c>
      <c r="E1409" s="34">
        <v>46196</v>
      </c>
      <c r="F1409" s="109" t="s">
        <v>565</v>
      </c>
      <c r="G1409" s="104">
        <v>2.86591153E8</v>
      </c>
      <c r="H1409" s="64" t="s">
        <v>4272</v>
      </c>
      <c r="I1409" s="16"/>
      <c r="J1409" s="35"/>
      <c r="K1409" s="87"/>
      <c r="L1409" s="89"/>
      <c r="M1409" s="89"/>
      <c r="N1409" s="89"/>
    </row>
    <row r="1410" customHeight="1" ht="14.0">
      <c r="A1410" s="64" t="s">
        <v>4273</v>
      </c>
      <c r="B1410" s="22" t="s">
        <v>4274</v>
      </c>
      <c r="C1410" s="64" t="s">
        <v>2208</v>
      </c>
      <c r="D1410" s="65">
        <v>977.0</v>
      </c>
      <c r="E1410" s="34">
        <v>46196</v>
      </c>
      <c r="F1410" s="109" t="s">
        <v>1031</v>
      </c>
      <c r="G1410" s="104">
        <v>2.86591148E8</v>
      </c>
      <c r="H1410" s="64" t="s">
        <v>4275</v>
      </c>
      <c r="I1410" s="16"/>
      <c r="J1410" s="35"/>
      <c r="K1410" s="87"/>
      <c r="L1410" s="89"/>
      <c r="M1410" s="89"/>
      <c r="N1410" s="89"/>
    </row>
    <row r="1411" customHeight="1" ht="14.0">
      <c r="A1411" s="64" t="s">
        <v>4276</v>
      </c>
      <c r="B1411" s="22" t="s">
        <v>4277</v>
      </c>
      <c r="C1411" s="64" t="s">
        <v>141</v>
      </c>
      <c r="D1411" s="65">
        <v>325.0</v>
      </c>
      <c r="E1411" s="34">
        <v>46199</v>
      </c>
      <c r="F1411" s="109" t="s">
        <v>1031</v>
      </c>
      <c r="G1411" s="104">
        <v>2.86591149E8</v>
      </c>
      <c r="H1411" s="64" t="s">
        <v>4278</v>
      </c>
      <c r="I1411" s="16"/>
      <c r="J1411" s="35"/>
      <c r="K1411" s="87"/>
      <c r="L1411" s="89"/>
      <c r="M1411" s="89"/>
      <c r="N1411" s="89"/>
    </row>
    <row r="1412" customHeight="1" ht="14.0">
      <c r="A1412" s="64" t="s">
        <v>4279</v>
      </c>
      <c r="B1412" s="22" t="s">
        <v>4280</v>
      </c>
      <c r="C1412" s="64" t="s">
        <v>1047</v>
      </c>
      <c r="D1412" s="65">
        <v>768.0</v>
      </c>
      <c r="E1412" s="34">
        <v>46198</v>
      </c>
      <c r="F1412" s="109" t="s">
        <v>1031</v>
      </c>
      <c r="G1412" s="104">
        <v>2.8659115E8</v>
      </c>
      <c r="H1412" s="64" t="s">
        <v>4281</v>
      </c>
      <c r="I1412" s="16"/>
      <c r="J1412" s="35"/>
      <c r="K1412" s="87"/>
      <c r="L1412" s="89"/>
      <c r="M1412" s="89"/>
      <c r="N1412" s="89"/>
    </row>
    <row r="1413" customHeight="1" ht="14.0">
      <c r="A1413" s="64" t="s">
        <v>4282</v>
      </c>
      <c r="B1413" s="22" t="s">
        <v>4283</v>
      </c>
      <c r="C1413" s="64" t="s">
        <v>3783</v>
      </c>
      <c r="D1413" s="65">
        <v>1289.0</v>
      </c>
      <c r="E1413" s="34">
        <v>46196</v>
      </c>
      <c r="F1413" s="109" t="s">
        <v>1031</v>
      </c>
      <c r="G1413" s="104">
        <v>2.86591154E8</v>
      </c>
      <c r="H1413" s="64" t="s">
        <v>4284</v>
      </c>
      <c r="I1413" s="16"/>
      <c r="J1413" s="35"/>
      <c r="K1413" s="87"/>
      <c r="L1413" s="89"/>
      <c r="M1413" s="89"/>
      <c r="N1413" s="89"/>
    </row>
    <row r="1414" customHeight="1" ht="14.0">
      <c r="A1414" s="64" t="s">
        <v>4285</v>
      </c>
      <c r="B1414" s="22" t="s">
        <v>4286</v>
      </c>
      <c r="C1414" s="64" t="s">
        <v>3245</v>
      </c>
      <c r="D1414" s="65">
        <v>284.0</v>
      </c>
      <c r="E1414" s="34">
        <v>46198</v>
      </c>
      <c r="F1414" s="109" t="s">
        <v>1031</v>
      </c>
      <c r="G1414" s="104">
        <v>2.86591151E8</v>
      </c>
      <c r="H1414" s="64" t="s">
        <v>4287</v>
      </c>
      <c r="I1414" s="16"/>
      <c r="J1414" s="35"/>
      <c r="K1414" s="87"/>
      <c r="L1414" s="89"/>
      <c r="M1414" s="89"/>
      <c r="N1414" s="89"/>
    </row>
    <row r="1415" customHeight="1" ht="14.0">
      <c r="A1415" s="64" t="s">
        <v>4288</v>
      </c>
      <c r="B1415" s="22" t="s">
        <v>4289</v>
      </c>
      <c r="C1415" s="64" t="s">
        <v>3257</v>
      </c>
      <c r="D1415" s="65">
        <v>541.0</v>
      </c>
      <c r="E1415" s="34">
        <v>46203</v>
      </c>
      <c r="F1415" s="109" t="s">
        <v>1031</v>
      </c>
      <c r="G1415" s="104">
        <v>2.86591152E8</v>
      </c>
      <c r="H1415" s="64" t="s">
        <v>4290</v>
      </c>
      <c r="I1415" s="16"/>
      <c r="J1415" s="35"/>
      <c r="K1415" s="87"/>
      <c r="L1415" s="89"/>
      <c r="M1415" s="89"/>
      <c r="N1415" s="89"/>
    </row>
    <row r="1416" customHeight="1" ht="14.0">
      <c r="A1416" s="64" t="s">
        <v>4291</v>
      </c>
      <c r="B1416" s="22" t="s">
        <v>4292</v>
      </c>
      <c r="C1416" s="64" t="s">
        <v>26</v>
      </c>
      <c r="D1416" s="65">
        <v>1136.0</v>
      </c>
      <c r="E1416" s="34">
        <v>46199</v>
      </c>
      <c r="F1416" s="109" t="s">
        <v>3183</v>
      </c>
      <c r="G1416" s="104">
        <v>1.847269008E9</v>
      </c>
      <c r="H1416" s="64" t="s">
        <v>4293</v>
      </c>
      <c r="I1416" s="16"/>
      <c r="J1416" s="148" t="s">
        <v>4294</v>
      </c>
      <c r="K1416" s="87"/>
      <c r="L1416" s="89"/>
      <c r="M1416" s="89"/>
      <c r="N1416" s="89"/>
    </row>
    <row r="1417" customHeight="1" ht="14.0">
      <c r="A1417" s="64" t="s">
        <v>4295</v>
      </c>
      <c r="B1417" s="22" t="s">
        <v>4296</v>
      </c>
      <c r="C1417" s="64" t="s">
        <v>3404</v>
      </c>
      <c r="D1417" s="65">
        <v>498.0</v>
      </c>
      <c r="E1417" s="34">
        <v>46196</v>
      </c>
      <c r="F1417" s="109" t="s">
        <v>3183</v>
      </c>
      <c r="G1417" s="104" t="s">
        <v>4023</v>
      </c>
      <c r="H1417" s="64" t="s">
        <v>4297</v>
      </c>
      <c r="I1417" s="16"/>
      <c r="J1417" s="35"/>
      <c r="K1417" s="87"/>
      <c r="L1417" s="89"/>
      <c r="M1417" s="89"/>
      <c r="N1417" s="89"/>
    </row>
    <row r="1418" customHeight="1" ht="14.0">
      <c r="A1418" s="64" t="s">
        <v>4298</v>
      </c>
      <c r="B1418" s="22" t="s">
        <v>4299</v>
      </c>
      <c r="C1418" s="64" t="s">
        <v>4300</v>
      </c>
      <c r="D1418" s="65">
        <v>162.0</v>
      </c>
      <c r="E1418" s="34">
        <v>46201</v>
      </c>
      <c r="F1418" s="109" t="s">
        <v>1031</v>
      </c>
      <c r="G1418" s="104">
        <v>2.86591199E8</v>
      </c>
      <c r="H1418" s="64" t="s">
        <v>4301</v>
      </c>
      <c r="I1418" s="16"/>
      <c r="J1418" s="35"/>
      <c r="K1418" s="87"/>
      <c r="L1418" s="89"/>
      <c r="M1418" s="89"/>
      <c r="N1418" s="89"/>
    </row>
    <row r="1419" customHeight="1" ht="14.0">
      <c r="A1419" s="64" t="s">
        <v>4302</v>
      </c>
      <c r="B1419" s="22" t="s">
        <v>4303</v>
      </c>
      <c r="C1419" s="64" t="s">
        <v>1039</v>
      </c>
      <c r="D1419" s="65">
        <v>1088.0</v>
      </c>
      <c r="E1419" s="34">
        <v>46198</v>
      </c>
      <c r="F1419" s="109" t="s">
        <v>1031</v>
      </c>
      <c r="G1419" s="104">
        <v>2.86591194E8</v>
      </c>
      <c r="H1419" s="64" t="s">
        <v>4304</v>
      </c>
      <c r="I1419" s="16"/>
      <c r="J1419" s="35"/>
      <c r="K1419" s="87"/>
      <c r="L1419" s="89"/>
      <c r="M1419" s="89"/>
      <c r="N1419" s="89"/>
    </row>
    <row r="1420" customHeight="1" ht="14.0">
      <c r="A1420" s="64" t="s">
        <v>4305</v>
      </c>
      <c r="B1420" s="22" t="s">
        <v>4306</v>
      </c>
      <c r="C1420" s="64" t="s">
        <v>1728</v>
      </c>
      <c r="D1420" s="65">
        <v>248.0</v>
      </c>
      <c r="E1420" s="34">
        <v>46198</v>
      </c>
      <c r="F1420" s="109" t="s">
        <v>1031</v>
      </c>
      <c r="G1420" s="104">
        <v>2.86591198E8</v>
      </c>
      <c r="H1420" s="64" t="s">
        <v>4307</v>
      </c>
      <c r="I1420" s="16"/>
      <c r="J1420" s="35"/>
      <c r="K1420" s="87"/>
      <c r="L1420" s="89"/>
      <c r="M1420" s="89"/>
      <c r="N1420" s="89"/>
    </row>
    <row r="1421" customHeight="1" ht="14.0">
      <c r="A1421" s="64" t="s">
        <v>4308</v>
      </c>
      <c r="B1421" s="22" t="s">
        <v>4309</v>
      </c>
      <c r="C1421" s="64" t="s">
        <v>58</v>
      </c>
      <c r="D1421" s="65">
        <v>780.0</v>
      </c>
      <c r="E1421" s="149">
        <v>46204</v>
      </c>
      <c r="F1421" s="109" t="s">
        <v>3183</v>
      </c>
      <c r="G1421" s="104">
        <v>1.847269013E9</v>
      </c>
      <c r="H1421" s="64" t="s">
        <v>4310</v>
      </c>
      <c r="I1421" s="16"/>
      <c r="J1421" s="35"/>
      <c r="K1421" s="87"/>
      <c r="L1421" s="89"/>
      <c r="M1421" s="89"/>
      <c r="N1421" s="89"/>
    </row>
    <row r="1422" customHeight="1" ht="14.0">
      <c r="A1422" s="64" t="s">
        <v>4311</v>
      </c>
      <c r="B1422" s="22" t="s">
        <v>4312</v>
      </c>
      <c r="C1422" s="64" t="s">
        <v>1066</v>
      </c>
      <c r="D1422" s="65">
        <v>147.0</v>
      </c>
      <c r="E1422" s="34">
        <v>46202</v>
      </c>
      <c r="F1422" s="109" t="s">
        <v>565</v>
      </c>
      <c r="G1422" s="104">
        <v>2.86591221E8</v>
      </c>
      <c r="H1422" s="64" t="s">
        <v>4313</v>
      </c>
      <c r="I1422" s="16"/>
      <c r="J1422" s="35"/>
      <c r="K1422" s="87"/>
      <c r="L1422" s="89"/>
      <c r="M1422" s="89"/>
      <c r="N1422" s="89"/>
    </row>
    <row r="1423" customHeight="1" ht="14.0">
      <c r="A1423" s="64" t="s">
        <v>4314</v>
      </c>
      <c r="B1423" s="22" t="s">
        <v>4315</v>
      </c>
      <c r="C1423" s="64" t="s">
        <v>1066</v>
      </c>
      <c r="D1423" s="65">
        <v>440.0</v>
      </c>
      <c r="E1423" s="34">
        <v>46202</v>
      </c>
      <c r="F1423" s="109" t="s">
        <v>565</v>
      </c>
      <c r="G1423" s="104">
        <v>2.86591221E8</v>
      </c>
      <c r="H1423" s="64" t="s">
        <v>4316</v>
      </c>
      <c r="I1423" s="16"/>
      <c r="J1423" s="35"/>
      <c r="K1423" s="87"/>
      <c r="L1423" s="89"/>
      <c r="M1423" s="89"/>
      <c r="N1423" s="89"/>
    </row>
    <row r="1424" customHeight="1" ht="14.0">
      <c r="A1424" s="64" t="s">
        <v>4317</v>
      </c>
      <c r="B1424" s="22" t="s">
        <v>4318</v>
      </c>
      <c r="C1424" s="64" t="s">
        <v>3383</v>
      </c>
      <c r="D1424" s="65">
        <v>1080.0</v>
      </c>
      <c r="E1424" s="34">
        <v>46199</v>
      </c>
      <c r="F1424" s="109" t="s">
        <v>565</v>
      </c>
      <c r="G1424" s="104">
        <v>2.86591219E8</v>
      </c>
      <c r="H1424" s="64" t="s">
        <v>4319</v>
      </c>
      <c r="I1424" s="16"/>
      <c r="J1424" s="35"/>
      <c r="K1424" s="87"/>
      <c r="L1424" s="89"/>
      <c r="M1424" s="89"/>
      <c r="N1424" s="89"/>
    </row>
    <row r="1425" customHeight="1" ht="14.0">
      <c r="A1425" s="64" t="s">
        <v>4320</v>
      </c>
      <c r="B1425" s="22" t="s">
        <v>4321</v>
      </c>
      <c r="C1425" s="64" t="s">
        <v>2981</v>
      </c>
      <c r="D1425" s="65">
        <v>900.0</v>
      </c>
      <c r="E1425" s="34">
        <v>46198</v>
      </c>
      <c r="F1425" s="109" t="s">
        <v>565</v>
      </c>
      <c r="G1425" s="104">
        <v>2.86591222E8</v>
      </c>
      <c r="H1425" s="64" t="s">
        <v>4322</v>
      </c>
      <c r="I1425" s="16"/>
      <c r="J1425" s="35"/>
      <c r="K1425" s="87"/>
      <c r="L1425" s="89"/>
      <c r="M1425" s="89"/>
      <c r="N1425" s="89"/>
    </row>
    <row r="1426" customHeight="1" ht="14.0">
      <c r="A1426" s="64" t="s">
        <v>4323</v>
      </c>
      <c r="B1426" s="22" t="s">
        <v>4324</v>
      </c>
      <c r="C1426" s="64" t="s">
        <v>1728</v>
      </c>
      <c r="D1426" s="65">
        <v>1560.0</v>
      </c>
      <c r="E1426" s="34">
        <v>46203</v>
      </c>
      <c r="F1426" s="109" t="s">
        <v>565</v>
      </c>
      <c r="G1426" s="104">
        <v>2.86591217E8</v>
      </c>
      <c r="H1426" s="64" t="s">
        <v>4325</v>
      </c>
      <c r="I1426" s="16"/>
      <c r="J1426" s="35"/>
      <c r="K1426" s="87"/>
      <c r="L1426" s="89"/>
      <c r="M1426" s="89"/>
      <c r="N1426" s="89"/>
    </row>
    <row r="1427" customHeight="1" ht="14.0">
      <c r="A1427" s="64" t="s">
        <v>4326</v>
      </c>
      <c r="B1427" s="22" t="s">
        <v>4327</v>
      </c>
      <c r="C1427" s="64" t="s">
        <v>1102</v>
      </c>
      <c r="D1427" s="65">
        <v>1740.0</v>
      </c>
      <c r="E1427" s="34">
        <v>46199</v>
      </c>
      <c r="F1427" s="109" t="s">
        <v>565</v>
      </c>
      <c r="G1427" s="104">
        <v>2.86591216E8</v>
      </c>
      <c r="H1427" s="64" t="s">
        <v>4328</v>
      </c>
      <c r="I1427" s="16"/>
      <c r="J1427" s="35"/>
      <c r="K1427" s="87"/>
      <c r="L1427" s="89"/>
      <c r="M1427" s="89"/>
      <c r="N1427" s="89"/>
    </row>
    <row r="1428" customHeight="1" ht="14.0">
      <c r="A1428" s="64" t="s">
        <v>4329</v>
      </c>
      <c r="B1428" s="22" t="s">
        <v>4330</v>
      </c>
      <c r="C1428" s="64" t="s">
        <v>58</v>
      </c>
      <c r="D1428" s="65">
        <v>2120.0</v>
      </c>
      <c r="E1428" s="34">
        <v>46204</v>
      </c>
      <c r="F1428" s="109" t="s">
        <v>3183</v>
      </c>
      <c r="G1428" s="104">
        <v>1.847269015E9</v>
      </c>
      <c r="H1428" s="64" t="s">
        <v>4331</v>
      </c>
      <c r="I1428" s="16"/>
      <c r="J1428" s="35"/>
      <c r="K1428" s="87"/>
      <c r="L1428" s="89"/>
      <c r="M1428" s="89"/>
      <c r="N1428" s="89"/>
    </row>
    <row r="1429" customHeight="1" ht="14.0">
      <c r="A1429" s="64" t="s">
        <v>4332</v>
      </c>
      <c r="B1429" s="22" t="s">
        <v>4333</v>
      </c>
      <c r="C1429" s="64" t="s">
        <v>3245</v>
      </c>
      <c r="D1429" s="65">
        <v>1800.0</v>
      </c>
      <c r="E1429" s="34">
        <v>46201</v>
      </c>
      <c r="F1429" s="109" t="s">
        <v>565</v>
      </c>
      <c r="G1429" s="104">
        <v>2.8659122E8</v>
      </c>
      <c r="H1429" s="64" t="s">
        <v>4334</v>
      </c>
      <c r="I1429" s="16"/>
      <c r="J1429" s="35"/>
      <c r="K1429" s="87"/>
      <c r="L1429" s="89"/>
      <c r="M1429" s="89"/>
      <c r="N1429" s="89"/>
    </row>
    <row r="1430" customHeight="1" ht="14.0">
      <c r="A1430" s="64" t="s">
        <v>4335</v>
      </c>
      <c r="B1430" s="22" t="s">
        <v>4336</v>
      </c>
      <c r="C1430" s="64" t="s">
        <v>1047</v>
      </c>
      <c r="D1430" s="65">
        <v>1380.0</v>
      </c>
      <c r="E1430" s="34">
        <v>46198</v>
      </c>
      <c r="F1430" s="109" t="s">
        <v>565</v>
      </c>
      <c r="G1430" s="104">
        <v>2.86591224E8</v>
      </c>
      <c r="H1430" s="64" t="s">
        <v>4337</v>
      </c>
      <c r="I1430" s="16"/>
      <c r="J1430" s="35"/>
      <c r="K1430" s="87"/>
      <c r="L1430" s="89"/>
      <c r="M1430" s="89"/>
      <c r="N1430" s="89"/>
    </row>
    <row r="1431" customHeight="1" ht="14.0">
      <c r="A1431" s="64" t="s">
        <v>4338</v>
      </c>
      <c r="B1431" s="22" t="s">
        <v>4339</v>
      </c>
      <c r="C1431" s="64" t="s">
        <v>1039</v>
      </c>
      <c r="D1431" s="65">
        <v>204.0</v>
      </c>
      <c r="E1431" s="34"/>
      <c r="F1431" s="109" t="s">
        <v>565</v>
      </c>
      <c r="G1431" s="104">
        <v>2.86591241E8</v>
      </c>
      <c r="H1431" s="64"/>
      <c r="I1431" s="16"/>
      <c r="J1431" s="35"/>
      <c r="K1431" s="87"/>
      <c r="L1431" s="89"/>
      <c r="M1431" s="89"/>
      <c r="N1431" s="89"/>
    </row>
    <row r="1432" customHeight="1" ht="14.0">
      <c r="A1432" s="64" t="s">
        <v>4340</v>
      </c>
      <c r="B1432" s="22" t="s">
        <v>4341</v>
      </c>
      <c r="C1432" s="64" t="s">
        <v>1039</v>
      </c>
      <c r="D1432" s="65">
        <v>2892.0</v>
      </c>
      <c r="E1432" s="34">
        <v>46204</v>
      </c>
      <c r="F1432" s="109" t="s">
        <v>1031</v>
      </c>
      <c r="G1432" s="104">
        <v>2.86591277E8</v>
      </c>
      <c r="H1432" s="64" t="s">
        <v>4342</v>
      </c>
      <c r="I1432" s="16"/>
      <c r="J1432" s="144"/>
      <c r="K1432" s="87"/>
      <c r="L1432" s="89"/>
      <c r="M1432" s="89"/>
      <c r="N1432" s="89"/>
    </row>
    <row r="1433" customHeight="1" ht="14.0">
      <c r="A1433" s="64" t="s">
        <v>4343</v>
      </c>
      <c r="B1433" s="22" t="s">
        <v>4344</v>
      </c>
      <c r="C1433" s="64" t="s">
        <v>1039</v>
      </c>
      <c r="D1433" s="65">
        <v>300.0</v>
      </c>
      <c r="E1433" s="34">
        <v>46204</v>
      </c>
      <c r="F1433" s="109" t="s">
        <v>565</v>
      </c>
      <c r="G1433" s="104">
        <v>2.86591277E8</v>
      </c>
      <c r="H1433" s="64" t="s">
        <v>4345</v>
      </c>
      <c r="I1433" s="16"/>
      <c r="J1433" s="144"/>
      <c r="K1433" s="87"/>
      <c r="L1433" s="89"/>
      <c r="M1433" s="89"/>
      <c r="N1433" s="89"/>
    </row>
    <row r="1434" customHeight="1" ht="14.0">
      <c r="A1434" s="64" t="s">
        <v>4346</v>
      </c>
      <c r="B1434" s="22" t="s">
        <v>4347</v>
      </c>
      <c r="C1434" s="64" t="s">
        <v>3783</v>
      </c>
      <c r="D1434" s="65">
        <v>1495.0</v>
      </c>
      <c r="E1434" s="34"/>
      <c r="F1434" s="109" t="s">
        <v>565</v>
      </c>
      <c r="G1434" s="104">
        <v>2.86591278E8</v>
      </c>
      <c r="H1434" s="64"/>
      <c r="I1434" s="16"/>
      <c r="J1434" s="144"/>
      <c r="K1434" s="87"/>
      <c r="L1434" s="89"/>
      <c r="M1434" s="89"/>
      <c r="N1434" s="89"/>
    </row>
    <row r="1435" customHeight="1" ht="14.0">
      <c r="A1435" s="64" t="s">
        <v>4348</v>
      </c>
      <c r="B1435" s="22" t="s">
        <v>4349</v>
      </c>
      <c r="C1435" s="64" t="s">
        <v>3783</v>
      </c>
      <c r="D1435" s="65">
        <v>401.0</v>
      </c>
      <c r="E1435" s="34"/>
      <c r="F1435" s="109" t="s">
        <v>565</v>
      </c>
      <c r="G1435" s="104">
        <v>2.86591278E8</v>
      </c>
      <c r="H1435" s="64"/>
      <c r="I1435" s="16"/>
      <c r="J1435" s="144"/>
      <c r="K1435" s="87"/>
      <c r="L1435" s="89"/>
      <c r="M1435" s="89"/>
      <c r="N1435" s="89"/>
    </row>
    <row r="1436" customHeight="1" ht="14.0">
      <c r="A1436" s="64" t="s">
        <v>4350</v>
      </c>
      <c r="B1436" s="22" t="s">
        <v>4351</v>
      </c>
      <c r="C1436" s="64" t="s">
        <v>141</v>
      </c>
      <c r="D1436" s="65">
        <v>1263.0</v>
      </c>
      <c r="E1436" s="34">
        <v>46204</v>
      </c>
      <c r="F1436" s="109" t="s">
        <v>565</v>
      </c>
      <c r="G1436" s="104">
        <v>2.86591302E8</v>
      </c>
      <c r="H1436" s="64" t="s">
        <v>4352</v>
      </c>
      <c r="I1436" s="16"/>
      <c r="J1436" s="144"/>
      <c r="K1436" s="87"/>
      <c r="L1436" s="89"/>
      <c r="M1436" s="89"/>
      <c r="N1436" s="89"/>
    </row>
    <row r="1437" customHeight="1" ht="14.0">
      <c r="A1437" s="64" t="s">
        <v>4353</v>
      </c>
      <c r="B1437" s="22" t="s">
        <v>4354</v>
      </c>
      <c r="C1437" s="64" t="s">
        <v>15</v>
      </c>
      <c r="D1437" s="65">
        <v>534.0</v>
      </c>
      <c r="E1437" s="34">
        <v>46204</v>
      </c>
      <c r="F1437" s="109" t="s">
        <v>565</v>
      </c>
      <c r="G1437" s="104">
        <v>2.86591302E8</v>
      </c>
      <c r="H1437" s="64" t="s">
        <v>4355</v>
      </c>
      <c r="I1437" s="16"/>
      <c r="J1437" s="144"/>
      <c r="K1437" s="87"/>
      <c r="L1437" s="89"/>
      <c r="M1437" s="89"/>
      <c r="N1437" s="89"/>
    </row>
    <row r="1438" customHeight="1" ht="14.0">
      <c r="A1438" s="64" t="s">
        <v>4356</v>
      </c>
      <c r="B1438" s="22" t="s">
        <v>4357</v>
      </c>
      <c r="C1438" s="64" t="s">
        <v>3257</v>
      </c>
      <c r="D1438" s="65">
        <v>1427.0</v>
      </c>
      <c r="E1438" s="34">
        <v>46203</v>
      </c>
      <c r="F1438" s="109" t="s">
        <v>565</v>
      </c>
      <c r="G1438" s="104">
        <v>2.86591303E8</v>
      </c>
      <c r="H1438" s="64" t="s">
        <v>4358</v>
      </c>
      <c r="I1438" s="16"/>
      <c r="J1438" s="144"/>
      <c r="K1438" s="87"/>
      <c r="L1438" s="89"/>
      <c r="M1438" s="89"/>
      <c r="N1438" s="89"/>
    </row>
    <row r="1439" customHeight="1" ht="14.0">
      <c r="A1439" s="64" t="s">
        <v>4359</v>
      </c>
      <c r="B1439" s="22" t="s">
        <v>4360</v>
      </c>
      <c r="C1439" s="64" t="s">
        <v>3257</v>
      </c>
      <c r="D1439" s="65">
        <v>243.0</v>
      </c>
      <c r="E1439" s="34">
        <v>46203</v>
      </c>
      <c r="F1439" s="109" t="s">
        <v>565</v>
      </c>
      <c r="G1439" s="104">
        <v>2.86591303E8</v>
      </c>
      <c r="H1439" s="64" t="s">
        <v>4361</v>
      </c>
      <c r="I1439" s="16"/>
      <c r="J1439" s="144"/>
      <c r="K1439" s="87"/>
      <c r="L1439" s="89"/>
      <c r="M1439" s="89"/>
      <c r="N1439" s="89"/>
    </row>
    <row r="1440" customHeight="1" ht="14.0">
      <c r="A1440" s="64" t="s">
        <v>4362</v>
      </c>
      <c r="B1440" s="22" t="s">
        <v>4363</v>
      </c>
      <c r="C1440" s="64" t="s">
        <v>1047</v>
      </c>
      <c r="D1440" s="65">
        <v>756.0</v>
      </c>
      <c r="E1440" s="34"/>
      <c r="F1440" s="109" t="s">
        <v>565</v>
      </c>
      <c r="G1440" s="104">
        <v>2.86591311E8</v>
      </c>
      <c r="H1440" s="64"/>
      <c r="I1440" s="16"/>
      <c r="J1440" s="144"/>
      <c r="K1440" s="87"/>
      <c r="L1440" s="89"/>
      <c r="M1440" s="89"/>
      <c r="N1440" s="89"/>
    </row>
    <row r="1441" customHeight="1" ht="14.0">
      <c r="A1441" s="64" t="s">
        <v>4364</v>
      </c>
      <c r="B1441" s="22" t="s">
        <v>4365</v>
      </c>
      <c r="C1441" s="64" t="s">
        <v>1047</v>
      </c>
      <c r="D1441" s="65">
        <v>384.0</v>
      </c>
      <c r="E1441" s="34"/>
      <c r="F1441" s="109" t="s">
        <v>565</v>
      </c>
      <c r="G1441" s="104">
        <v>2.86591311E8</v>
      </c>
      <c r="H1441" s="64"/>
      <c r="I1441" s="16"/>
      <c r="J1441" s="144"/>
      <c r="K1441" s="87"/>
      <c r="L1441" s="89"/>
      <c r="M1441" s="89"/>
      <c r="N1441" s="89"/>
    </row>
    <row r="1442" customHeight="1" ht="14.0">
      <c r="A1442" s="64" t="s">
        <v>4366</v>
      </c>
      <c r="B1442" s="22" t="s">
        <v>4367</v>
      </c>
      <c r="C1442" s="64" t="s">
        <v>2208</v>
      </c>
      <c r="D1442" s="65">
        <v>750.0</v>
      </c>
      <c r="E1442" s="34"/>
      <c r="F1442" s="109" t="s">
        <v>565</v>
      </c>
      <c r="G1442" s="104">
        <v>2.86591307E8</v>
      </c>
      <c r="H1442" s="64"/>
      <c r="I1442" s="16"/>
      <c r="J1442" s="144"/>
      <c r="K1442" s="87"/>
      <c r="L1442" s="89"/>
      <c r="M1442" s="89"/>
      <c r="N1442" s="89"/>
    </row>
    <row r="1443" customHeight="1" ht="14.0">
      <c r="A1443" s="64" t="s">
        <v>4368</v>
      </c>
      <c r="B1443" s="22" t="s">
        <v>4369</v>
      </c>
      <c r="C1443" s="64" t="s">
        <v>2208</v>
      </c>
      <c r="D1443" s="65">
        <v>120.0</v>
      </c>
      <c r="E1443" s="34"/>
      <c r="F1443" s="109" t="s">
        <v>565</v>
      </c>
      <c r="G1443" s="104">
        <v>2.86591307E8</v>
      </c>
      <c r="H1443" s="64"/>
      <c r="I1443" s="16"/>
      <c r="J1443" s="144"/>
      <c r="K1443" s="87"/>
      <c r="L1443" s="89"/>
      <c r="M1443" s="89"/>
      <c r="N1443" s="89"/>
    </row>
    <row r="1444" customHeight="1" ht="14.0">
      <c r="A1444" s="64" t="s">
        <v>4370</v>
      </c>
      <c r="B1444" s="22" t="s">
        <v>4371</v>
      </c>
      <c r="C1444" s="64" t="s">
        <v>3404</v>
      </c>
      <c r="D1444" s="65">
        <v>1641.0</v>
      </c>
      <c r="E1444" s="34">
        <v>46205</v>
      </c>
      <c r="F1444" s="109" t="s">
        <v>3183</v>
      </c>
      <c r="G1444" s="104">
        <v>1.847269024E9</v>
      </c>
      <c r="H1444" s="64" t="s">
        <v>4372</v>
      </c>
      <c r="I1444" s="16"/>
      <c r="J1444" s="144"/>
      <c r="K1444" s="87"/>
      <c r="L1444" s="89"/>
      <c r="M1444" s="89"/>
      <c r="N1444" s="89"/>
    </row>
    <row r="1445" customHeight="1" ht="14.0">
      <c r="A1445" s="64" t="s">
        <v>4373</v>
      </c>
      <c r="B1445" s="22" t="s">
        <v>4374</v>
      </c>
      <c r="C1445" s="64" t="s">
        <v>3404</v>
      </c>
      <c r="D1445" s="65">
        <v>141.0</v>
      </c>
      <c r="E1445" s="34">
        <v>46205</v>
      </c>
      <c r="F1445" s="109" t="s">
        <v>3183</v>
      </c>
      <c r="G1445" s="104">
        <v>1.847269024E9</v>
      </c>
      <c r="H1445" s="64" t="s">
        <v>4375</v>
      </c>
      <c r="I1445" s="16"/>
      <c r="J1445" s="144"/>
      <c r="K1445" s="87"/>
      <c r="L1445" s="89"/>
      <c r="M1445" s="89"/>
      <c r="N1445" s="89"/>
    </row>
    <row r="1446" customHeight="1" ht="14.0">
      <c r="A1446" s="64" t="s">
        <v>4376</v>
      </c>
      <c r="B1446" s="22" t="s">
        <v>4377</v>
      </c>
      <c r="C1446" s="64" t="s">
        <v>26</v>
      </c>
      <c r="D1446" s="65">
        <v>1089.0</v>
      </c>
      <c r="E1446" s="34"/>
      <c r="F1446" s="109" t="s">
        <v>3183</v>
      </c>
      <c r="G1446" s="104">
        <v>1.847269022E9</v>
      </c>
      <c r="H1446" s="64"/>
      <c r="I1446" s="16"/>
      <c r="J1446" s="144"/>
      <c r="K1446" s="87"/>
      <c r="L1446" s="89"/>
      <c r="M1446" s="89"/>
      <c r="N1446" s="89"/>
    </row>
    <row r="1447" customHeight="1" ht="14.0">
      <c r="A1447" s="64" t="s">
        <v>4378</v>
      </c>
      <c r="B1447" s="22" t="s">
        <v>4379</v>
      </c>
      <c r="C1447" s="64" t="s">
        <v>26</v>
      </c>
      <c r="D1447" s="65">
        <v>159.0</v>
      </c>
      <c r="E1447" s="34"/>
      <c r="F1447" s="109" t="s">
        <v>3183</v>
      </c>
      <c r="G1447" s="104">
        <v>1.847269022E9</v>
      </c>
      <c r="H1447" s="64"/>
      <c r="I1447" s="16"/>
      <c r="J1447" s="144"/>
      <c r="K1447" s="87"/>
      <c r="L1447" s="89"/>
      <c r="M1447" s="89"/>
      <c r="N1447" s="89"/>
    </row>
    <row r="1448" customHeight="1" ht="14.0">
      <c r="A1448" s="64" t="s">
        <v>4380</v>
      </c>
      <c r="B1448" s="22" t="s">
        <v>4381</v>
      </c>
      <c r="C1448" s="64" t="s">
        <v>58</v>
      </c>
      <c r="D1448" s="65">
        <v>756.0</v>
      </c>
      <c r="E1448" s="34">
        <v>46204</v>
      </c>
      <c r="F1448" s="109" t="s">
        <v>3183</v>
      </c>
      <c r="G1448" s="104">
        <v>1.847269023E9</v>
      </c>
      <c r="H1448" s="64" t="s">
        <v>4382</v>
      </c>
      <c r="I1448" s="16"/>
      <c r="J1448" s="144"/>
      <c r="K1448" s="87"/>
      <c r="L1448" s="89"/>
      <c r="M1448" s="89"/>
      <c r="N1448" s="89"/>
    </row>
    <row r="1449" customHeight="1" ht="14.0">
      <c r="A1449" s="64" t="s">
        <v>4383</v>
      </c>
      <c r="B1449" s="22" t="s">
        <v>4384</v>
      </c>
      <c r="C1449" s="64" t="s">
        <v>58</v>
      </c>
      <c r="D1449" s="65">
        <v>312.0</v>
      </c>
      <c r="E1449" s="34">
        <v>46204</v>
      </c>
      <c r="F1449" s="109" t="s">
        <v>3183</v>
      </c>
      <c r="G1449" s="104">
        <v>1.847269023E9</v>
      </c>
      <c r="H1449" s="64" t="s">
        <v>4385</v>
      </c>
      <c r="I1449" s="16"/>
      <c r="J1449" s="144"/>
      <c r="K1449" s="87"/>
      <c r="L1449" s="89"/>
      <c r="M1449" s="89"/>
      <c r="N1449" s="89"/>
    </row>
    <row r="1450" customHeight="1" ht="14.0">
      <c r="A1450" s="64" t="s">
        <v>4386</v>
      </c>
      <c r="B1450" s="22" t="s">
        <v>4387</v>
      </c>
      <c r="C1450" s="64" t="s">
        <v>58</v>
      </c>
      <c r="D1450" s="65">
        <v>132.0</v>
      </c>
      <c r="E1450" s="34">
        <v>46204</v>
      </c>
      <c r="F1450" s="109" t="s">
        <v>3183</v>
      </c>
      <c r="G1450" s="104">
        <v>1.847269023E9</v>
      </c>
      <c r="H1450" s="64" t="s">
        <v>4388</v>
      </c>
      <c r="I1450" s="16"/>
      <c r="J1450" s="144"/>
      <c r="K1450" s="87"/>
      <c r="L1450" s="89"/>
      <c r="M1450" s="89"/>
      <c r="N1450" s="89"/>
    </row>
    <row r="1451" customHeight="1" ht="14.0">
      <c r="A1451" s="64" t="s">
        <v>4389</v>
      </c>
      <c r="B1451" s="22" t="s">
        <v>4390</v>
      </c>
      <c r="C1451" s="64" t="s">
        <v>2981</v>
      </c>
      <c r="D1451" s="65">
        <v>476.0</v>
      </c>
      <c r="E1451" s="34">
        <v>46204</v>
      </c>
      <c r="F1451" s="109" t="s">
        <v>565</v>
      </c>
      <c r="G1451" s="104">
        <v>2.86591316E8</v>
      </c>
      <c r="H1451" s="64" t="s">
        <v>4391</v>
      </c>
      <c r="I1451" s="16"/>
      <c r="J1451" s="104"/>
      <c r="K1451" s="87"/>
      <c r="L1451" s="89"/>
      <c r="M1451" s="89"/>
      <c r="N1451" s="89"/>
    </row>
    <row r="1452" customHeight="1" ht="14.0">
      <c r="A1452" s="64" t="s">
        <v>4392</v>
      </c>
      <c r="B1452" s="22" t="s">
        <v>4393</v>
      </c>
      <c r="C1452" s="64" t="s">
        <v>2981</v>
      </c>
      <c r="D1452" s="65">
        <v>140.0</v>
      </c>
      <c r="E1452" s="34">
        <v>46204</v>
      </c>
      <c r="F1452" s="109" t="s">
        <v>565</v>
      </c>
      <c r="G1452" s="104">
        <v>2.86591316E8</v>
      </c>
      <c r="H1452" s="64" t="s">
        <v>4394</v>
      </c>
      <c r="I1452" s="16"/>
      <c r="J1452" s="104"/>
      <c r="K1452" s="87"/>
      <c r="L1452" s="89"/>
      <c r="M1452" s="89"/>
      <c r="N1452" s="89"/>
    </row>
    <row r="1453" customHeight="1" ht="14.0">
      <c r="A1453" s="64" t="s">
        <v>4395</v>
      </c>
      <c r="B1453" s="22" t="s">
        <v>4396</v>
      </c>
      <c r="C1453" s="64" t="s">
        <v>1102</v>
      </c>
      <c r="D1453" s="65">
        <v>436.0</v>
      </c>
      <c r="E1453" s="34"/>
      <c r="F1453" s="109" t="s">
        <v>565</v>
      </c>
      <c r="G1453" s="104">
        <v>2.86591319E8</v>
      </c>
      <c r="H1453" s="64"/>
      <c r="I1453" s="16"/>
      <c r="J1453" s="104"/>
      <c r="K1453" s="87"/>
      <c r="L1453" s="89"/>
      <c r="M1453" s="89"/>
      <c r="N1453" s="89"/>
    </row>
    <row r="1454" customHeight="1" ht="14.0">
      <c r="A1454" s="64" t="s">
        <v>4397</v>
      </c>
      <c r="B1454" s="22" t="s">
        <v>4398</v>
      </c>
      <c r="C1454" s="64" t="s">
        <v>1102</v>
      </c>
      <c r="D1454" s="65">
        <v>153.0</v>
      </c>
      <c r="E1454" s="34"/>
      <c r="F1454" s="109" t="s">
        <v>565</v>
      </c>
      <c r="G1454" s="104">
        <v>2.86591319E8</v>
      </c>
      <c r="H1454" s="64"/>
      <c r="I1454" s="16"/>
      <c r="J1454" s="104"/>
      <c r="K1454" s="87"/>
      <c r="L1454" s="89"/>
      <c r="M1454" s="89"/>
      <c r="N1454" s="89"/>
    </row>
    <row r="1455" customHeight="1" ht="14.0">
      <c r="A1455" s="64" t="s">
        <v>4399</v>
      </c>
      <c r="B1455" s="22" t="s">
        <v>4400</v>
      </c>
      <c r="C1455" s="64" t="s">
        <v>1102</v>
      </c>
      <c r="D1455" s="65">
        <v>133.0</v>
      </c>
      <c r="E1455" s="34"/>
      <c r="F1455" s="109" t="s">
        <v>565</v>
      </c>
      <c r="G1455" s="104">
        <v>2.86591319E8</v>
      </c>
      <c r="H1455" s="64"/>
      <c r="I1455" s="16"/>
      <c r="J1455" s="104"/>
      <c r="K1455" s="87"/>
      <c r="L1455" s="89"/>
      <c r="M1455" s="89"/>
      <c r="N1455" s="89"/>
    </row>
    <row r="1456" customHeight="1" ht="14.0">
      <c r="A1456" s="64" t="s">
        <v>4401</v>
      </c>
      <c r="B1456" s="22" t="s">
        <v>4402</v>
      </c>
      <c r="C1456" s="64" t="s">
        <v>3245</v>
      </c>
      <c r="D1456" s="65">
        <v>60.0</v>
      </c>
      <c r="E1456" s="34"/>
      <c r="F1456" s="109" t="s">
        <v>1031</v>
      </c>
      <c r="G1456" s="104">
        <v>2.8659133E8</v>
      </c>
      <c r="H1456" s="64"/>
      <c r="I1456" s="16"/>
      <c r="J1456" s="104"/>
      <c r="K1456" s="87"/>
      <c r="L1456" s="89"/>
      <c r="M1456" s="89"/>
      <c r="N1456" s="89"/>
    </row>
    <row r="1457" customHeight="1" ht="14.0">
      <c r="A1457" s="32"/>
      <c r="B1457" s="64"/>
      <c r="C1457" s="22"/>
      <c r="D1457" s="33"/>
      <c r="E1457" s="34"/>
      <c r="F1457" s="88"/>
      <c r="G1457" s="88"/>
      <c r="H1457" s="64"/>
      <c r="I1457" s="16"/>
      <c r="J1457" s="35"/>
      <c r="K1457" s="87"/>
      <c r="L1457" s="89"/>
      <c r="M1457" s="89"/>
      <c r="N1457" s="89"/>
    </row>
    <row r="1458" customHeight="1" ht="14.0">
      <c r="A1458" s="32"/>
      <c r="B1458" s="64"/>
      <c r="C1458" s="22"/>
      <c r="D1458" s="33"/>
      <c r="E1458" s="34"/>
      <c r="F1458" s="88"/>
      <c r="G1458" s="88"/>
      <c r="H1458" s="64"/>
      <c r="I1458" s="16"/>
      <c r="J1458" s="35"/>
      <c r="K1458" s="87"/>
      <c r="L1458" s="89"/>
      <c r="M1458" s="89"/>
      <c r="N1458" s="89"/>
    </row>
    <row r="1459" customHeight="1" ht="14.0">
      <c r="A1459" s="32"/>
      <c r="B1459" s="64"/>
      <c r="C1459" s="22"/>
      <c r="D1459" s="33"/>
      <c r="E1459" s="34"/>
      <c r="F1459" s="88"/>
      <c r="G1459" s="88"/>
      <c r="H1459" s="64"/>
      <c r="I1459" s="16"/>
      <c r="J1459" s="35"/>
      <c r="K1459" s="87"/>
      <c r="L1459" s="89"/>
      <c r="M1459" s="89"/>
      <c r="N1459" s="89"/>
    </row>
    <row r="1460" customHeight="1" ht="14.0">
      <c r="A1460" s="32"/>
      <c r="B1460" s="64"/>
      <c r="C1460" s="22"/>
      <c r="D1460" s="33"/>
      <c r="E1460" s="34"/>
      <c r="F1460" s="88"/>
      <c r="G1460" s="88"/>
      <c r="H1460" s="64"/>
      <c r="I1460" s="16"/>
      <c r="J1460" s="35"/>
      <c r="K1460" s="87"/>
      <c r="L1460" s="89"/>
      <c r="M1460" s="89"/>
      <c r="N1460" s="89"/>
    </row>
    <row r="1461" customHeight="1" ht="14.0">
      <c r="A1461" s="32"/>
      <c r="B1461" s="64"/>
      <c r="C1461" s="22"/>
      <c r="D1461" s="33"/>
      <c r="E1461" s="34"/>
      <c r="F1461" s="88"/>
      <c r="G1461" s="88"/>
      <c r="H1461" s="64"/>
      <c r="I1461" s="16"/>
      <c r="J1461" s="35"/>
      <c r="K1461" s="87"/>
      <c r="L1461" s="89"/>
      <c r="M1461" s="89"/>
      <c r="N1461" s="89"/>
    </row>
    <row r="1462" customHeight="1" ht="14.0">
      <c r="A1462" s="32"/>
      <c r="B1462" s="64"/>
      <c r="C1462" s="22"/>
      <c r="D1462" s="33"/>
      <c r="E1462" s="34"/>
      <c r="F1462" s="88"/>
      <c r="G1462" s="88"/>
      <c r="H1462" s="64"/>
      <c r="I1462" s="16"/>
      <c r="J1462" s="35"/>
      <c r="K1462" s="87"/>
      <c r="L1462" s="89"/>
      <c r="M1462" s="89"/>
      <c r="N1462" s="89"/>
    </row>
    <row r="1463" customHeight="1" ht="14.0">
      <c r="A1463" s="32"/>
      <c r="B1463" s="64"/>
      <c r="C1463" s="22"/>
      <c r="D1463" s="33"/>
      <c r="E1463" s="34"/>
      <c r="F1463" s="88"/>
      <c r="G1463" s="88"/>
      <c r="H1463" s="64"/>
      <c r="I1463" s="16"/>
      <c r="J1463" s="35"/>
      <c r="K1463" s="87"/>
      <c r="L1463" s="89"/>
      <c r="M1463" s="89"/>
      <c r="N1463" s="89"/>
    </row>
    <row r="1464" customHeight="1" ht="14.0">
      <c r="A1464" s="32"/>
      <c r="B1464" s="64"/>
      <c r="C1464" s="22"/>
      <c r="D1464" s="33"/>
      <c r="E1464" s="34"/>
      <c r="F1464" s="88"/>
      <c r="G1464" s="88"/>
      <c r="H1464" s="64"/>
      <c r="I1464" s="16"/>
      <c r="J1464" s="35"/>
      <c r="K1464" s="87"/>
      <c r="L1464" s="89"/>
      <c r="M1464" s="89"/>
      <c r="N1464" s="89"/>
    </row>
    <row r="1465" customHeight="1" ht="14.0">
      <c r="A1465" s="32"/>
      <c r="B1465" s="64"/>
      <c r="C1465" s="22"/>
      <c r="D1465" s="33"/>
      <c r="E1465" s="34"/>
      <c r="F1465" s="88"/>
      <c r="G1465" s="88"/>
      <c r="H1465" s="64"/>
      <c r="I1465" s="16"/>
      <c r="J1465" s="35"/>
      <c r="K1465" s="87"/>
      <c r="L1465" s="89"/>
      <c r="M1465" s="89"/>
      <c r="N1465" s="89"/>
    </row>
    <row r="1466" customHeight="1" ht="14.0">
      <c r="A1466" s="32"/>
      <c r="B1466" s="64"/>
      <c r="C1466" s="22"/>
      <c r="D1466" s="33"/>
      <c r="E1466" s="34"/>
      <c r="F1466" s="88"/>
      <c r="G1466" s="88"/>
      <c r="H1466" s="64"/>
      <c r="I1466" s="16"/>
      <c r="J1466" s="35"/>
      <c r="K1466" s="87"/>
      <c r="L1466" s="89"/>
      <c r="M1466" s="89"/>
      <c r="N1466" s="89"/>
    </row>
    <row r="1467" customHeight="1" ht="14.0">
      <c r="A1467" s="32"/>
      <c r="B1467" s="64"/>
      <c r="C1467" s="22"/>
      <c r="D1467" s="33"/>
      <c r="E1467" s="34"/>
      <c r="F1467" s="88"/>
      <c r="G1467" s="88"/>
      <c r="H1467" s="64"/>
      <c r="I1467" s="16"/>
      <c r="J1467" s="35"/>
      <c r="K1467" s="87"/>
      <c r="L1467" s="89"/>
      <c r="M1467" s="89"/>
      <c r="N1467" s="89"/>
    </row>
    <row r="1468" customHeight="1" ht="14.0">
      <c r="A1468" s="32"/>
      <c r="B1468" s="64"/>
      <c r="C1468" s="22"/>
      <c r="D1468" s="33"/>
      <c r="E1468" s="34"/>
      <c r="F1468" s="88"/>
      <c r="G1468" s="88"/>
      <c r="H1468" s="64"/>
      <c r="I1468" s="16"/>
      <c r="J1468" s="35"/>
      <c r="K1468" s="87"/>
      <c r="L1468" s="89"/>
      <c r="M1468" s="89"/>
      <c r="N1468" s="89"/>
    </row>
    <row r="1469" customHeight="1" ht="14.0">
      <c r="A1469" s="32"/>
      <c r="B1469" s="64"/>
      <c r="C1469" s="22"/>
      <c r="D1469" s="33"/>
      <c r="E1469" s="34"/>
      <c r="F1469" s="88"/>
      <c r="G1469" s="88"/>
      <c r="H1469" s="64"/>
      <c r="I1469" s="16"/>
      <c r="J1469" s="35"/>
      <c r="K1469" s="87"/>
      <c r="L1469" s="89"/>
      <c r="M1469" s="89"/>
      <c r="N1469" s="89"/>
    </row>
    <row r="1470" customHeight="1" ht="14.0">
      <c r="A1470" s="32"/>
      <c r="B1470" s="64"/>
      <c r="C1470" s="22"/>
      <c r="D1470" s="33"/>
      <c r="E1470" s="34"/>
      <c r="F1470" s="88"/>
      <c r="G1470" s="88"/>
      <c r="H1470" s="64"/>
      <c r="I1470" s="16"/>
      <c r="J1470" s="35"/>
      <c r="K1470" s="87"/>
      <c r="L1470" s="89"/>
      <c r="M1470" s="89"/>
      <c r="N1470" s="89"/>
    </row>
    <row r="1471" customHeight="1" ht="14.0">
      <c r="A1471" s="32"/>
      <c r="B1471" s="64"/>
      <c r="C1471" s="22"/>
      <c r="D1471" s="33"/>
      <c r="E1471" s="34"/>
      <c r="F1471" s="88"/>
      <c r="G1471" s="88"/>
      <c r="H1471" s="64"/>
      <c r="I1471" s="16"/>
      <c r="J1471" s="35"/>
      <c r="K1471" s="87"/>
      <c r="L1471" s="89"/>
      <c r="M1471" s="89"/>
      <c r="N1471" s="89"/>
    </row>
    <row r="1472" customHeight="1" ht="14.0">
      <c r="A1472" s="32"/>
      <c r="B1472" s="64"/>
      <c r="C1472" s="22"/>
      <c r="D1472" s="33"/>
      <c r="E1472" s="34"/>
      <c r="F1472" s="88"/>
      <c r="G1472" s="88"/>
      <c r="H1472" s="64"/>
      <c r="I1472" s="16"/>
      <c r="J1472" s="35"/>
      <c r="K1472" s="87"/>
      <c r="L1472" s="89"/>
      <c r="M1472" s="89"/>
      <c r="N1472" s="89"/>
    </row>
    <row r="1473" customHeight="1" ht="14.0">
      <c r="A1473" s="32"/>
      <c r="B1473" s="64"/>
      <c r="C1473" s="22"/>
      <c r="D1473" s="33"/>
      <c r="E1473" s="34"/>
      <c r="F1473" s="88"/>
      <c r="G1473" s="88"/>
      <c r="H1473" s="64"/>
      <c r="I1473" s="16"/>
      <c r="J1473" s="35"/>
      <c r="K1473" s="87"/>
      <c r="L1473" s="89"/>
      <c r="M1473" s="89"/>
      <c r="N1473" s="89"/>
    </row>
    <row r="1474" customHeight="1" ht="14.0">
      <c r="A1474" s="32"/>
      <c r="B1474" s="64"/>
      <c r="C1474" s="22"/>
      <c r="D1474" s="33"/>
      <c r="E1474" s="34"/>
      <c r="F1474" s="88"/>
      <c r="G1474" s="88"/>
      <c r="H1474" s="64"/>
      <c r="I1474" s="16"/>
      <c r="J1474" s="35"/>
      <c r="K1474" s="87"/>
      <c r="L1474" s="89"/>
      <c r="M1474" s="89"/>
      <c r="N1474" s="89"/>
    </row>
    <row r="1475" customHeight="1" ht="14.0">
      <c r="A1475" s="32"/>
      <c r="B1475" s="64"/>
      <c r="C1475" s="22"/>
      <c r="D1475" s="33"/>
      <c r="E1475" s="34"/>
      <c r="F1475" s="88"/>
      <c r="G1475" s="88"/>
      <c r="H1475" s="64"/>
      <c r="I1475" s="16"/>
      <c r="J1475" s="35"/>
      <c r="K1475" s="87"/>
      <c r="L1475" s="89"/>
      <c r="M1475" s="89"/>
      <c r="N1475" s="89"/>
    </row>
    <row r="1476" customHeight="1" ht="14.0">
      <c r="A1476" s="32"/>
      <c r="B1476" s="64"/>
      <c r="C1476" s="22"/>
      <c r="D1476" s="33"/>
      <c r="E1476" s="34"/>
      <c r="F1476" s="88"/>
      <c r="G1476" s="88"/>
      <c r="H1476" s="64"/>
      <c r="I1476" s="16"/>
      <c r="J1476" s="35"/>
      <c r="K1476" s="87"/>
      <c r="L1476" s="89"/>
      <c r="M1476" s="89"/>
      <c r="N1476" s="89"/>
    </row>
    <row r="1477" customHeight="1" ht="14.0">
      <c r="A1477" s="32"/>
      <c r="B1477" s="64"/>
      <c r="C1477" s="22"/>
      <c r="D1477" s="33"/>
      <c r="E1477" s="34"/>
      <c r="F1477" s="88"/>
      <c r="G1477" s="88"/>
      <c r="H1477" s="64"/>
      <c r="I1477" s="16"/>
      <c r="J1477" s="35"/>
      <c r="K1477" s="87"/>
      <c r="L1477" s="89"/>
      <c r="M1477" s="89"/>
      <c r="N1477" s="89"/>
    </row>
    <row r="1478" customHeight="1" ht="14.0">
      <c r="A1478" s="32"/>
      <c r="B1478" s="64"/>
      <c r="C1478" s="22"/>
      <c r="D1478" s="33"/>
      <c r="E1478" s="34"/>
      <c r="F1478" s="88"/>
      <c r="G1478" s="88"/>
      <c r="H1478" s="64"/>
      <c r="I1478" s="16"/>
      <c r="J1478" s="35"/>
      <c r="K1478" s="87"/>
      <c r="L1478" s="89"/>
      <c r="M1478" s="89"/>
      <c r="N1478" s="89"/>
    </row>
    <row r="1479" customHeight="1" ht="14.0">
      <c r="A1479" s="32"/>
      <c r="B1479" s="64"/>
      <c r="C1479" s="22"/>
      <c r="D1479" s="33"/>
      <c r="E1479" s="34"/>
      <c r="F1479" s="88"/>
      <c r="G1479" s="88"/>
      <c r="H1479" s="64"/>
      <c r="I1479" s="16"/>
      <c r="J1479" s="35"/>
      <c r="K1479" s="87"/>
      <c r="L1479" s="89"/>
      <c r="M1479" s="89"/>
      <c r="N1479" s="89"/>
    </row>
    <row r="1480" customHeight="1" ht="14.0">
      <c r="A1480" s="32"/>
      <c r="B1480" s="64"/>
      <c r="C1480" s="22"/>
      <c r="D1480" s="33"/>
      <c r="E1480" s="34"/>
      <c r="F1480" s="88"/>
      <c r="G1480" s="88"/>
      <c r="H1480" s="64"/>
      <c r="I1480" s="16"/>
      <c r="J1480" s="35"/>
      <c r="K1480" s="87"/>
      <c r="L1480" s="89"/>
      <c r="M1480" s="89"/>
      <c r="N1480" s="89"/>
    </row>
    <row r="1481" customHeight="1" ht="14.0">
      <c r="A1481" s="32"/>
      <c r="B1481" s="64"/>
      <c r="C1481" s="22"/>
      <c r="D1481" s="33"/>
      <c r="E1481" s="34"/>
      <c r="F1481" s="88"/>
      <c r="G1481" s="88"/>
      <c r="H1481" s="64"/>
      <c r="I1481" s="16"/>
      <c r="J1481" s="35"/>
      <c r="K1481" s="87"/>
      <c r="L1481" s="89"/>
      <c r="M1481" s="89"/>
      <c r="N1481" s="89"/>
    </row>
    <row r="1482" customHeight="1" ht="14.0">
      <c r="A1482" s="32"/>
      <c r="B1482" s="64"/>
      <c r="C1482" s="22"/>
      <c r="D1482" s="33"/>
      <c r="E1482" s="34"/>
      <c r="F1482" s="88"/>
      <c r="G1482" s="88"/>
      <c r="H1482" s="64"/>
      <c r="I1482" s="16"/>
      <c r="J1482" s="35"/>
      <c r="K1482" s="87"/>
      <c r="L1482" s="89"/>
      <c r="M1482" s="89"/>
      <c r="N1482" s="89"/>
    </row>
    <row r="1483" customHeight="1" ht="14.0">
      <c r="A1483" s="32"/>
      <c r="B1483" s="64"/>
      <c r="C1483" s="22"/>
      <c r="D1483" s="33"/>
      <c r="E1483" s="34"/>
      <c r="F1483" s="88"/>
      <c r="G1483" s="88"/>
      <c r="H1483" s="64"/>
      <c r="I1483" s="16"/>
      <c r="J1483" s="35"/>
      <c r="K1483" s="87"/>
      <c r="L1483" s="89"/>
      <c r="M1483" s="89"/>
      <c r="N1483" s="89"/>
    </row>
    <row r="1484" customHeight="1" ht="14.0">
      <c r="A1484" s="32"/>
      <c r="B1484" s="64"/>
      <c r="C1484" s="22"/>
      <c r="D1484" s="33"/>
      <c r="E1484" s="34"/>
      <c r="F1484" s="88"/>
      <c r="G1484" s="88"/>
      <c r="H1484" s="64"/>
      <c r="I1484" s="16"/>
      <c r="J1484" s="35"/>
      <c r="K1484" s="87"/>
      <c r="L1484" s="89"/>
      <c r="M1484" s="89"/>
      <c r="N1484" s="89"/>
    </row>
    <row r="1485" customHeight="1" ht="14.0">
      <c r="A1485" s="32"/>
      <c r="B1485" s="64"/>
      <c r="C1485" s="22"/>
      <c r="D1485" s="33"/>
      <c r="E1485" s="34"/>
      <c r="F1485" s="88"/>
      <c r="G1485" s="88"/>
      <c r="H1485" s="64"/>
      <c r="I1485" s="16"/>
      <c r="J1485" s="35"/>
      <c r="K1485" s="87"/>
      <c r="L1485" s="89"/>
      <c r="M1485" s="89"/>
      <c r="N1485" s="89"/>
    </row>
    <row r="1486" customHeight="1" ht="14.0">
      <c r="A1486" s="32"/>
      <c r="B1486" s="64"/>
      <c r="C1486" s="22"/>
      <c r="D1486" s="33"/>
      <c r="E1486" s="34"/>
      <c r="F1486" s="88"/>
      <c r="G1486" s="88"/>
      <c r="H1486" s="64"/>
      <c r="I1486" s="16"/>
      <c r="J1486" s="35"/>
      <c r="K1486" s="87"/>
      <c r="L1486" s="89"/>
      <c r="M1486" s="89"/>
      <c r="N1486" s="89"/>
    </row>
    <row r="1487" customHeight="1" ht="14.0">
      <c r="A1487" s="32"/>
      <c r="B1487" s="64"/>
      <c r="C1487" s="22"/>
      <c r="D1487" s="33"/>
      <c r="E1487" s="34"/>
      <c r="F1487" s="88"/>
      <c r="G1487" s="88"/>
      <c r="H1487" s="64"/>
      <c r="I1487" s="16"/>
      <c r="J1487" s="35"/>
      <c r="K1487" s="87"/>
      <c r="L1487" s="89"/>
      <c r="M1487" s="89"/>
      <c r="N1487" s="89"/>
    </row>
    <row r="1488" customHeight="1" ht="14.0">
      <c r="A1488" s="32"/>
      <c r="B1488" s="64"/>
      <c r="C1488" s="22"/>
      <c r="D1488" s="33"/>
      <c r="E1488" s="34"/>
      <c r="F1488" s="88"/>
      <c r="G1488" s="88"/>
      <c r="H1488" s="64"/>
      <c r="I1488" s="16"/>
      <c r="J1488" s="35"/>
      <c r="K1488" s="87"/>
      <c r="L1488" s="89"/>
      <c r="M1488" s="89"/>
      <c r="N1488" s="89"/>
    </row>
    <row r="1489" customHeight="1" ht="14.0">
      <c r="A1489" s="32"/>
      <c r="B1489" s="64"/>
      <c r="C1489" s="22"/>
      <c r="D1489" s="33"/>
      <c r="E1489" s="34"/>
      <c r="F1489" s="88"/>
      <c r="G1489" s="88"/>
      <c r="H1489" s="64"/>
      <c r="I1489" s="16"/>
      <c r="J1489" s="35"/>
      <c r="K1489" s="87"/>
      <c r="L1489" s="89"/>
      <c r="M1489" s="89"/>
      <c r="N1489" s="89"/>
    </row>
    <row r="1490" customHeight="1" ht="14.0">
      <c r="A1490" s="32"/>
      <c r="B1490" s="64"/>
      <c r="C1490" s="22"/>
      <c r="D1490" s="33"/>
      <c r="E1490" s="34"/>
      <c r="F1490" s="88"/>
      <c r="G1490" s="88"/>
      <c r="H1490" s="64"/>
      <c r="I1490" s="16"/>
      <c r="J1490" s="35"/>
      <c r="K1490" s="87"/>
      <c r="L1490" s="89"/>
      <c r="M1490" s="89"/>
      <c r="N1490" s="89"/>
    </row>
    <row r="1491" customHeight="1" ht="14.0">
      <c r="A1491" s="32"/>
      <c r="B1491" s="64"/>
      <c r="C1491" s="22"/>
      <c r="D1491" s="33"/>
      <c r="E1491" s="34"/>
      <c r="F1491" s="88"/>
      <c r="G1491" s="88"/>
      <c r="H1491" s="64"/>
      <c r="I1491" s="16"/>
      <c r="J1491" s="35"/>
      <c r="K1491" s="87"/>
      <c r="L1491" s="89"/>
      <c r="M1491" s="89"/>
      <c r="N1491" s="89"/>
    </row>
    <row r="1492" customHeight="1" ht="14.0">
      <c r="A1492" s="32"/>
      <c r="B1492" s="64"/>
      <c r="C1492" s="22"/>
      <c r="D1492" s="33"/>
      <c r="E1492" s="34"/>
      <c r="F1492" s="88"/>
      <c r="G1492" s="88"/>
      <c r="H1492" s="64"/>
      <c r="I1492" s="16"/>
      <c r="J1492" s="35"/>
      <c r="K1492" s="87"/>
      <c r="L1492" s="89"/>
      <c r="M1492" s="89"/>
      <c r="N1492" s="89"/>
    </row>
    <row r="1493" customHeight="1" ht="14.0">
      <c r="A1493" s="32"/>
      <c r="B1493" s="64"/>
      <c r="C1493" s="22"/>
      <c r="D1493" s="33"/>
      <c r="E1493" s="34"/>
      <c r="F1493" s="88"/>
      <c r="G1493" s="88"/>
      <c r="H1493" s="64"/>
      <c r="I1493" s="16"/>
      <c r="J1493" s="35"/>
      <c r="K1493" s="87"/>
      <c r="L1493" s="89"/>
      <c r="M1493" s="89"/>
      <c r="N1493" s="89"/>
    </row>
    <row r="1494" customHeight="1" ht="14.0">
      <c r="A1494" s="32"/>
      <c r="B1494" s="64"/>
      <c r="C1494" s="22"/>
      <c r="D1494" s="33"/>
      <c r="E1494" s="34"/>
      <c r="F1494" s="88"/>
      <c r="G1494" s="88"/>
      <c r="H1494" s="64"/>
      <c r="I1494" s="16"/>
      <c r="J1494" s="35"/>
      <c r="K1494" s="87"/>
      <c r="L1494" s="89"/>
      <c r="M1494" s="89"/>
      <c r="N1494" s="89"/>
    </row>
    <row r="1495" customHeight="1" ht="14.0">
      <c r="A1495" s="32"/>
      <c r="B1495" s="64"/>
      <c r="C1495" s="22"/>
      <c r="D1495" s="33"/>
      <c r="E1495" s="34"/>
      <c r="F1495" s="88"/>
      <c r="G1495" s="88"/>
      <c r="H1495" s="64"/>
      <c r="I1495" s="16"/>
      <c r="J1495" s="35"/>
      <c r="K1495" s="87"/>
      <c r="L1495" s="89"/>
      <c r="M1495" s="89"/>
      <c r="N1495" s="89"/>
    </row>
    <row r="1496" customHeight="1" ht="14.0">
      <c r="A1496" s="32"/>
      <c r="B1496" s="64"/>
      <c r="C1496" s="22"/>
      <c r="D1496" s="33"/>
      <c r="E1496" s="34"/>
      <c r="F1496" s="88"/>
      <c r="G1496" s="88"/>
      <c r="H1496" s="64"/>
      <c r="I1496" s="16"/>
      <c r="J1496" s="35"/>
      <c r="K1496" s="87"/>
      <c r="L1496" s="89"/>
      <c r="M1496" s="89"/>
      <c r="N1496" s="89"/>
    </row>
    <row r="1497" customHeight="1" ht="14.0">
      <c r="A1497" s="32"/>
      <c r="B1497" s="64"/>
      <c r="C1497" s="22"/>
      <c r="D1497" s="33"/>
      <c r="E1497" s="34"/>
      <c r="F1497" s="88"/>
      <c r="G1497" s="88"/>
      <c r="H1497" s="64"/>
      <c r="I1497" s="16"/>
      <c r="J1497" s="35"/>
      <c r="K1497" s="87"/>
      <c r="L1497" s="89"/>
      <c r="M1497" s="89"/>
      <c r="N1497" s="89"/>
    </row>
    <row r="1498" customHeight="1" ht="14.0">
      <c r="A1498" s="32"/>
      <c r="B1498" s="64"/>
      <c r="C1498" s="22"/>
      <c r="D1498" s="33"/>
      <c r="E1498" s="34"/>
      <c r="F1498" s="88"/>
      <c r="G1498" s="88"/>
      <c r="H1498" s="64"/>
      <c r="I1498" s="16"/>
      <c r="J1498" s="35"/>
      <c r="K1498" s="87"/>
      <c r="L1498" s="89"/>
      <c r="M1498" s="89"/>
      <c r="N1498" s="89"/>
    </row>
    <row r="1499" customHeight="1" ht="14.0">
      <c r="A1499" s="32"/>
      <c r="B1499" s="64"/>
      <c r="C1499" s="22"/>
      <c r="D1499" s="33"/>
      <c r="E1499" s="34"/>
      <c r="F1499" s="88"/>
      <c r="G1499" s="88"/>
      <c r="H1499" s="64"/>
      <c r="I1499" s="16"/>
      <c r="J1499" s="35"/>
      <c r="K1499" s="87"/>
      <c r="L1499" s="89"/>
      <c r="M1499" s="89"/>
      <c r="N1499" s="89"/>
    </row>
    <row r="1500" customHeight="1" ht="14.0">
      <c r="A1500" s="32"/>
      <c r="B1500" s="64"/>
      <c r="C1500" s="22"/>
      <c r="D1500" s="33"/>
      <c r="E1500" s="34"/>
      <c r="F1500" s="88"/>
      <c r="G1500" s="88"/>
      <c r="H1500" s="64"/>
      <c r="I1500" s="16"/>
      <c r="J1500" s="35"/>
      <c r="K1500" s="87"/>
      <c r="L1500" s="89"/>
      <c r="M1500" s="89"/>
      <c r="N1500" s="89"/>
    </row>
    <row r="1501" customHeight="1" ht="14.0">
      <c r="A1501" s="32"/>
      <c r="B1501" s="64"/>
      <c r="C1501" s="22"/>
      <c r="D1501" s="33"/>
      <c r="E1501" s="34"/>
      <c r="F1501" s="88"/>
      <c r="G1501" s="88"/>
      <c r="H1501" s="64"/>
      <c r="I1501" s="16"/>
      <c r="J1501" s="35"/>
      <c r="K1501" s="87"/>
      <c r="L1501" s="89"/>
      <c r="M1501" s="89"/>
      <c r="N1501" s="89"/>
    </row>
    <row r="1502" customHeight="1" ht="14.0">
      <c r="A1502" s="32"/>
      <c r="B1502" s="64"/>
      <c r="C1502" s="22"/>
      <c r="D1502" s="33"/>
      <c r="E1502" s="34"/>
      <c r="F1502" s="88"/>
      <c r="G1502" s="88"/>
      <c r="H1502" s="64"/>
      <c r="I1502" s="16"/>
      <c r="J1502" s="35"/>
      <c r="K1502" s="87"/>
      <c r="L1502" s="89"/>
      <c r="M1502" s="89"/>
      <c r="N1502" s="89"/>
    </row>
    <row r="1503" customHeight="1" ht="14.0">
      <c r="A1503" s="32"/>
      <c r="B1503" s="64"/>
      <c r="C1503" s="22"/>
      <c r="D1503" s="33"/>
      <c r="E1503" s="34"/>
      <c r="F1503" s="88"/>
      <c r="G1503" s="88"/>
      <c r="H1503" s="64"/>
      <c r="I1503" s="16"/>
      <c r="J1503" s="35"/>
      <c r="K1503" s="87"/>
      <c r="L1503" s="89"/>
      <c r="M1503" s="89"/>
      <c r="N1503" s="89"/>
    </row>
    <row r="1504" customHeight="1" ht="14.0">
      <c r="A1504" s="32"/>
      <c r="B1504" s="64"/>
      <c r="C1504" s="22"/>
      <c r="D1504" s="33"/>
      <c r="E1504" s="34"/>
      <c r="F1504" s="88"/>
      <c r="G1504" s="88"/>
      <c r="H1504" s="64"/>
      <c r="I1504" s="16"/>
      <c r="J1504" s="35"/>
      <c r="K1504" s="87"/>
      <c r="L1504" s="89"/>
      <c r="M1504" s="89"/>
      <c r="N1504" s="89"/>
    </row>
    <row r="1505" customHeight="1" ht="14.0">
      <c r="A1505" s="32"/>
      <c r="B1505" s="64"/>
      <c r="C1505" s="22"/>
      <c r="D1505" s="33"/>
      <c r="E1505" s="34"/>
      <c r="F1505" s="88"/>
      <c r="G1505" s="88"/>
      <c r="H1505" s="64"/>
      <c r="I1505" s="16"/>
      <c r="J1505" s="35"/>
      <c r="K1505" s="87"/>
      <c r="L1505" s="89"/>
      <c r="M1505" s="89"/>
      <c r="N1505" s="89"/>
    </row>
    <row r="1506" customHeight="1" ht="14.0">
      <c r="A1506" s="32"/>
      <c r="B1506" s="64"/>
      <c r="C1506" s="22"/>
      <c r="D1506" s="33"/>
      <c r="E1506" s="34"/>
      <c r="F1506" s="88"/>
      <c r="G1506" s="88"/>
      <c r="H1506" s="64"/>
      <c r="I1506" s="16"/>
      <c r="J1506" s="35"/>
      <c r="K1506" s="87"/>
      <c r="L1506" s="89"/>
      <c r="M1506" s="89"/>
      <c r="N1506" s="89"/>
    </row>
    <row r="1507" customHeight="1" ht="14.0">
      <c r="A1507" s="32"/>
      <c r="B1507" s="64"/>
      <c r="C1507" s="22"/>
      <c r="D1507" s="33"/>
      <c r="E1507" s="34"/>
      <c r="F1507" s="88"/>
      <c r="G1507" s="88"/>
      <c r="H1507" s="64"/>
      <c r="I1507" s="16"/>
      <c r="J1507" s="35"/>
      <c r="K1507" s="87"/>
      <c r="L1507" s="89"/>
      <c r="M1507" s="89"/>
      <c r="N1507" s="89"/>
    </row>
    <row r="1508" customHeight="1" ht="14.0">
      <c r="A1508" s="32"/>
      <c r="B1508" s="64"/>
      <c r="C1508" s="22"/>
      <c r="D1508" s="33"/>
      <c r="E1508" s="34"/>
      <c r="F1508" s="88"/>
      <c r="G1508" s="88"/>
      <c r="H1508" s="64"/>
      <c r="I1508" s="16"/>
      <c r="J1508" s="35"/>
      <c r="K1508" s="87"/>
      <c r="L1508" s="89"/>
      <c r="M1508" s="89"/>
      <c r="N1508" s="89"/>
    </row>
    <row r="1509" customHeight="1" ht="14.0">
      <c r="A1509" s="32"/>
      <c r="B1509" s="64"/>
      <c r="C1509" s="22"/>
      <c r="D1509" s="33"/>
      <c r="E1509" s="34"/>
      <c r="F1509" s="88"/>
      <c r="G1509" s="88"/>
      <c r="H1509" s="64"/>
      <c r="I1509" s="16"/>
      <c r="J1509" s="35"/>
      <c r="K1509" s="87"/>
      <c r="L1509" s="89"/>
      <c r="M1509" s="89"/>
      <c r="N1509" s="89"/>
    </row>
    <row r="1510" customHeight="1" ht="14.0">
      <c r="A1510" s="32"/>
      <c r="B1510" s="64"/>
      <c r="C1510" s="22"/>
      <c r="D1510" s="33"/>
      <c r="E1510" s="34"/>
      <c r="F1510" s="88"/>
      <c r="G1510" s="88"/>
      <c r="H1510" s="64"/>
      <c r="I1510" s="16"/>
      <c r="J1510" s="35"/>
      <c r="K1510" s="87"/>
      <c r="L1510" s="89"/>
      <c r="M1510" s="89"/>
      <c r="N1510" s="89"/>
    </row>
    <row r="1511" customHeight="1" ht="14.0">
      <c r="A1511" s="32"/>
      <c r="B1511" s="64"/>
      <c r="C1511" s="22"/>
      <c r="D1511" s="33"/>
      <c r="E1511" s="34"/>
      <c r="F1511" s="88"/>
      <c r="G1511" s="88"/>
      <c r="H1511" s="64"/>
      <c r="I1511" s="16"/>
      <c r="J1511" s="35"/>
      <c r="K1511" s="87"/>
      <c r="L1511" s="89"/>
      <c r="M1511" s="89"/>
      <c r="N1511" s="89"/>
    </row>
    <row r="1512" customHeight="1" ht="14.0">
      <c r="A1512" s="32"/>
      <c r="B1512" s="64"/>
      <c r="C1512" s="22"/>
      <c r="D1512" s="33"/>
      <c r="E1512" s="34"/>
      <c r="F1512" s="88"/>
      <c r="G1512" s="88"/>
      <c r="H1512" s="64"/>
      <c r="I1512" s="16"/>
      <c r="J1512" s="35"/>
      <c r="K1512" s="87"/>
      <c r="L1512" s="89"/>
      <c r="M1512" s="89"/>
      <c r="N1512" s="89"/>
    </row>
    <row r="1513" customHeight="1" ht="14.0">
      <c r="A1513" s="32"/>
      <c r="B1513" s="64"/>
      <c r="C1513" s="22"/>
      <c r="D1513" s="33"/>
      <c r="E1513" s="34"/>
      <c r="F1513" s="88"/>
      <c r="G1513" s="88"/>
      <c r="H1513" s="64"/>
      <c r="I1513" s="16"/>
      <c r="J1513" s="35"/>
      <c r="K1513" s="87"/>
      <c r="L1513" s="89"/>
      <c r="M1513" s="89"/>
      <c r="N1513" s="89"/>
    </row>
    <row r="1514" customHeight="1" ht="14.0">
      <c r="A1514" s="32"/>
      <c r="B1514" s="64"/>
      <c r="C1514" s="22"/>
      <c r="D1514" s="33"/>
      <c r="E1514" s="34"/>
      <c r="F1514" s="88"/>
      <c r="G1514" s="88"/>
      <c r="H1514" s="64"/>
      <c r="I1514" s="16"/>
      <c r="J1514" s="35"/>
      <c r="K1514" s="87"/>
      <c r="L1514" s="89"/>
      <c r="M1514" s="89"/>
      <c r="N1514" s="89"/>
    </row>
    <row r="1515" customHeight="1" ht="14.0">
      <c r="A1515" s="32"/>
      <c r="B1515" s="64"/>
      <c r="C1515" s="22"/>
      <c r="D1515" s="33"/>
      <c r="E1515" s="34"/>
      <c r="F1515" s="88"/>
      <c r="G1515" s="88"/>
      <c r="H1515" s="64"/>
      <c r="I1515" s="16"/>
      <c r="J1515" s="35"/>
      <c r="K1515" s="87"/>
      <c r="L1515" s="89"/>
      <c r="M1515" s="89"/>
      <c r="N1515" s="89"/>
    </row>
    <row r="1516" customHeight="1" ht="14.0">
      <c r="A1516" s="32"/>
      <c r="B1516" s="64"/>
      <c r="C1516" s="22"/>
      <c r="D1516" s="33"/>
      <c r="E1516" s="34"/>
      <c r="F1516" s="88"/>
      <c r="G1516" s="88"/>
      <c r="H1516" s="64"/>
      <c r="I1516" s="16"/>
      <c r="J1516" s="35"/>
      <c r="K1516" s="87"/>
      <c r="L1516" s="89"/>
      <c r="M1516" s="89"/>
      <c r="N1516" s="89"/>
    </row>
    <row r="1517" customHeight="1" ht="14.0">
      <c r="A1517" s="32"/>
      <c r="B1517" s="64"/>
      <c r="C1517" s="22"/>
      <c r="D1517" s="33"/>
      <c r="E1517" s="34"/>
      <c r="F1517" s="88"/>
      <c r="G1517" s="88"/>
      <c r="H1517" s="64"/>
      <c r="I1517" s="16"/>
      <c r="J1517" s="35"/>
      <c r="K1517" s="87"/>
      <c r="L1517" s="89"/>
      <c r="M1517" s="89"/>
      <c r="N1517" s="89"/>
    </row>
    <row r="1518" customHeight="1" ht="14.0">
      <c r="A1518" s="32"/>
      <c r="B1518" s="64"/>
      <c r="C1518" s="22"/>
      <c r="D1518" s="33"/>
      <c r="E1518" s="34"/>
      <c r="F1518" s="88"/>
      <c r="G1518" s="88"/>
      <c r="H1518" s="64"/>
      <c r="I1518" s="16"/>
      <c r="J1518" s="35"/>
      <c r="K1518" s="87"/>
      <c r="L1518" s="89"/>
      <c r="M1518" s="89"/>
      <c r="N1518" s="89"/>
    </row>
    <row r="1519" customHeight="1" ht="14.0">
      <c r="A1519" s="32"/>
      <c r="B1519" s="64"/>
      <c r="C1519" s="22"/>
      <c r="D1519" s="33"/>
      <c r="E1519" s="34"/>
      <c r="F1519" s="88"/>
      <c r="G1519" s="88"/>
      <c r="H1519" s="64"/>
      <c r="I1519" s="16"/>
      <c r="J1519" s="35"/>
      <c r="K1519" s="87"/>
      <c r="L1519" s="89"/>
      <c r="M1519" s="89"/>
      <c r="N1519" s="89"/>
    </row>
    <row r="1520" customHeight="1" ht="14.0">
      <c r="A1520" s="32"/>
      <c r="B1520" s="64"/>
      <c r="C1520" s="22"/>
      <c r="D1520" s="33"/>
      <c r="E1520" s="34"/>
      <c r="F1520" s="88"/>
      <c r="G1520" s="88"/>
      <c r="H1520" s="64"/>
      <c r="I1520" s="16"/>
      <c r="J1520" s="35"/>
      <c r="K1520" s="87"/>
      <c r="L1520" s="89"/>
      <c r="M1520" s="89"/>
      <c r="N1520" s="89"/>
    </row>
    <row r="1521" customHeight="1" ht="14.0">
      <c r="A1521" s="32"/>
      <c r="B1521" s="64"/>
      <c r="C1521" s="22"/>
      <c r="D1521" s="33"/>
      <c r="E1521" s="34"/>
      <c r="F1521" s="88"/>
      <c r="G1521" s="88"/>
      <c r="H1521" s="64"/>
      <c r="I1521" s="16"/>
      <c r="J1521" s="35"/>
      <c r="K1521" s="87"/>
      <c r="L1521" s="89"/>
      <c r="M1521" s="89"/>
      <c r="N1521" s="89"/>
    </row>
    <row r="1522" customHeight="1" ht="14.0">
      <c r="A1522" s="32"/>
      <c r="B1522" s="64"/>
      <c r="C1522" s="22"/>
      <c r="D1522" s="33"/>
      <c r="E1522" s="34"/>
      <c r="F1522" s="88"/>
      <c r="G1522" s="88"/>
      <c r="H1522" s="64"/>
      <c r="I1522" s="16"/>
      <c r="J1522" s="35"/>
      <c r="K1522" s="87"/>
      <c r="L1522" s="89"/>
      <c r="M1522" s="89"/>
      <c r="N1522" s="89"/>
    </row>
    <row r="1523" customHeight="1" ht="14.0">
      <c r="A1523" s="32"/>
      <c r="B1523" s="64"/>
      <c r="C1523" s="22"/>
      <c r="D1523" s="33"/>
      <c r="E1523" s="34"/>
      <c r="F1523" s="88"/>
      <c r="G1523" s="88"/>
      <c r="H1523" s="64"/>
      <c r="I1523" s="16"/>
      <c r="J1523" s="35"/>
      <c r="K1523" s="87"/>
      <c r="L1523" s="89"/>
      <c r="M1523" s="89"/>
      <c r="N1523" s="89"/>
    </row>
    <row r="1524" customHeight="1" ht="14.0">
      <c r="A1524" s="32"/>
      <c r="B1524" s="64"/>
      <c r="C1524" s="22"/>
      <c r="D1524" s="33"/>
      <c r="E1524" s="34"/>
      <c r="F1524" s="88"/>
      <c r="G1524" s="88"/>
      <c r="H1524" s="64"/>
      <c r="I1524" s="16"/>
      <c r="J1524" s="35"/>
      <c r="K1524" s="87"/>
      <c r="L1524" s="89"/>
      <c r="M1524" s="89"/>
      <c r="N1524" s="89"/>
    </row>
    <row r="1525" customHeight="1" ht="14.0">
      <c r="A1525" s="32"/>
      <c r="B1525" s="64"/>
      <c r="C1525" s="22"/>
      <c r="D1525" s="33"/>
      <c r="E1525" s="34"/>
      <c r="F1525" s="88"/>
      <c r="G1525" s="88"/>
      <c r="H1525" s="64"/>
      <c r="I1525" s="16"/>
      <c r="J1525" s="35"/>
      <c r="K1525" s="87"/>
      <c r="L1525" s="89"/>
      <c r="M1525" s="89"/>
      <c r="N1525" s="89"/>
    </row>
    <row r="1526" customHeight="1" ht="14.0">
      <c r="A1526" s="32"/>
      <c r="B1526" s="64"/>
      <c r="C1526" s="22"/>
      <c r="D1526" s="33"/>
      <c r="E1526" s="34"/>
      <c r="F1526" s="88"/>
      <c r="G1526" s="88"/>
      <c r="H1526" s="64"/>
      <c r="I1526" s="16"/>
      <c r="J1526" s="35"/>
      <c r="K1526" s="87"/>
      <c r="L1526" s="89"/>
      <c r="M1526" s="89"/>
      <c r="N1526" s="89"/>
    </row>
    <row r="1527" customHeight="1" ht="14.0">
      <c r="A1527" s="32"/>
      <c r="B1527" s="64"/>
      <c r="C1527" s="22"/>
      <c r="D1527" s="33"/>
      <c r="E1527" s="34"/>
      <c r="F1527" s="88"/>
      <c r="G1527" s="88"/>
      <c r="H1527" s="64"/>
      <c r="I1527" s="16"/>
      <c r="J1527" s="35"/>
      <c r="K1527" s="87"/>
      <c r="L1527" s="89"/>
      <c r="M1527" s="89"/>
      <c r="N1527" s="89"/>
    </row>
    <row r="1528" customHeight="1" ht="14.0">
      <c r="A1528" s="32"/>
      <c r="B1528" s="64"/>
      <c r="C1528" s="22"/>
      <c r="D1528" s="33"/>
      <c r="E1528" s="34"/>
      <c r="F1528" s="88"/>
      <c r="G1528" s="88"/>
      <c r="H1528" s="64"/>
      <c r="I1528" s="16"/>
      <c r="J1528" s="35"/>
      <c r="K1528" s="87"/>
      <c r="L1528" s="89"/>
      <c r="M1528" s="89"/>
      <c r="N1528" s="89"/>
    </row>
    <row r="1529" customHeight="1" ht="14.0">
      <c r="A1529" s="32"/>
      <c r="B1529" s="64"/>
      <c r="C1529" s="22"/>
      <c r="D1529" s="33"/>
      <c r="E1529" s="34"/>
      <c r="F1529" s="88"/>
      <c r="G1529" s="88"/>
      <c r="H1529" s="64"/>
      <c r="I1529" s="16"/>
      <c r="J1529" s="35"/>
      <c r="K1529" s="87"/>
      <c r="L1529" s="89"/>
      <c r="M1529" s="89"/>
      <c r="N1529" s="89"/>
    </row>
    <row r="1530" customHeight="1" ht="14.0">
      <c r="A1530" s="32"/>
      <c r="B1530" s="64"/>
      <c r="C1530" s="22"/>
      <c r="D1530" s="33"/>
      <c r="E1530" s="34"/>
      <c r="F1530" s="88"/>
      <c r="G1530" s="88"/>
      <c r="H1530" s="64"/>
      <c r="I1530" s="16"/>
      <c r="J1530" s="35"/>
      <c r="K1530" s="87"/>
      <c r="L1530" s="89"/>
      <c r="M1530" s="89"/>
      <c r="N1530" s="89"/>
    </row>
    <row r="1531" customHeight="1" ht="14.0">
      <c r="A1531" s="32"/>
      <c r="B1531" s="64"/>
      <c r="C1531" s="22"/>
      <c r="D1531" s="33"/>
      <c r="E1531" s="34"/>
      <c r="F1531" s="88"/>
      <c r="G1531" s="88"/>
      <c r="H1531" s="64"/>
      <c r="I1531" s="16"/>
      <c r="J1531" s="35"/>
      <c r="K1531" s="87"/>
      <c r="L1531" s="89"/>
      <c r="M1531" s="89"/>
      <c r="N1531" s="89"/>
    </row>
    <row r="1532" customHeight="1" ht="14.0">
      <c r="A1532" s="32"/>
      <c r="B1532" s="64"/>
      <c r="C1532" s="22"/>
      <c r="D1532" s="33"/>
      <c r="E1532" s="34"/>
      <c r="F1532" s="88"/>
      <c r="G1532" s="88"/>
      <c r="H1532" s="64"/>
      <c r="I1532" s="16"/>
      <c r="J1532" s="35"/>
      <c r="K1532" s="87"/>
      <c r="L1532" s="89"/>
      <c r="M1532" s="89"/>
      <c r="N1532" s="89"/>
    </row>
    <row r="1533" customHeight="1" ht="14.0">
      <c r="A1533" s="32"/>
      <c r="B1533" s="64"/>
      <c r="C1533" s="22"/>
      <c r="D1533" s="33"/>
      <c r="E1533" s="34"/>
      <c r="F1533" s="88"/>
      <c r="G1533" s="88"/>
      <c r="H1533" s="64"/>
      <c r="I1533" s="16"/>
      <c r="J1533" s="35"/>
      <c r="K1533" s="87"/>
      <c r="L1533" s="89"/>
      <c r="M1533" s="89"/>
      <c r="N1533" s="89"/>
    </row>
    <row r="1534" customHeight="1" ht="14.0">
      <c r="A1534" s="32"/>
      <c r="B1534" s="64"/>
      <c r="C1534" s="22"/>
      <c r="D1534" s="33"/>
      <c r="E1534" s="34"/>
      <c r="F1534" s="88"/>
      <c r="G1534" s="88"/>
      <c r="H1534" s="64"/>
      <c r="I1534" s="16"/>
      <c r="J1534" s="35"/>
      <c r="K1534" s="87"/>
      <c r="L1534" s="89"/>
      <c r="M1534" s="89"/>
      <c r="N1534" s="89"/>
    </row>
    <row r="1535" customHeight="1" ht="14.0">
      <c r="A1535" s="32"/>
      <c r="B1535" s="64"/>
      <c r="C1535" s="22"/>
      <c r="D1535" s="33"/>
      <c r="E1535" s="34"/>
      <c r="F1535" s="88"/>
      <c r="G1535" s="88"/>
      <c r="H1535" s="64"/>
      <c r="I1535" s="16"/>
      <c r="J1535" s="35"/>
      <c r="K1535" s="87"/>
      <c r="L1535" s="89"/>
      <c r="M1535" s="89"/>
      <c r="N1535" s="89"/>
    </row>
    <row r="1536" customHeight="1" ht="14.0">
      <c r="A1536" s="32"/>
      <c r="B1536" s="64"/>
      <c r="C1536" s="22"/>
      <c r="D1536" s="33"/>
      <c r="E1536" s="34"/>
      <c r="F1536" s="88"/>
      <c r="G1536" s="88"/>
      <c r="H1536" s="64"/>
      <c r="I1536" s="16"/>
      <c r="J1536" s="35"/>
      <c r="K1536" s="87"/>
      <c r="L1536" s="89"/>
      <c r="M1536" s="89"/>
      <c r="N1536" s="89"/>
    </row>
    <row r="1537" customHeight="1" ht="14.0">
      <c r="A1537" s="32"/>
      <c r="B1537" s="64"/>
      <c r="C1537" s="22"/>
      <c r="D1537" s="33"/>
      <c r="E1537" s="34"/>
      <c r="F1537" s="88"/>
      <c r="G1537" s="88"/>
      <c r="H1537" s="64"/>
      <c r="I1537" s="16"/>
      <c r="J1537" s="35"/>
      <c r="K1537" s="87"/>
      <c r="L1537" s="89"/>
      <c r="M1537" s="89"/>
      <c r="N1537" s="89"/>
    </row>
    <row r="1538" customHeight="1" ht="14.0">
      <c r="A1538" s="32"/>
      <c r="B1538" s="64"/>
      <c r="C1538" s="22"/>
      <c r="D1538" s="33"/>
      <c r="E1538" s="34"/>
      <c r="F1538" s="88"/>
      <c r="G1538" s="88"/>
      <c r="H1538" s="64"/>
      <c r="I1538" s="16"/>
      <c r="J1538" s="35"/>
      <c r="K1538" s="87"/>
      <c r="L1538" s="89"/>
      <c r="M1538" s="89"/>
      <c r="N1538" s="89"/>
    </row>
    <row r="1539" customHeight="1" ht="14.0">
      <c r="A1539" s="32"/>
      <c r="B1539" s="64"/>
      <c r="C1539" s="22"/>
      <c r="D1539" s="33"/>
      <c r="E1539" s="34"/>
      <c r="F1539" s="88"/>
      <c r="G1539" s="88"/>
      <c r="H1539" s="64"/>
      <c r="I1539" s="16"/>
      <c r="J1539" s="35"/>
      <c r="K1539" s="87"/>
      <c r="L1539" s="89"/>
      <c r="M1539" s="89"/>
      <c r="N1539" s="89"/>
    </row>
    <row r="1540" customHeight="1" ht="14.0">
      <c r="A1540" s="32"/>
      <c r="B1540" s="64"/>
      <c r="C1540" s="22"/>
      <c r="D1540" s="33"/>
      <c r="E1540" s="34"/>
      <c r="F1540" s="88"/>
      <c r="G1540" s="88"/>
      <c r="H1540" s="64"/>
      <c r="I1540" s="16"/>
      <c r="J1540" s="35"/>
      <c r="K1540" s="87"/>
      <c r="L1540" s="89"/>
      <c r="M1540" s="89"/>
      <c r="N1540" s="89"/>
    </row>
    <row r="1541" customHeight="1" ht="14.0">
      <c r="A1541" s="32"/>
      <c r="B1541" s="64"/>
      <c r="C1541" s="22"/>
      <c r="D1541" s="33"/>
      <c r="E1541" s="34"/>
      <c r="F1541" s="88"/>
      <c r="G1541" s="88"/>
      <c r="H1541" s="64"/>
      <c r="I1541" s="16"/>
      <c r="J1541" s="35"/>
      <c r="K1541" s="87"/>
      <c r="L1541" s="89"/>
      <c r="M1541" s="89"/>
      <c r="N1541" s="89"/>
    </row>
    <row r="1542" customHeight="1" ht="14.0">
      <c r="A1542" s="32"/>
      <c r="B1542" s="64"/>
      <c r="C1542" s="22"/>
      <c r="D1542" s="33"/>
      <c r="E1542" s="34"/>
      <c r="F1542" s="88"/>
      <c r="G1542" s="88"/>
      <c r="H1542" s="64"/>
      <c r="I1542" s="16"/>
      <c r="J1542" s="35"/>
      <c r="K1542" s="87"/>
      <c r="L1542" s="89"/>
      <c r="M1542" s="89"/>
      <c r="N1542" s="89"/>
    </row>
    <row r="1543" customHeight="1" ht="14.0">
      <c r="A1543" s="32"/>
      <c r="B1543" s="64"/>
      <c r="C1543" s="22"/>
      <c r="D1543" s="33"/>
      <c r="E1543" s="34"/>
      <c r="F1543" s="88"/>
      <c r="G1543" s="88"/>
      <c r="H1543" s="64"/>
      <c r="I1543" s="16"/>
      <c r="J1543" s="35"/>
      <c r="K1543" s="87"/>
      <c r="L1543" s="89"/>
      <c r="M1543" s="89"/>
      <c r="N1543" s="89"/>
    </row>
    <row r="1544" customHeight="1" ht="14.0">
      <c r="A1544" s="32"/>
      <c r="B1544" s="64"/>
      <c r="C1544" s="22"/>
      <c r="D1544" s="33"/>
      <c r="E1544" s="34"/>
      <c r="F1544" s="88"/>
      <c r="G1544" s="88"/>
      <c r="H1544" s="64"/>
      <c r="I1544" s="16"/>
      <c r="J1544" s="35"/>
      <c r="K1544" s="87"/>
      <c r="L1544" s="89"/>
      <c r="M1544" s="89"/>
      <c r="N1544" s="89"/>
    </row>
    <row r="1545" customHeight="1" ht="14.0">
      <c r="A1545" s="32"/>
      <c r="B1545" s="64"/>
      <c r="C1545" s="22"/>
      <c r="D1545" s="33"/>
      <c r="E1545" s="34"/>
      <c r="F1545" s="88"/>
      <c r="G1545" s="88"/>
      <c r="H1545" s="64"/>
      <c r="I1545" s="16"/>
      <c r="J1545" s="35"/>
      <c r="K1545" s="87"/>
      <c r="L1545" s="89"/>
      <c r="M1545" s="89"/>
      <c r="N1545" s="89"/>
    </row>
    <row r="1546" customHeight="1" ht="14.0">
      <c r="A1546" s="32"/>
      <c r="B1546" s="64"/>
      <c r="C1546" s="22"/>
      <c r="D1546" s="33"/>
      <c r="E1546" s="34"/>
      <c r="F1546" s="88"/>
      <c r="G1546" s="88"/>
      <c r="H1546" s="64"/>
      <c r="I1546" s="16"/>
      <c r="J1546" s="35"/>
      <c r="K1546" s="87"/>
      <c r="L1546" s="89"/>
      <c r="M1546" s="89"/>
      <c r="N1546" s="89"/>
    </row>
    <row r="1547" customHeight="1" ht="14.0">
      <c r="A1547" s="32"/>
      <c r="B1547" s="64"/>
      <c r="C1547" s="22"/>
      <c r="D1547" s="33"/>
      <c r="E1547" s="34"/>
      <c r="F1547" s="88"/>
      <c r="G1547" s="88"/>
      <c r="H1547" s="64"/>
      <c r="I1547" s="16"/>
      <c r="J1547" s="35"/>
      <c r="K1547" s="87"/>
      <c r="L1547" s="89"/>
      <c r="M1547" s="89"/>
      <c r="N1547" s="89"/>
    </row>
    <row r="1548" customHeight="1" ht="14.0">
      <c r="A1548" s="32"/>
      <c r="B1548" s="64"/>
      <c r="C1548" s="22"/>
      <c r="D1548" s="33"/>
      <c r="E1548" s="34"/>
      <c r="F1548" s="88"/>
      <c r="G1548" s="88"/>
      <c r="H1548" s="64"/>
      <c r="I1548" s="16"/>
      <c r="J1548" s="35"/>
      <c r="K1548" s="87"/>
      <c r="L1548" s="89"/>
      <c r="M1548" s="89"/>
      <c r="N1548" s="89"/>
    </row>
    <row r="1549" customHeight="1" ht="14.0">
      <c r="A1549" s="32"/>
      <c r="B1549" s="64"/>
      <c r="C1549" s="22"/>
      <c r="D1549" s="33"/>
      <c r="E1549" s="34"/>
      <c r="F1549" s="88"/>
      <c r="G1549" s="88"/>
      <c r="H1549" s="64"/>
      <c r="I1549" s="16"/>
      <c r="J1549" s="35"/>
      <c r="K1549" s="87"/>
      <c r="L1549" s="89"/>
      <c r="M1549" s="89"/>
      <c r="N1549" s="89"/>
    </row>
    <row r="1550" customHeight="1" ht="14.0">
      <c r="A1550" s="32"/>
      <c r="B1550" s="64"/>
      <c r="C1550" s="22"/>
      <c r="D1550" s="33"/>
      <c r="E1550" s="34"/>
      <c r="F1550" s="88"/>
      <c r="G1550" s="88"/>
      <c r="H1550" s="64"/>
      <c r="I1550" s="16"/>
      <c r="J1550" s="35"/>
      <c r="K1550" s="87"/>
      <c r="L1550" s="89"/>
      <c r="M1550" s="89"/>
      <c r="N1550" s="89"/>
    </row>
    <row r="1551" customHeight="1" ht="14.0">
      <c r="A1551" s="32"/>
      <c r="B1551" s="64"/>
      <c r="C1551" s="22"/>
      <c r="D1551" s="33"/>
      <c r="E1551" s="34"/>
      <c r="F1551" s="88"/>
      <c r="G1551" s="88"/>
      <c r="H1551" s="64"/>
      <c r="I1551" s="16"/>
      <c r="J1551" s="35"/>
      <c r="K1551" s="87"/>
      <c r="L1551" s="89"/>
      <c r="M1551" s="89"/>
      <c r="N1551" s="89"/>
    </row>
    <row r="1552" customHeight="1" ht="14.0">
      <c r="A1552" s="32"/>
      <c r="B1552" s="64"/>
      <c r="C1552" s="22"/>
      <c r="D1552" s="33"/>
      <c r="E1552" s="34"/>
      <c r="F1552" s="88"/>
      <c r="G1552" s="88"/>
      <c r="H1552" s="64"/>
      <c r="I1552" s="16"/>
      <c r="J1552" s="35"/>
      <c r="K1552" s="87"/>
      <c r="L1552" s="89"/>
      <c r="M1552" s="89"/>
      <c r="N1552" s="89"/>
    </row>
    <row r="1553" customHeight="1" ht="14.0">
      <c r="A1553" s="32"/>
      <c r="B1553" s="64"/>
      <c r="C1553" s="22"/>
      <c r="D1553" s="33"/>
      <c r="E1553" s="34"/>
      <c r="F1553" s="88"/>
      <c r="G1553" s="88"/>
      <c r="H1553" s="64"/>
      <c r="I1553" s="16"/>
      <c r="J1553" s="35"/>
      <c r="K1553" s="87"/>
      <c r="L1553" s="89"/>
      <c r="M1553" s="89"/>
      <c r="N1553" s="89"/>
    </row>
    <row r="1554" customHeight="1" ht="14.0">
      <c r="A1554" s="32"/>
      <c r="B1554" s="64"/>
      <c r="C1554" s="22"/>
      <c r="D1554" s="33"/>
      <c r="E1554" s="34"/>
      <c r="F1554" s="88"/>
      <c r="G1554" s="88"/>
      <c r="H1554" s="64"/>
      <c r="I1554" s="16"/>
      <c r="J1554" s="35"/>
      <c r="K1554" s="87"/>
      <c r="L1554" s="89"/>
      <c r="M1554" s="89"/>
      <c r="N1554" s="89"/>
    </row>
    <row r="1555" customHeight="1" ht="14.0">
      <c r="A1555" s="32"/>
      <c r="B1555" s="64"/>
      <c r="C1555" s="22"/>
      <c r="D1555" s="33"/>
      <c r="E1555" s="34"/>
      <c r="F1555" s="88"/>
      <c r="G1555" s="88"/>
      <c r="H1555" s="64"/>
      <c r="I1555" s="16"/>
      <c r="J1555" s="35"/>
      <c r="K1555" s="87"/>
      <c r="L1555" s="89"/>
      <c r="M1555" s="89"/>
      <c r="N1555" s="89"/>
    </row>
    <row r="1556" customHeight="1" ht="14.0">
      <c r="A1556" s="32"/>
      <c r="B1556" s="64"/>
      <c r="C1556" s="22"/>
      <c r="D1556" s="33"/>
      <c r="E1556" s="34"/>
      <c r="F1556" s="88"/>
      <c r="G1556" s="88"/>
      <c r="H1556" s="64"/>
      <c r="I1556" s="16"/>
      <c r="J1556" s="35"/>
      <c r="K1556" s="87"/>
      <c r="L1556" s="89"/>
      <c r="M1556" s="89"/>
      <c r="N1556" s="89"/>
    </row>
    <row r="1557" customHeight="1" ht="14.0">
      <c r="A1557" s="32"/>
      <c r="B1557" s="64"/>
      <c r="C1557" s="22"/>
      <c r="D1557" s="33"/>
      <c r="E1557" s="34"/>
      <c r="F1557" s="88"/>
      <c r="G1557" s="88"/>
      <c r="H1557" s="64"/>
      <c r="I1557" s="16"/>
      <c r="J1557" s="35"/>
      <c r="K1557" s="87"/>
      <c r="L1557" s="89"/>
      <c r="M1557" s="89"/>
      <c r="N1557" s="89"/>
    </row>
    <row r="1558" customHeight="1" ht="14.0">
      <c r="A1558" s="32"/>
      <c r="B1558" s="64"/>
      <c r="C1558" s="22"/>
      <c r="D1558" s="33"/>
      <c r="E1558" s="34"/>
      <c r="F1558" s="88"/>
      <c r="G1558" s="88"/>
      <c r="H1558" s="64"/>
      <c r="I1558" s="16"/>
      <c r="J1558" s="35"/>
      <c r="K1558" s="87"/>
      <c r="L1558" s="89"/>
      <c r="M1558" s="89"/>
      <c r="N1558" s="89"/>
    </row>
    <row r="1559" customHeight="1" ht="14.0">
      <c r="A1559" s="32"/>
      <c r="B1559" s="64"/>
      <c r="C1559" s="22"/>
      <c r="D1559" s="33"/>
      <c r="E1559" s="34"/>
      <c r="F1559" s="88"/>
      <c r="G1559" s="88"/>
      <c r="H1559" s="64"/>
      <c r="I1559" s="16"/>
      <c r="J1559" s="35"/>
      <c r="K1559" s="87"/>
      <c r="L1559" s="89"/>
      <c r="M1559" s="89"/>
      <c r="N1559" s="89"/>
    </row>
    <row r="1560" customHeight="1" ht="14.0">
      <c r="A1560" s="32"/>
      <c r="B1560" s="64"/>
      <c r="C1560" s="22"/>
      <c r="D1560" s="33"/>
      <c r="E1560" s="34"/>
      <c r="F1560" s="88"/>
      <c r="G1560" s="88"/>
      <c r="H1560" s="64"/>
      <c r="I1560" s="16"/>
      <c r="J1560" s="35"/>
      <c r="K1560" s="87"/>
      <c r="L1560" s="89"/>
      <c r="M1560" s="89"/>
      <c r="N1560" s="89"/>
    </row>
    <row r="1561" customHeight="1" ht="14.0">
      <c r="A1561" s="32"/>
      <c r="B1561" s="64"/>
      <c r="C1561" s="22"/>
      <c r="D1561" s="33"/>
      <c r="E1561" s="34"/>
      <c r="F1561" s="88"/>
      <c r="G1561" s="88"/>
      <c r="H1561" s="64"/>
      <c r="I1561" s="16"/>
      <c r="J1561" s="35"/>
      <c r="K1561" s="87"/>
      <c r="L1561" s="89"/>
      <c r="M1561" s="89"/>
      <c r="N1561" s="89"/>
    </row>
    <row r="1562" customHeight="1" ht="14.0">
      <c r="A1562" s="32"/>
      <c r="B1562" s="64"/>
      <c r="C1562" s="22"/>
      <c r="D1562" s="33"/>
      <c r="E1562" s="34"/>
      <c r="F1562" s="88"/>
      <c r="G1562" s="88"/>
      <c r="H1562" s="64"/>
      <c r="I1562" s="16"/>
      <c r="J1562" s="35"/>
      <c r="K1562" s="87"/>
      <c r="L1562" s="89"/>
      <c r="M1562" s="89"/>
      <c r="N1562" s="89"/>
    </row>
    <row r="1563" customHeight="1" ht="14.0">
      <c r="A1563" s="32"/>
      <c r="B1563" s="64"/>
      <c r="C1563" s="22"/>
      <c r="D1563" s="33"/>
      <c r="E1563" s="34"/>
      <c r="F1563" s="88"/>
      <c r="G1563" s="88"/>
      <c r="H1563" s="64"/>
      <c r="I1563" s="16"/>
      <c r="J1563" s="35"/>
      <c r="K1563" s="87"/>
      <c r="L1563" s="89"/>
      <c r="M1563" s="89"/>
      <c r="N1563" s="89"/>
    </row>
    <row r="1564" customHeight="1" ht="14.0">
      <c r="A1564" s="32"/>
      <c r="B1564" s="64"/>
      <c r="C1564" s="22"/>
      <c r="D1564" s="33"/>
      <c r="E1564" s="34"/>
      <c r="F1564" s="88"/>
      <c r="G1564" s="88"/>
      <c r="H1564" s="64"/>
      <c r="I1564" s="16"/>
      <c r="J1564" s="35"/>
      <c r="K1564" s="87"/>
      <c r="L1564" s="89"/>
      <c r="M1564" s="89"/>
      <c r="N1564" s="89"/>
    </row>
    <row r="1565" customHeight="1" ht="14.0">
      <c r="A1565" s="32"/>
      <c r="B1565" s="64"/>
      <c r="C1565" s="22"/>
      <c r="D1565" s="33"/>
      <c r="E1565" s="34"/>
      <c r="F1565" s="88"/>
      <c r="G1565" s="88"/>
      <c r="H1565" s="64"/>
      <c r="I1565" s="16"/>
      <c r="J1565" s="35"/>
      <c r="K1565" s="87"/>
      <c r="L1565" s="89"/>
      <c r="M1565" s="89"/>
      <c r="N1565" s="89"/>
    </row>
    <row r="1566" customHeight="1" ht="14.0">
      <c r="A1566" s="32"/>
      <c r="B1566" s="64"/>
      <c r="C1566" s="22"/>
      <c r="D1566" s="33"/>
      <c r="E1566" s="34"/>
      <c r="F1566" s="88"/>
      <c r="G1566" s="88"/>
      <c r="H1566" s="64"/>
      <c r="I1566" s="16"/>
      <c r="J1566" s="35"/>
      <c r="K1566" s="87"/>
      <c r="L1566" s="89"/>
      <c r="M1566" s="89"/>
      <c r="N1566" s="89"/>
    </row>
    <row r="1567" customHeight="1" ht="14.0">
      <c r="A1567" s="32"/>
      <c r="B1567" s="64"/>
      <c r="C1567" s="22"/>
      <c r="D1567" s="33"/>
      <c r="E1567" s="34"/>
      <c r="F1567" s="88"/>
      <c r="G1567" s="88"/>
      <c r="H1567" s="64"/>
      <c r="I1567" s="16"/>
      <c r="J1567" s="35"/>
      <c r="K1567" s="87"/>
      <c r="L1567" s="89"/>
      <c r="M1567" s="89"/>
      <c r="N1567" s="89"/>
    </row>
    <row r="1568" customHeight="1" ht="14.0">
      <c r="A1568" s="32"/>
      <c r="B1568" s="64"/>
      <c r="C1568" s="22"/>
      <c r="D1568" s="33"/>
      <c r="E1568" s="34"/>
      <c r="F1568" s="88"/>
      <c r="G1568" s="88"/>
      <c r="H1568" s="64"/>
      <c r="I1568" s="16"/>
      <c r="J1568" s="35"/>
      <c r="K1568" s="87"/>
      <c r="L1568" s="89"/>
      <c r="M1568" s="89"/>
      <c r="N1568" s="89"/>
    </row>
    <row r="1569" customHeight="1" ht="14.0">
      <c r="A1569" s="32"/>
      <c r="B1569" s="64"/>
      <c r="C1569" s="22"/>
      <c r="D1569" s="33"/>
      <c r="E1569" s="34"/>
      <c r="F1569" s="88"/>
      <c r="G1569" s="88"/>
      <c r="H1569" s="64"/>
      <c r="I1569" s="16"/>
      <c r="J1569" s="35"/>
      <c r="K1569" s="87"/>
      <c r="L1569" s="89"/>
      <c r="M1569" s="89"/>
      <c r="N1569" s="89"/>
    </row>
    <row r="1570" customHeight="1" ht="14.0">
      <c r="A1570" s="32"/>
      <c r="B1570" s="64"/>
      <c r="C1570" s="22"/>
      <c r="D1570" s="33"/>
      <c r="E1570" s="34"/>
      <c r="F1570" s="88"/>
      <c r="G1570" s="88"/>
      <c r="H1570" s="64"/>
      <c r="I1570" s="16"/>
      <c r="J1570" s="35"/>
      <c r="K1570" s="87"/>
      <c r="L1570" s="89"/>
      <c r="M1570" s="89"/>
      <c r="N1570" s="89"/>
    </row>
    <row r="131014" customHeight="1" ht="14.0">
      <c r="A131014" s="32"/>
      <c r="B131014" s="64"/>
      <c r="C131014" s="22"/>
      <c r="D131014" s="33"/>
      <c r="E131014" s="34"/>
      <c r="F131014" s="88"/>
      <c r="G131014" s="88"/>
      <c r="H131014" s="64"/>
      <c r="I131014" s="16"/>
      <c r="J131014" s="35"/>
      <c r="K131014" s="87"/>
      <c r="L131014" s="89"/>
      <c r="M131014" s="89"/>
      <c r="N131014" s="89"/>
    </row>
    <row r="262095" customHeight="1" ht="14.0">
      <c r="A262095" s="32"/>
      <c r="B262095" s="64"/>
      <c r="C262095" s="22"/>
      <c r="D262095" s="33"/>
      <c r="E262095" s="34"/>
      <c r="F262095" s="88"/>
      <c r="G262095" s="88"/>
      <c r="H262095" s="64"/>
      <c r="I262095" s="16"/>
      <c r="J262095" s="35"/>
      <c r="K262095" s="87"/>
      <c r="L262095" s="89"/>
      <c r="M262095" s="89"/>
      <c r="N262095" s="89"/>
    </row>
    <row r="262096" customHeight="1" ht="14.0">
      <c r="A262096" s="32"/>
      <c r="B262096" s="64"/>
      <c r="C262096" s="22"/>
      <c r="D262096" s="33"/>
      <c r="E262096" s="34"/>
      <c r="F262096" s="88"/>
      <c r="G262096" s="88"/>
      <c r="H262096" s="64"/>
      <c r="I262096" s="16"/>
      <c r="J262096" s="35"/>
      <c r="K262096" s="87"/>
      <c r="L262096" s="89"/>
      <c r="M262096" s="89"/>
      <c r="N262096" s="89"/>
    </row>
    <row r="262097" customHeight="1" ht="14.0">
      <c r="A262097" s="32"/>
      <c r="B262097" s="64"/>
      <c r="C262097" s="22"/>
      <c r="D262097" s="33"/>
      <c r="E262097" s="34"/>
      <c r="F262097" s="88"/>
      <c r="G262097" s="88"/>
      <c r="H262097" s="64"/>
      <c r="I262097" s="16"/>
      <c r="J262097" s="35"/>
      <c r="K262097" s="87"/>
      <c r="L262097" s="89"/>
      <c r="M262097" s="89"/>
      <c r="N262097" s="89"/>
    </row>
    <row r="262098" customHeight="1" ht="14.0">
      <c r="A262098" s="32"/>
      <c r="B262098" s="64"/>
      <c r="C262098" s="22"/>
      <c r="D262098" s="33"/>
      <c r="E262098" s="34"/>
      <c r="F262098" s="88"/>
      <c r="G262098" s="88"/>
      <c r="H262098" s="64"/>
      <c r="I262098" s="16"/>
      <c r="J262098" s="35"/>
      <c r="K262098" s="87"/>
      <c r="L262098" s="89"/>
      <c r="M262098" s="89"/>
      <c r="N262098" s="89"/>
    </row>
    <row r="262099" customHeight="1" ht="14.0">
      <c r="A262099" s="32"/>
      <c r="B262099" s="64"/>
      <c r="C262099" s="22"/>
      <c r="D262099" s="33"/>
      <c r="E262099" s="34"/>
      <c r="F262099" s="88"/>
      <c r="G262099" s="88"/>
      <c r="H262099" s="64"/>
      <c r="I262099" s="16"/>
      <c r="J262099" s="35"/>
      <c r="K262099" s="87"/>
      <c r="L262099" s="89"/>
      <c r="M262099" s="89"/>
      <c r="N262099" s="89"/>
    </row>
    <row r="262100" customHeight="1" ht="14.0">
      <c r="A262100" s="32"/>
      <c r="B262100" s="64"/>
      <c r="C262100" s="22"/>
      <c r="D262100" s="33"/>
      <c r="E262100" s="34"/>
      <c r="F262100" s="88"/>
      <c r="G262100" s="88"/>
      <c r="H262100" s="64"/>
      <c r="I262100" s="16"/>
      <c r="J262100" s="35"/>
      <c r="K262100" s="87"/>
      <c r="L262100" s="89"/>
      <c r="M262100" s="89"/>
      <c r="N262100" s="89"/>
    </row>
    <row r="262101" customHeight="1" ht="14.0">
      <c r="A262101" s="32"/>
      <c r="B262101" s="64"/>
      <c r="C262101" s="22"/>
      <c r="D262101" s="33"/>
      <c r="E262101" s="34"/>
      <c r="F262101" s="88"/>
      <c r="G262101" s="88"/>
      <c r="H262101" s="64"/>
      <c r="I262101" s="16"/>
      <c r="J262101" s="35"/>
      <c r="K262101" s="87"/>
      <c r="L262101" s="89"/>
      <c r="M262101" s="89"/>
      <c r="N262101" s="89"/>
    </row>
    <row r="262102" customHeight="1" ht="14.0">
      <c r="A262102" s="32"/>
      <c r="B262102" s="64"/>
      <c r="C262102" s="22"/>
      <c r="D262102" s="33"/>
      <c r="E262102" s="34"/>
      <c r="F262102" s="88"/>
      <c r="G262102" s="88"/>
      <c r="H262102" s="64"/>
      <c r="I262102" s="16"/>
      <c r="J262102" s="35"/>
      <c r="K262102" s="87"/>
      <c r="L262102" s="89"/>
      <c r="M262102" s="89"/>
      <c r="N262102" s="89"/>
    </row>
  </sheetData>
  <conditionalFormatting sqref="F159:G160">
    <cfRule dxfId="0" type="expression" priority="1">
      <formula>COUNTIF('Zepto Payment track'!$F$159:$G$160,'Zepto Payment track'!F159)&gt;1</formula>
    </cfRule>
  </conditionalFormatting>
  <conditionalFormatting sqref="B104:B107">
    <cfRule dxfId="0" type="expression" priority="2">
      <formula>COUNTIF('Zepto Payment track'!$B$104:$B$107,'Zepto Payment track'!B104)&gt;1</formula>
    </cfRule>
  </conditionalFormatting>
  <conditionalFormatting sqref="A112:A116">
    <cfRule dxfId="0" type="expression" priority="3">
      <formula>COUNTIF('Zepto Payment track'!$A$112:$A$116,'Zepto Payment track'!A112)&gt;1</formula>
    </cfRule>
  </conditionalFormatting>
  <conditionalFormatting sqref="F139:G142">
    <cfRule dxfId="0" type="expression" priority="4">
      <formula>COUNTIF('Zepto Payment track'!$F$139:$G$142,'Zepto Payment track'!F139)&gt;1</formula>
    </cfRule>
  </conditionalFormatting>
  <conditionalFormatting sqref="F137:G137 F139:G144">
    <cfRule dxfId="0" type="expression" priority="5">
      <formula>COUNTIF('Zepto Payment track'!$F$137:$G$137~'Zepto Payment track'!$F$139:$G$144,'Zepto Payment track'!F137)&gt;1</formula>
    </cfRule>
  </conditionalFormatting>
  <conditionalFormatting sqref="F135:G136">
    <cfRule dxfId="0" type="expression" priority="6">
      <formula>COUNTIF('Zepto Payment track'!$F$135:$G$136,'Zepto Payment track'!F135)&gt;1</formula>
    </cfRule>
  </conditionalFormatting>
  <conditionalFormatting sqref="F131:G134">
    <cfRule dxfId="0" type="expression" priority="7">
      <formula>COUNTIF('Zepto Payment track'!$F$131:$G$134,'Zepto Payment track'!F131)&gt;1</formula>
    </cfRule>
  </conditionalFormatting>
  <conditionalFormatting sqref="F154:G156">
    <cfRule dxfId="0" type="expression" priority="8">
      <formula>COUNTIF('Zepto Payment track'!$F$154:$G$156,'Zepto Payment track'!F154)&gt;1</formula>
    </cfRule>
  </conditionalFormatting>
  <conditionalFormatting sqref="F149:G150">
    <cfRule dxfId="0" type="expression" priority="9">
      <formula>COUNTIF('Zepto Payment track'!$F$149:$G$150,'Zepto Payment track'!F149)&gt;1</formula>
    </cfRule>
  </conditionalFormatting>
  <conditionalFormatting sqref="J1:J604 J608:J614 J616:J621 J623:J624 J625:K625 J626:J633 J635:J684 J686:J688 J690:J703 J705:J707 J709:J711 J713:J714 J717:J717 J1457:J262102 J720:J1431">
    <cfRule dxfId="1" operator="containsText" type="containsText" priority="10" text="Overdue">
      <formula>NOT(ISERROR(SEARCH("Overdue",J1)))</formula>
    </cfRule>
  </conditionalFormatting>
  <conditionalFormatting sqref="J1:J604 J608:J614 J616:J621 J623:J624 J625:K625 J626:J633 J635:J684 J686:J688 J690:J703 J705:J707 J709:J711 J713:J714 J717:J717 J1457:J262102 J720:J1431">
    <cfRule dxfId="2" operator="containsText" type="containsText" priority="11" text="Paid">
      <formula>NOT(ISERROR(SEARCH("Paid",J1)))</formula>
    </cfRule>
  </conditionalFormatting>
  <conditionalFormatting sqref="J1:J604 J608:J614 J616:J621 J623:J624 J625:K625 J626:J633 J635:J684 J686:J688 J690:J703 J705:J707 J709:J711 J713:J714 J717:J717 J1457:J262102 J720:J1431">
    <cfRule dxfId="3" operator="containsText" type="containsText" priority="12" text="Pending">
      <formula>NOT(ISERROR(SEARCH("Pending",J1)))</formula>
    </cfRule>
  </conditionalFormatting>
  <conditionalFormatting sqref="F157:G158">
    <cfRule dxfId="0" type="expression" priority="13">
      <formula>COUNTIF('Zepto Payment track'!$F$157:$G$158,'Zepto Payment track'!F157)&gt;1</formula>
    </cfRule>
  </conditionalFormatting>
  <conditionalFormatting sqref="F161:G163">
    <cfRule dxfId="0" type="expression" priority="14">
      <formula>COUNTIF('Zepto Payment track'!$F$161:$G$163,'Zepto Payment track'!F161)&gt;1</formula>
    </cfRule>
  </conditionalFormatting>
  <conditionalFormatting sqref="F168:G169">
    <cfRule dxfId="0" type="expression" priority="15">
      <formula>COUNTIF('Zepto Payment track'!$F$168:$G$169,'Zepto Payment track'!F168)&gt;1</formula>
    </cfRule>
  </conditionalFormatting>
  <conditionalFormatting sqref="F166:G167">
    <cfRule dxfId="0" type="expression" priority="16">
      <formula>COUNTIF('Zepto Payment track'!$F$166:$G$167,'Zepto Payment track'!F166)&gt;1</formula>
    </cfRule>
  </conditionalFormatting>
  <conditionalFormatting sqref="F164:G165">
    <cfRule dxfId="0" type="expression" priority="17">
      <formula>COUNTIF('Zepto Payment track'!$F$164:$G$165,'Zepto Payment track'!F164)&gt;1</formula>
    </cfRule>
  </conditionalFormatting>
  <conditionalFormatting sqref="F170:G178">
    <cfRule dxfId="0" type="expression" priority="18">
      <formula>COUNTIF('Zepto Payment track'!$F$170:$G$178,'Zepto Payment track'!F170)&gt;1</formula>
    </cfRule>
  </conditionalFormatting>
  <conditionalFormatting sqref="A1:A118 A1457:A131014">
    <cfRule dxfId="1" type="expression" priority="19">
      <formula>COUNTIF('Zepto Payment track'!$A$1:$A$118~'Zepto Payment track'!$A$220:$A$131014,'Zepto Payment track'!A1)&gt;1</formula>
    </cfRule>
  </conditionalFormatting>
  <conditionalFormatting sqref="D1:D83 D152:D157">
    <cfRule dxfId="1" type="expression" priority="20">
      <formula>COUNTIF('Zepto Payment track'!$D$1:$D$157,'Zepto Payment track'!D1)&gt;1</formula>
    </cfRule>
  </conditionalFormatting>
  <conditionalFormatting sqref="D161:D162">
    <cfRule dxfId="1" type="expression" priority="21">
      <formula>COUNTIF('Zepto Payment track'!$D$161:$D$162,'Zepto Payment track'!D161)&gt;1</formula>
    </cfRule>
  </conditionalFormatting>
  <conditionalFormatting sqref="D174:D178">
    <cfRule dxfId="1" type="expression" priority="22">
      <formula>COUNTIF('Zepto Payment track'!$D$174:$D$178,'Zepto Payment track'!D174)&gt;1</formula>
    </cfRule>
  </conditionalFormatting>
  <conditionalFormatting sqref="D392:D392 D1457:D262095">
    <cfRule dxfId="1" type="expression" priority="23">
      <formula>COUNTIF('Zepto Payment track'!$D$222:$D$262095,'Zepto Payment track'!D392)&gt;1</formula>
    </cfRule>
  </conditionalFormatting>
  <conditionalFormatting sqref="D229:D239">
    <cfRule dxfId="1" type="expression" priority="24">
      <formula>COUNTIF('Zepto Payment track'!$D$222:$D$262095,'Zepto Payment track'!D229)&gt;1</formula>
    </cfRule>
  </conditionalFormatting>
  <conditionalFormatting sqref="D240:D249">
    <cfRule dxfId="1" type="expression" priority="25">
      <formula>COUNTIF('Zepto Payment track'!$D$222:$D$262095,'Zepto Payment track'!D240)&gt;1</formula>
    </cfRule>
  </conditionalFormatting>
  <conditionalFormatting sqref="D250:D258">
    <cfRule dxfId="1" type="expression" priority="26">
      <formula>COUNTIF('Zepto Payment track'!$D$222:$D$262095,'Zepto Payment track'!D250)&gt;1</formula>
    </cfRule>
  </conditionalFormatting>
  <conditionalFormatting sqref="D259:D264">
    <cfRule dxfId="1" type="expression" priority="27">
      <formula>COUNTIF('Zepto Payment track'!$D$222:$D$262095,'Zepto Payment track'!D259)&gt;1</formula>
    </cfRule>
  </conditionalFormatting>
  <conditionalFormatting sqref="D265:D268">
    <cfRule dxfId="1" type="expression" priority="28">
      <formula>COUNTIF('Zepto Payment track'!$D$222:$D$262095,'Zepto Payment track'!D265)&gt;1</formula>
    </cfRule>
  </conditionalFormatting>
  <conditionalFormatting sqref="D269:D292">
    <cfRule dxfId="1" type="expression" priority="29">
      <formula>COUNTIF('Zepto Payment track'!$D$222:$D$262095,'Zepto Payment track'!D269)&gt;1</formula>
    </cfRule>
  </conditionalFormatting>
  <conditionalFormatting sqref="D293:D299">
    <cfRule dxfId="1" type="expression" priority="30">
      <formula>COUNTIF('Zepto Payment track'!$D$222:$D$262095,'Zepto Payment track'!D293)&gt;1</formula>
    </cfRule>
  </conditionalFormatting>
  <conditionalFormatting sqref="D300:D313">
    <cfRule dxfId="1" type="expression" priority="31">
      <formula>COUNTIF('Zepto Payment track'!$D$222:$D$262095,'Zepto Payment track'!D300)&gt;1</formula>
    </cfRule>
  </conditionalFormatting>
  <conditionalFormatting sqref="D314:D328">
    <cfRule dxfId="1" type="expression" priority="32">
      <formula>COUNTIF('Zepto Payment track'!$D$222:$D$262095,'Zepto Payment track'!D314)&gt;1</formula>
    </cfRule>
  </conditionalFormatting>
  <conditionalFormatting sqref="D393:D403">
    <cfRule dxfId="1" type="expression" priority="33">
      <formula>COUNTIF('Zepto Payment track'!$D$222:$D$262095,'Zepto Payment track'!D393)&gt;1</formula>
    </cfRule>
  </conditionalFormatting>
  <conditionalFormatting sqref="D404:D411">
    <cfRule dxfId="1" type="expression" priority="34">
      <formula>COUNTIF('Zepto Payment track'!$D$222:$D$262095,'Zepto Payment track'!D404)&gt;1</formula>
    </cfRule>
  </conditionalFormatting>
  <conditionalFormatting sqref="D434:D436">
    <cfRule dxfId="1" type="expression" priority="35">
      <formula>COUNTIF('Zepto Payment track'!$D$222:$D$262095,'Zepto Payment track'!D434)&gt;1</formula>
    </cfRule>
  </conditionalFormatting>
  <conditionalFormatting sqref="D413:D433">
    <cfRule dxfId="1" type="expression" priority="36">
      <formula>COUNTIF('Zepto Payment track'!$D$222:$D$262095,'Zepto Payment track'!D413)&gt;1</formula>
    </cfRule>
  </conditionalFormatting>
  <conditionalFormatting sqref="D445:D445 D447:D447">
    <cfRule dxfId="1" type="expression" priority="37">
      <formula>COUNTIF('Zepto Payment track'!$D$222:$D$262095,#REF!)&gt;1</formula>
    </cfRule>
  </conditionalFormatting>
  <conditionalFormatting sqref="J685:J685">
    <cfRule dxfId="1" operator="containsText" type="containsText" priority="38" text="Overdue">
      <formula>NOT(ISERROR(SEARCH("Overdue",J685)))</formula>
    </cfRule>
  </conditionalFormatting>
  <conditionalFormatting sqref="J685:J685">
    <cfRule dxfId="2" operator="containsText" type="containsText" priority="39" text="Paid">
      <formula>NOT(ISERROR(SEARCH("Paid",J685)))</formula>
    </cfRule>
  </conditionalFormatting>
  <conditionalFormatting sqref="J685:J685">
    <cfRule dxfId="3" operator="containsText" type="containsText" priority="40" text="Pending">
      <formula>NOT(ISERROR(SEARCH("Pending",J685)))</formula>
    </cfRule>
  </conditionalFormatting>
  <conditionalFormatting sqref="J704:J704">
    <cfRule dxfId="1" operator="containsText" type="containsText" priority="41" text="Overdue">
      <formula>NOT(ISERROR(SEARCH("Overdue",J704)))</formula>
    </cfRule>
  </conditionalFormatting>
  <conditionalFormatting sqref="J704:J704">
    <cfRule dxfId="2" operator="containsText" type="containsText" priority="42" text="Paid">
      <formula>NOT(ISERROR(SEARCH("Paid",J704)))</formula>
    </cfRule>
  </conditionalFormatting>
  <conditionalFormatting sqref="J704:J704">
    <cfRule dxfId="3" operator="containsText" type="containsText" priority="43" text="Pending">
      <formula>NOT(ISERROR(SEARCH("Pending",J704)))</formula>
    </cfRule>
  </conditionalFormatting>
  <conditionalFormatting sqref="J719:J719">
    <cfRule dxfId="1" operator="containsText" type="containsText" priority="44" text="Overdue">
      <formula>NOT(ISERROR(SEARCH("Overdue",J719)))</formula>
    </cfRule>
  </conditionalFormatting>
  <conditionalFormatting sqref="J719:J719">
    <cfRule dxfId="2" operator="containsText" type="containsText" priority="45" text="Paid">
      <formula>NOT(ISERROR(SEARCH("Paid",J719)))</formula>
    </cfRule>
  </conditionalFormatting>
  <conditionalFormatting sqref="J719:J719">
    <cfRule dxfId="3" operator="containsText" type="containsText" priority="46" text="Pending">
      <formula>NOT(ISERROR(SEARCH("Pending",J719)))</formula>
    </cfRule>
  </conditionalFormatting>
  <conditionalFormatting sqref="J715:J715">
    <cfRule dxfId="1" operator="containsText" type="containsText" priority="47" text="Overdue">
      <formula>NOT(ISERROR(SEARCH("Overdue",J715)))</formula>
    </cfRule>
  </conditionalFormatting>
  <conditionalFormatting sqref="J715:J715">
    <cfRule dxfId="2" operator="containsText" type="containsText" priority="48" text="Paid">
      <formula>NOT(ISERROR(SEARCH("Paid",J715)))</formula>
    </cfRule>
  </conditionalFormatting>
  <conditionalFormatting sqref="J715:J715">
    <cfRule dxfId="3" operator="containsText" type="containsText" priority="49" text="Pending">
      <formula>NOT(ISERROR(SEARCH("Pending",J715)))</formula>
    </cfRule>
  </conditionalFormatting>
  <conditionalFormatting sqref="J716:J716">
    <cfRule dxfId="1" operator="containsText" type="containsText" priority="50" text="Overdue">
      <formula>NOT(ISERROR(SEARCH("Overdue",J716)))</formula>
    </cfRule>
  </conditionalFormatting>
  <conditionalFormatting sqref="J716:J716">
    <cfRule dxfId="2" operator="containsText" type="containsText" priority="51" text="Paid">
      <formula>NOT(ISERROR(SEARCH("Paid",J716)))</formula>
    </cfRule>
  </conditionalFormatting>
  <conditionalFormatting sqref="J716:J716">
    <cfRule dxfId="3" operator="containsText" type="containsText" priority="52" text="Pending">
      <formula>NOT(ISERROR(SEARCH("Pending",J716)))</formula>
    </cfRule>
  </conditionalFormatting>
  <conditionalFormatting sqref="J634:J634">
    <cfRule dxfId="1" operator="containsText" type="containsText" priority="53" text="Overdue">
      <formula>NOT(ISERROR(SEARCH("Overdue",J634)))</formula>
    </cfRule>
  </conditionalFormatting>
  <conditionalFormatting sqref="J634:J634">
    <cfRule dxfId="2" operator="containsText" type="containsText" priority="54" text="Paid">
      <formula>NOT(ISERROR(SEARCH("Paid",J634)))</formula>
    </cfRule>
  </conditionalFormatting>
  <conditionalFormatting sqref="J634:J634">
    <cfRule dxfId="3" operator="containsText" type="containsText" priority="55" text="Pending">
      <formula>NOT(ISERROR(SEARCH("Pending",J634)))</formula>
    </cfRule>
  </conditionalFormatting>
  <hyperlinks>
    <hyperlink ref="L634" r:id="rId1"/>
  </hyperlin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12"/>
  <sheetViews>
    <sheetView workbookViewId="0"/>
  </sheetViews>
  <sheetFormatPr defaultRowHeight="15.0" customHeight="1"/>
  <cols>
    <col min="1" max="1" width="13.24"/>
    <col min="2" max="2" width="17.22"/>
    <col min="3" max="3" width="19.47"/>
    <col min="4" max="4" width="16.82"/>
    <col min="5" max="5" width="17.62"/>
    <col min="6" max="1025" width="10.86"/>
  </cols>
  <sheetData>
    <row r="3" customHeight="1" ht="15.0"/>
    <row r="4" customHeight="1" ht="15.0"/>
    <row r="5" customHeight="1" ht="15.0"/>
    <row r="6" customHeight="1" ht="15.0"/>
    <row r="7" customHeight="1" ht="15.0"/>
    <row r="8" customHeight="1" ht="15.0"/>
    <row r="9" customHeight="1" ht="15.0"/>
    <row r="10" customHeight="1" ht="15.0"/>
    <row r="11" customHeight="1" ht="15.0"/>
    <row r="12" customHeight="1" ht="15.0"/>
    <row r="13" customHeight="1" ht="15.0">
      <c r="A13" s="157"/>
      <c r="B13" s="157"/>
      <c r="C13" s="157"/>
      <c r="D13" s="157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10"/>
  <sheetViews>
    <sheetView workbookViewId="0"/>
  </sheetViews>
  <sheetFormatPr defaultRowHeight="14.0" customHeight="1"/>
  <cols>
    <col min="1" max="1" width="10.59"/>
    <col min="2" max="2" width="14.57"/>
    <col min="3" max="3" width="19.21"/>
    <col min="4" max="1020" width="10.59"/>
  </cols>
  <sheetData>
    <row r="1" ht="14.0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5" t="s">
        <v>12</v>
      </c>
    </row>
    <row r="2" ht="14.0">
      <c r="A2" s="32" t="s">
        <v>4403</v>
      </c>
      <c r="B2" s="22" t="s">
        <v>4404</v>
      </c>
      <c r="C2" s="22" t="s">
        <v>58</v>
      </c>
      <c r="D2" s="33">
        <v>1518.0</v>
      </c>
      <c r="E2" s="34"/>
      <c r="F2" s="22"/>
      <c r="G2" s="22">
        <v>2.64601774E8</v>
      </c>
      <c r="H2" s="22"/>
      <c r="I2" s="158"/>
    </row>
    <row r="3" ht="14.0">
      <c r="A3" s="32" t="s">
        <v>4405</v>
      </c>
      <c r="B3" s="22" t="s">
        <v>4406</v>
      </c>
      <c r="C3" s="22" t="s">
        <v>39</v>
      </c>
      <c r="D3" s="33">
        <v>184.0</v>
      </c>
      <c r="E3" s="34"/>
      <c r="F3" s="22"/>
      <c r="G3" s="22">
        <v>2.6460184E8</v>
      </c>
      <c r="H3" s="168">
        <v>12181.0</v>
      </c>
      <c r="I3" s="2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0">
      <c r="A4" s="32" t="s">
        <v>4407</v>
      </c>
      <c r="B4" s="22" t="s">
        <v>4408</v>
      </c>
      <c r="C4" s="22" t="s">
        <v>39</v>
      </c>
      <c r="D4" s="33">
        <v>179.0</v>
      </c>
      <c r="E4" s="34"/>
      <c r="F4" s="22"/>
      <c r="G4" s="22">
        <v>2.6460184E8</v>
      </c>
      <c r="H4" s="168">
        <v>12389.0</v>
      </c>
      <c r="I4" s="2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0">
      <c r="A5" s="32" t="s">
        <v>4409</v>
      </c>
      <c r="B5" s="22" t="s">
        <v>4410</v>
      </c>
      <c r="C5" s="22" t="s">
        <v>39</v>
      </c>
      <c r="D5" s="33">
        <v>194.0</v>
      </c>
      <c r="E5" s="34"/>
      <c r="F5" s="22"/>
      <c r="G5" s="22">
        <v>2.6460184E8</v>
      </c>
      <c r="H5" s="168">
        <v>12408.5</v>
      </c>
      <c r="I5" s="2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14.0">
      <c r="A6" s="32" t="s">
        <v>4411</v>
      </c>
      <c r="B6" s="22" t="s">
        <v>4412</v>
      </c>
      <c r="C6" s="22" t="s">
        <v>39</v>
      </c>
      <c r="D6" s="33">
        <v>268.0</v>
      </c>
      <c r="E6" s="34"/>
      <c r="F6" s="22"/>
      <c r="G6" s="22">
        <v>2.6460184E8</v>
      </c>
      <c r="H6" s="168">
        <v>17173.0</v>
      </c>
      <c r="I6" s="6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ht="14.0">
      <c r="A7" s="72" t="s">
        <v>441</v>
      </c>
      <c r="B7" s="73" t="s">
        <v>4413</v>
      </c>
      <c r="C7" s="73" t="s">
        <v>58</v>
      </c>
      <c r="D7" s="74">
        <v>349.0</v>
      </c>
      <c r="E7" s="75"/>
      <c r="F7" s="73"/>
      <c r="G7" s="73">
        <v>2.64601842E8</v>
      </c>
      <c r="H7" s="80"/>
      <c r="I7" s="16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ht="14.0">
      <c r="A8" s="32" t="s">
        <v>444</v>
      </c>
      <c r="B8" s="22" t="s">
        <v>4414</v>
      </c>
      <c r="C8" s="22" t="s">
        <v>20</v>
      </c>
      <c r="D8" s="33">
        <v>396.0</v>
      </c>
      <c r="E8" s="34"/>
      <c r="F8" s="22"/>
      <c r="G8" s="22">
        <v>2.64601838E8</v>
      </c>
      <c r="H8" s="37"/>
      <c r="I8" s="16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ht="14.0">
      <c r="A9" s="32" t="s">
        <v>4415</v>
      </c>
      <c r="B9" s="22" t="s">
        <v>4416</v>
      </c>
      <c r="C9" s="22" t="s">
        <v>247</v>
      </c>
      <c r="D9" s="33">
        <v>93.0</v>
      </c>
      <c r="E9" s="34"/>
      <c r="F9" s="22"/>
      <c r="G9" s="22"/>
      <c r="H9" s="37"/>
      <c r="I9" s="16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ht="14.0">
      <c r="A10" s="32" t="s">
        <v>4417</v>
      </c>
      <c r="B10" s="22" t="s">
        <v>4418</v>
      </c>
      <c r="C10" s="22" t="s">
        <v>247</v>
      </c>
      <c r="D10" s="33"/>
      <c r="E10" s="34"/>
      <c r="F10" s="53"/>
      <c r="G10" s="53" t="s">
        <v>4419</v>
      </c>
      <c r="H10" s="22"/>
      <c r="I10" s="22" t="s">
        <v>4420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</sheetData>
  <conditionalFormatting sqref="F3:G6">
    <cfRule dxfId="0" type="expression" priority="1">
      <formula>COUNTIF('Zepto Payment track'!$F$154:$G$156,'Zepto Payment track'!F3)&gt;1</formula>
    </cfRule>
  </conditionalFormatting>
  <conditionalFormatting sqref="D3:D6">
    <cfRule dxfId="1" type="expression" priority="2">
      <formula>COUNTIF('Zepto Payment track'!$D$1:$D$157,'Zepto Payment track'!D3)&gt;1</formula>
    </cfRule>
  </conditionalFormatting>
  <conditionalFormatting sqref="F7:G9">
    <cfRule dxfId="0" type="expression" priority="3">
      <formula>COUNTIF('Zepto Payment track'!$F$154:$G$156,'Zepto Payment track'!F7)&gt;1</formula>
    </cfRule>
  </conditionalFormatting>
  <conditionalFormatting sqref="D7:D9">
    <cfRule dxfId="1" type="expression" priority="4">
      <formula>COUNTIF('Zepto Payment track'!$D$1:$D$157,'Zepto Payment track'!D7)&gt;1</formula>
    </cfRule>
  </conditionalFormatting>
  <conditionalFormatting sqref="F10:G10">
    <cfRule dxfId="0" type="expression" priority="5">
      <formula>COUNTIF('Zepto Payment track'!$F$131:$G$134,'Zepto Payment track'!F10)&gt;1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2026-07-02T11:19:00Z</dcterms:created>
</cp:coreProperties>
</file>