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3\Downloads\"/>
    </mc:Choice>
  </mc:AlternateContent>
  <bookViews>
    <workbookView xWindow="0" yWindow="0" windowWidth="20490" windowHeight="7005" activeTab="2"/>
  </bookViews>
  <sheets>
    <sheet name="List of Ledgers " sheetId="1" r:id="rId1"/>
    <sheet name="OD Acc" sheetId="2" r:id="rId2"/>
    <sheet name="OD acc Working" sheetId="3" r:id="rId3"/>
  </sheets>
  <calcPr calcId="162913"/>
</workbook>
</file>

<file path=xl/calcChain.xml><?xml version="1.0" encoding="utf-8"?>
<calcChain xmlns="http://schemas.openxmlformats.org/spreadsheetml/2006/main">
  <c r="C256" i="2" l="1"/>
  <c r="B256" i="2"/>
  <c r="A256" i="2"/>
  <c r="C255" i="2"/>
  <c r="B255" i="2"/>
  <c r="A255" i="2"/>
  <c r="C254" i="2"/>
  <c r="B254" i="2"/>
  <c r="A254" i="2"/>
  <c r="F253" i="2"/>
  <c r="C253" i="2"/>
  <c r="B253" i="2"/>
  <c r="A253" i="2"/>
  <c r="C252" i="2"/>
  <c r="B252" i="2"/>
  <c r="A252" i="2"/>
  <c r="F251" i="2"/>
  <c r="C251" i="2"/>
  <c r="B251" i="2"/>
  <c r="A251" i="2"/>
  <c r="C250" i="2"/>
  <c r="B250" i="2"/>
  <c r="A250" i="2"/>
  <c r="F249" i="2"/>
  <c r="C249" i="2"/>
  <c r="B249" i="2"/>
  <c r="A249" i="2"/>
  <c r="C248" i="2"/>
  <c r="B248" i="2"/>
  <c r="A248" i="2"/>
  <c r="F247" i="2"/>
  <c r="C247" i="2"/>
  <c r="B247" i="2"/>
  <c r="A247" i="2"/>
  <c r="F246" i="2"/>
  <c r="C246" i="2"/>
  <c r="B246" i="2"/>
  <c r="A246" i="2"/>
  <c r="F245" i="2"/>
  <c r="C245" i="2"/>
  <c r="B245" i="2"/>
  <c r="A245" i="2"/>
  <c r="C244" i="2"/>
  <c r="B244" i="2"/>
  <c r="A244" i="2"/>
  <c r="C243" i="2"/>
  <c r="B243" i="2"/>
  <c r="A243" i="2"/>
  <c r="F242" i="2"/>
  <c r="C242" i="2"/>
  <c r="B242" i="2"/>
  <c r="A242" i="2"/>
  <c r="C241" i="2"/>
  <c r="B241" i="2"/>
  <c r="A241" i="2"/>
  <c r="F240" i="2"/>
  <c r="C240" i="2"/>
  <c r="B240" i="2"/>
  <c r="A240" i="2"/>
  <c r="C239" i="2"/>
  <c r="B239" i="2"/>
  <c r="A239" i="2"/>
  <c r="F238" i="2"/>
  <c r="C238" i="2"/>
  <c r="B238" i="2"/>
  <c r="A238" i="2"/>
  <c r="C237" i="2"/>
  <c r="B237" i="2"/>
  <c r="A237" i="2"/>
  <c r="F236" i="2"/>
  <c r="C236" i="2"/>
  <c r="B236" i="2"/>
  <c r="A236" i="2"/>
  <c r="C235" i="2"/>
  <c r="B235" i="2"/>
  <c r="A235" i="2"/>
  <c r="F234" i="2"/>
  <c r="C234" i="2"/>
  <c r="B234" i="2"/>
  <c r="A234" i="2"/>
  <c r="C233" i="2"/>
  <c r="B233" i="2"/>
  <c r="A233" i="2"/>
  <c r="F232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F228" i="2"/>
  <c r="C228" i="2"/>
  <c r="B228" i="2"/>
  <c r="A228" i="2"/>
  <c r="C227" i="2"/>
  <c r="B227" i="2"/>
  <c r="A227" i="2"/>
  <c r="C226" i="2"/>
  <c r="B226" i="2"/>
  <c r="A226" i="2"/>
  <c r="F225" i="2"/>
  <c r="C225" i="2"/>
  <c r="B225" i="2"/>
  <c r="A225" i="2"/>
  <c r="C224" i="2"/>
  <c r="B224" i="2"/>
  <c r="A224" i="2"/>
  <c r="C223" i="2"/>
  <c r="B223" i="2"/>
  <c r="A223" i="2"/>
  <c r="F222" i="2"/>
  <c r="C222" i="2"/>
  <c r="B222" i="2"/>
  <c r="A222" i="2"/>
  <c r="F221" i="2"/>
  <c r="C221" i="2"/>
  <c r="B221" i="2"/>
  <c r="A221" i="2"/>
  <c r="C220" i="2"/>
  <c r="B220" i="2"/>
  <c r="A220" i="2"/>
  <c r="F219" i="2"/>
  <c r="C219" i="2"/>
  <c r="B219" i="2"/>
  <c r="A219" i="2"/>
  <c r="C218" i="2"/>
  <c r="B218" i="2"/>
  <c r="A218" i="2"/>
  <c r="C217" i="2"/>
  <c r="B217" i="2"/>
  <c r="A217" i="2"/>
  <c r="F216" i="2"/>
  <c r="C216" i="2"/>
  <c r="B216" i="2"/>
  <c r="A216" i="2"/>
  <c r="C215" i="2"/>
  <c r="B215" i="2"/>
  <c r="A215" i="2"/>
  <c r="F214" i="2"/>
  <c r="C214" i="2"/>
  <c r="B214" i="2"/>
  <c r="A214" i="2"/>
  <c r="C213" i="2"/>
  <c r="B213" i="2"/>
  <c r="A213" i="2"/>
  <c r="F212" i="2"/>
  <c r="C212" i="2"/>
  <c r="B212" i="2"/>
  <c r="A212" i="2"/>
  <c r="C211" i="2"/>
  <c r="B211" i="2"/>
  <c r="A211" i="2"/>
  <c r="F210" i="2"/>
  <c r="C210" i="2"/>
  <c r="B210" i="2"/>
  <c r="A210" i="2"/>
  <c r="C209" i="2"/>
  <c r="B209" i="2"/>
  <c r="A209" i="2"/>
  <c r="F208" i="2"/>
  <c r="C208" i="2"/>
  <c r="B208" i="2"/>
  <c r="A208" i="2"/>
  <c r="F207" i="2"/>
  <c r="C207" i="2"/>
  <c r="B207" i="2"/>
  <c r="A207" i="2"/>
  <c r="F206" i="2"/>
  <c r="C206" i="2"/>
  <c r="B206" i="2"/>
  <c r="A206" i="2"/>
  <c r="C205" i="2"/>
  <c r="B205" i="2"/>
  <c r="A205" i="2"/>
  <c r="F204" i="2"/>
  <c r="C204" i="2"/>
  <c r="B204" i="2"/>
  <c r="A204" i="2"/>
  <c r="C203" i="2"/>
  <c r="B203" i="2"/>
  <c r="A203" i="2"/>
  <c r="F202" i="2"/>
  <c r="C202" i="2"/>
  <c r="B202" i="2"/>
  <c r="A202" i="2"/>
  <c r="C201" i="2"/>
  <c r="B201" i="2"/>
  <c r="A201" i="2"/>
  <c r="F200" i="2"/>
  <c r="C200" i="2"/>
  <c r="B200" i="2"/>
  <c r="A200" i="2"/>
  <c r="C199" i="2"/>
  <c r="B199" i="2"/>
  <c r="A199" i="2"/>
  <c r="F198" i="2"/>
  <c r="C198" i="2"/>
  <c r="B198" i="2"/>
  <c r="A198" i="2"/>
  <c r="C197" i="2"/>
  <c r="B197" i="2"/>
  <c r="A197" i="2"/>
  <c r="F196" i="2"/>
  <c r="C196" i="2"/>
  <c r="B196" i="2"/>
  <c r="A196" i="2"/>
  <c r="C195" i="2"/>
  <c r="B195" i="2"/>
  <c r="A195" i="2"/>
  <c r="F194" i="2"/>
  <c r="C194" i="2"/>
  <c r="B194" i="2"/>
  <c r="A194" i="2"/>
  <c r="C193" i="2"/>
  <c r="B193" i="2"/>
  <c r="A193" i="2"/>
  <c r="F192" i="2"/>
  <c r="C192" i="2"/>
  <c r="B192" i="2"/>
  <c r="A192" i="2"/>
  <c r="C191" i="2"/>
  <c r="B191" i="2"/>
  <c r="A191" i="2"/>
  <c r="F190" i="2"/>
  <c r="C190" i="2"/>
  <c r="B190" i="2"/>
  <c r="A190" i="2"/>
  <c r="C189" i="2"/>
  <c r="B189" i="2"/>
  <c r="A189" i="2"/>
  <c r="F188" i="2"/>
  <c r="C188" i="2"/>
  <c r="B188" i="2"/>
  <c r="A188" i="2"/>
  <c r="C187" i="2"/>
  <c r="B187" i="2"/>
  <c r="A187" i="2"/>
  <c r="F186" i="2"/>
  <c r="C186" i="2"/>
  <c r="B186" i="2"/>
  <c r="A186" i="2"/>
  <c r="C185" i="2"/>
  <c r="B185" i="2"/>
  <c r="A185" i="2"/>
  <c r="C184" i="2"/>
  <c r="B184" i="2"/>
  <c r="A184" i="2"/>
  <c r="F183" i="2"/>
  <c r="C183" i="2"/>
  <c r="B183" i="2"/>
  <c r="A183" i="2"/>
  <c r="C182" i="2"/>
  <c r="B182" i="2"/>
  <c r="A182" i="2"/>
  <c r="C181" i="2"/>
  <c r="B181" i="2"/>
  <c r="A181" i="2"/>
  <c r="F180" i="2"/>
  <c r="C180" i="2"/>
  <c r="B180" i="2"/>
  <c r="A180" i="2"/>
  <c r="C179" i="2"/>
  <c r="B179" i="2"/>
  <c r="A179" i="2"/>
  <c r="F178" i="2"/>
  <c r="C178" i="2"/>
  <c r="B178" i="2"/>
  <c r="A178" i="2"/>
  <c r="C177" i="2"/>
  <c r="B177" i="2"/>
  <c r="A177" i="2"/>
  <c r="F176" i="2"/>
  <c r="C176" i="2"/>
  <c r="B176" i="2"/>
  <c r="A176" i="2"/>
  <c r="C175" i="2"/>
  <c r="B175" i="2"/>
  <c r="A175" i="2"/>
  <c r="F174" i="2"/>
  <c r="C174" i="2"/>
  <c r="B174" i="2"/>
  <c r="A174" i="2"/>
  <c r="C173" i="2"/>
  <c r="B173" i="2"/>
  <c r="A173" i="2"/>
  <c r="F172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F168" i="2"/>
  <c r="C168" i="2"/>
  <c r="B168" i="2"/>
  <c r="A168" i="2"/>
  <c r="C167" i="2"/>
  <c r="B167" i="2"/>
  <c r="A167" i="2"/>
  <c r="F166" i="2"/>
  <c r="C166" i="2"/>
  <c r="B166" i="2"/>
  <c r="A166" i="2"/>
  <c r="C165" i="2"/>
  <c r="B165" i="2"/>
  <c r="A165" i="2"/>
  <c r="F164" i="2"/>
  <c r="C164" i="2"/>
  <c r="B164" i="2"/>
  <c r="A164" i="2"/>
  <c r="C163" i="2"/>
  <c r="B163" i="2"/>
  <c r="A163" i="2"/>
  <c r="F162" i="2"/>
  <c r="C162" i="2"/>
  <c r="B162" i="2"/>
  <c r="A162" i="2"/>
  <c r="C161" i="2"/>
  <c r="B161" i="2"/>
  <c r="A161" i="2"/>
  <c r="F160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F156" i="2"/>
  <c r="C156" i="2"/>
  <c r="B156" i="2"/>
  <c r="A156" i="2"/>
  <c r="C155" i="2"/>
  <c r="B155" i="2"/>
  <c r="A155" i="2"/>
  <c r="F154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F149" i="2"/>
  <c r="C149" i="2"/>
  <c r="B149" i="2"/>
  <c r="A149" i="2"/>
  <c r="C148" i="2"/>
  <c r="B148" i="2"/>
  <c r="A148" i="2"/>
  <c r="F147" i="2"/>
  <c r="C147" i="2"/>
  <c r="B147" i="2"/>
  <c r="A147" i="2"/>
  <c r="C146" i="2"/>
  <c r="B146" i="2"/>
  <c r="A146" i="2"/>
  <c r="F145" i="2"/>
  <c r="C145" i="2"/>
  <c r="B145" i="2"/>
  <c r="A145" i="2"/>
  <c r="C144" i="2"/>
  <c r="B144" i="2"/>
  <c r="A144" i="2"/>
  <c r="F143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F139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F135" i="2"/>
  <c r="C135" i="2"/>
  <c r="B135" i="2"/>
  <c r="A135" i="2"/>
  <c r="C134" i="2"/>
  <c r="B134" i="2"/>
  <c r="A134" i="2"/>
  <c r="F133" i="2"/>
  <c r="C133" i="2"/>
  <c r="B133" i="2"/>
  <c r="A133" i="2"/>
  <c r="C132" i="2"/>
  <c r="B132" i="2"/>
  <c r="A132" i="2"/>
  <c r="F131" i="2"/>
  <c r="C131" i="2"/>
  <c r="B131" i="2"/>
  <c r="A131" i="2"/>
  <c r="C130" i="2"/>
  <c r="B130" i="2"/>
  <c r="A130" i="2"/>
  <c r="C129" i="2"/>
  <c r="B129" i="2"/>
  <c r="A129" i="2"/>
  <c r="F128" i="2"/>
  <c r="C128" i="2"/>
  <c r="B128" i="2"/>
  <c r="A128" i="2"/>
  <c r="C127" i="2"/>
  <c r="B127" i="2"/>
  <c r="A127" i="2"/>
  <c r="F126" i="2"/>
  <c r="C126" i="2"/>
  <c r="B126" i="2"/>
  <c r="A126" i="2"/>
  <c r="C125" i="2"/>
  <c r="B125" i="2"/>
  <c r="A125" i="2"/>
  <c r="F124" i="2"/>
  <c r="C124" i="2"/>
  <c r="B124" i="2"/>
  <c r="A124" i="2"/>
  <c r="C123" i="2"/>
  <c r="B123" i="2"/>
  <c r="A123" i="2"/>
  <c r="F122" i="2"/>
  <c r="C122" i="2"/>
  <c r="B122" i="2"/>
  <c r="A122" i="2"/>
  <c r="C121" i="2"/>
  <c r="B121" i="2"/>
  <c r="A121" i="2"/>
  <c r="F120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F116" i="2"/>
  <c r="C116" i="2"/>
  <c r="B116" i="2"/>
  <c r="A116" i="2"/>
  <c r="C115" i="2"/>
  <c r="B115" i="2"/>
  <c r="A115" i="2"/>
  <c r="C114" i="2"/>
  <c r="B114" i="2"/>
  <c r="A114" i="2"/>
  <c r="F113" i="2"/>
  <c r="C113" i="2"/>
  <c r="B113" i="2"/>
  <c r="A113" i="2"/>
  <c r="C112" i="2"/>
  <c r="B112" i="2"/>
  <c r="A112" i="2"/>
  <c r="F111" i="2"/>
  <c r="C111" i="2"/>
  <c r="B111" i="2"/>
  <c r="A111" i="2"/>
  <c r="C110" i="2"/>
  <c r="B110" i="2"/>
  <c r="A110" i="2"/>
  <c r="F109" i="2"/>
  <c r="C109" i="2"/>
  <c r="B109" i="2"/>
  <c r="A109" i="2"/>
  <c r="C108" i="2"/>
  <c r="B108" i="2"/>
  <c r="A108" i="2"/>
  <c r="C107" i="2"/>
  <c r="B107" i="2"/>
  <c r="A107" i="2"/>
  <c r="F106" i="2"/>
  <c r="C106" i="2"/>
  <c r="B106" i="2"/>
  <c r="A106" i="2"/>
  <c r="C105" i="2"/>
  <c r="B105" i="2"/>
  <c r="A105" i="2"/>
  <c r="G104" i="2"/>
  <c r="C104" i="2"/>
  <c r="B104" i="2"/>
  <c r="A104" i="2"/>
  <c r="F103" i="2"/>
  <c r="C103" i="2"/>
  <c r="B103" i="2"/>
  <c r="A103" i="2"/>
  <c r="C102" i="2"/>
  <c r="B102" i="2"/>
  <c r="A102" i="2"/>
  <c r="F101" i="2"/>
  <c r="C101" i="2"/>
  <c r="B101" i="2"/>
  <c r="A101" i="2"/>
  <c r="C100" i="2"/>
  <c r="B100" i="2"/>
  <c r="A100" i="2"/>
  <c r="F99" i="2"/>
  <c r="C99" i="2"/>
  <c r="B99" i="2"/>
  <c r="A99" i="2"/>
  <c r="C98" i="2"/>
  <c r="B98" i="2"/>
  <c r="A98" i="2"/>
  <c r="F97" i="2"/>
  <c r="C97" i="2"/>
  <c r="B97" i="2"/>
  <c r="A97" i="2"/>
  <c r="C96" i="2"/>
  <c r="B96" i="2"/>
  <c r="A96" i="2"/>
  <c r="C95" i="2"/>
  <c r="B95" i="2"/>
  <c r="A95" i="2"/>
  <c r="F94" i="2"/>
  <c r="C94" i="2"/>
  <c r="B94" i="2"/>
  <c r="A94" i="2"/>
  <c r="C93" i="2"/>
  <c r="B93" i="2"/>
  <c r="A93" i="2"/>
  <c r="F92" i="2"/>
  <c r="C92" i="2"/>
  <c r="B92" i="2"/>
  <c r="A92" i="2"/>
  <c r="C91" i="2"/>
  <c r="B91" i="2"/>
  <c r="A91" i="2"/>
  <c r="F90" i="2"/>
  <c r="C90" i="2"/>
  <c r="B90" i="2"/>
  <c r="A90" i="2"/>
  <c r="C89" i="2"/>
  <c r="B89" i="2"/>
  <c r="A89" i="2"/>
  <c r="F88" i="2"/>
  <c r="C88" i="2"/>
  <c r="B88" i="2"/>
  <c r="A88" i="2"/>
  <c r="C87" i="2"/>
  <c r="B87" i="2"/>
  <c r="A87" i="2"/>
  <c r="F86" i="2"/>
  <c r="C86" i="2"/>
  <c r="B86" i="2"/>
  <c r="A86" i="2"/>
  <c r="C85" i="2"/>
  <c r="B85" i="2"/>
  <c r="A85" i="2"/>
  <c r="F84" i="2"/>
  <c r="C84" i="2"/>
  <c r="B84" i="2"/>
  <c r="A84" i="2"/>
  <c r="C83" i="2"/>
  <c r="B83" i="2"/>
  <c r="A83" i="2"/>
  <c r="F82" i="2"/>
  <c r="C82" i="2"/>
  <c r="B82" i="2"/>
  <c r="A82" i="2"/>
  <c r="C81" i="2"/>
  <c r="B81" i="2"/>
  <c r="A81" i="2"/>
  <c r="C80" i="2"/>
  <c r="B80" i="2"/>
  <c r="A80" i="2"/>
  <c r="F79" i="2"/>
  <c r="C79" i="2"/>
  <c r="B79" i="2"/>
  <c r="A79" i="2"/>
  <c r="C78" i="2"/>
  <c r="B78" i="2"/>
  <c r="A78" i="2"/>
  <c r="F77" i="2"/>
  <c r="C77" i="2"/>
  <c r="B77" i="2"/>
  <c r="A77" i="2"/>
  <c r="C76" i="2"/>
  <c r="B76" i="2"/>
  <c r="A76" i="2"/>
  <c r="F75" i="2"/>
  <c r="C75" i="2"/>
  <c r="B75" i="2"/>
  <c r="A75" i="2"/>
  <c r="C74" i="2"/>
  <c r="B74" i="2"/>
  <c r="A74" i="2"/>
  <c r="F73" i="2"/>
  <c r="C73" i="2"/>
  <c r="B73" i="2"/>
  <c r="A73" i="2"/>
  <c r="C72" i="2"/>
  <c r="B72" i="2"/>
  <c r="A72" i="2"/>
  <c r="F71" i="2"/>
  <c r="C71" i="2"/>
  <c r="B71" i="2"/>
  <c r="A71" i="2"/>
  <c r="C70" i="2"/>
  <c r="B70" i="2"/>
  <c r="A70" i="2"/>
  <c r="F69" i="2"/>
  <c r="C69" i="2"/>
  <c r="B69" i="2"/>
  <c r="A69" i="2"/>
  <c r="C68" i="2"/>
  <c r="B68" i="2"/>
  <c r="A68" i="2"/>
  <c r="F67" i="2"/>
  <c r="C67" i="2"/>
  <c r="B67" i="2"/>
  <c r="A67" i="2"/>
  <c r="C66" i="2"/>
  <c r="B66" i="2"/>
  <c r="A66" i="2"/>
  <c r="F65" i="2"/>
  <c r="C65" i="2"/>
  <c r="B65" i="2"/>
  <c r="A65" i="2"/>
  <c r="C64" i="2"/>
  <c r="B64" i="2"/>
  <c r="A64" i="2"/>
  <c r="F63" i="2"/>
  <c r="C63" i="2"/>
  <c r="B63" i="2"/>
  <c r="A63" i="2"/>
  <c r="C62" i="2"/>
  <c r="B62" i="2"/>
  <c r="A62" i="2"/>
  <c r="F61" i="2"/>
  <c r="C61" i="2"/>
  <c r="B61" i="2"/>
  <c r="A61" i="2"/>
  <c r="C60" i="2"/>
  <c r="B60" i="2"/>
  <c r="A60" i="2"/>
  <c r="F59" i="2"/>
  <c r="C59" i="2"/>
  <c r="B59" i="2"/>
  <c r="A59" i="2"/>
  <c r="C58" i="2"/>
  <c r="B58" i="2"/>
  <c r="A58" i="2"/>
  <c r="F57" i="2"/>
  <c r="C57" i="2"/>
  <c r="B57" i="2"/>
  <c r="A57" i="2"/>
  <c r="C56" i="2"/>
  <c r="B56" i="2"/>
  <c r="A56" i="2"/>
  <c r="F55" i="2"/>
  <c r="C55" i="2"/>
  <c r="B55" i="2"/>
  <c r="A55" i="2"/>
  <c r="C54" i="2"/>
  <c r="B54" i="2"/>
  <c r="A54" i="2"/>
  <c r="F53" i="2"/>
  <c r="C53" i="2"/>
  <c r="B53" i="2"/>
  <c r="A53" i="2"/>
  <c r="C52" i="2"/>
  <c r="B52" i="2"/>
  <c r="A52" i="2"/>
  <c r="F51" i="2"/>
  <c r="C51" i="2"/>
  <c r="B51" i="2"/>
  <c r="A51" i="2"/>
  <c r="C50" i="2"/>
  <c r="B50" i="2"/>
  <c r="A50" i="2"/>
  <c r="F49" i="2"/>
  <c r="C49" i="2"/>
  <c r="B49" i="2"/>
  <c r="A49" i="2"/>
  <c r="C48" i="2"/>
  <c r="B48" i="2"/>
  <c r="A48" i="2"/>
  <c r="C47" i="2"/>
  <c r="B47" i="2"/>
  <c r="A47" i="2"/>
  <c r="F46" i="2"/>
  <c r="C46" i="2"/>
  <c r="B46" i="2"/>
  <c r="A46" i="2"/>
  <c r="C45" i="2"/>
  <c r="B45" i="2"/>
  <c r="A45" i="2"/>
  <c r="F44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F39" i="2"/>
  <c r="C39" i="2"/>
  <c r="B39" i="2"/>
  <c r="A39" i="2"/>
  <c r="C38" i="2"/>
  <c r="B38" i="2"/>
  <c r="A38" i="2"/>
  <c r="F37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F29" i="2"/>
  <c r="C29" i="2"/>
  <c r="B29" i="2"/>
  <c r="A29" i="2"/>
  <c r="C28" i="2"/>
  <c r="B28" i="2"/>
  <c r="A28" i="2"/>
  <c r="F27" i="2"/>
  <c r="C27" i="2"/>
  <c r="B27" i="2"/>
  <c r="A27" i="2"/>
  <c r="C26" i="2"/>
  <c r="B26" i="2"/>
  <c r="A26" i="2"/>
  <c r="F25" i="2"/>
  <c r="C25" i="2"/>
  <c r="B25" i="2"/>
  <c r="A25" i="2"/>
  <c r="C24" i="2"/>
  <c r="B24" i="2"/>
  <c r="A24" i="2"/>
  <c r="C23" i="2"/>
  <c r="B23" i="2"/>
  <c r="A23" i="2"/>
  <c r="F22" i="2"/>
  <c r="C22" i="2"/>
  <c r="B22" i="2"/>
  <c r="A22" i="2"/>
  <c r="C21" i="2"/>
  <c r="B21" i="2"/>
  <c r="A21" i="2"/>
  <c r="F20" i="2"/>
  <c r="C20" i="2"/>
  <c r="B20" i="2"/>
  <c r="A20" i="2"/>
  <c r="C19" i="2"/>
  <c r="B19" i="2"/>
  <c r="A19" i="2"/>
  <c r="C18" i="2"/>
  <c r="B18" i="2"/>
  <c r="A18" i="2"/>
  <c r="F17" i="2"/>
  <c r="C17" i="2"/>
  <c r="B17" i="2"/>
  <c r="A17" i="2"/>
  <c r="C16" i="2"/>
  <c r="B16" i="2"/>
  <c r="A16" i="2"/>
  <c r="F15" i="2"/>
  <c r="C15" i="2"/>
  <c r="B15" i="2"/>
  <c r="A15" i="2"/>
  <c r="C14" i="2"/>
  <c r="B14" i="2"/>
  <c r="A14" i="2"/>
  <c r="F13" i="2"/>
  <c r="C13" i="2"/>
  <c r="B13" i="2"/>
  <c r="A13" i="2"/>
  <c r="C12" i="2"/>
  <c r="B12" i="2"/>
  <c r="A12" i="2"/>
  <c r="F11" i="2"/>
  <c r="C11" i="2"/>
  <c r="B11" i="2"/>
  <c r="A11" i="2"/>
  <c r="C10" i="2"/>
  <c r="B10" i="2"/>
  <c r="A10" i="2"/>
  <c r="F9" i="2"/>
  <c r="C9" i="2"/>
  <c r="B9" i="2"/>
  <c r="A9" i="2"/>
  <c r="C8" i="2"/>
  <c r="B8" i="2"/>
  <c r="A8" i="2"/>
  <c r="C7" i="2"/>
  <c r="B7" i="2"/>
  <c r="A7" i="2"/>
  <c r="F6" i="2"/>
  <c r="C6" i="2"/>
  <c r="B6" i="2"/>
  <c r="A6" i="2"/>
  <c r="C5" i="2"/>
  <c r="B5" i="2"/>
  <c r="A5" i="2"/>
  <c r="F4" i="2"/>
  <c r="C4" i="2"/>
  <c r="B4" i="2"/>
  <c r="A4" i="2"/>
  <c r="C3" i="2"/>
  <c r="B3" i="2"/>
  <c r="A3" i="2"/>
</calcChain>
</file>

<file path=xl/sharedStrings.xml><?xml version="1.0" encoding="utf-8"?>
<sst xmlns="http://schemas.openxmlformats.org/spreadsheetml/2006/main" count="3054" uniqueCount="2192">
  <si>
    <t>Assets</t>
  </si>
  <si>
    <t>Current Assets</t>
  </si>
  <si>
    <t>BALANCE WITH REVENUNE</t>
  </si>
  <si>
    <t>TDS Receivables FY 2025-26</t>
  </si>
  <si>
    <t>Bank Accounts</t>
  </si>
  <si>
    <t>Canara Bank A/c-120001771174</t>
  </si>
  <si>
    <t>HDFC Bank-50200088973020</t>
  </si>
  <si>
    <t>Hdfc Bank-59210801080108</t>
  </si>
  <si>
    <t>HDFC ESCROW A/c 50200088973020</t>
  </si>
  <si>
    <t>Cash-in-Hand</t>
  </si>
  <si>
    <t>Cash</t>
  </si>
  <si>
    <t>Deposits (Asset)</t>
  </si>
  <si>
    <t>Lease Deposit</t>
  </si>
  <si>
    <t>NSDL Security Deposit</t>
  </si>
  <si>
    <t>GST</t>
  </si>
  <si>
    <t>Inward GST</t>
  </si>
  <si>
    <t>Capital ITC</t>
  </si>
  <si>
    <t>Inward CGST @ 14% Capital</t>
  </si>
  <si>
    <t>Inward CGST @ 9% Capital</t>
  </si>
  <si>
    <t>Inward IGST @ 18% Capital</t>
  </si>
  <si>
    <t>Inward SGST @ 14%Capital</t>
  </si>
  <si>
    <t>Inward SGST @ 9% Capital</t>
  </si>
  <si>
    <t>Inter-State ITC</t>
  </si>
  <si>
    <t>Inward IGST @12%</t>
  </si>
  <si>
    <t>Inward IGST @18 %</t>
  </si>
  <si>
    <t>Inward IGST @ 3%</t>
  </si>
  <si>
    <t>Inward IGST @ 5%</t>
  </si>
  <si>
    <t>Intra-State ITC</t>
  </si>
  <si>
    <t>Inward CGST @ 2.5%</t>
  </si>
  <si>
    <t>Inward CGST @ 6%</t>
  </si>
  <si>
    <t>Inward CGST @ 9%</t>
  </si>
  <si>
    <t>Inward SGST @ 2.5%</t>
  </si>
  <si>
    <t>Inward SGST @ 6%</t>
  </si>
  <si>
    <t>Inward SGST @9 %</t>
  </si>
  <si>
    <t>Inward CGST @ 14%</t>
  </si>
  <si>
    <t>Inward CGST @1.5%</t>
  </si>
  <si>
    <t>Inward CGST @3%</t>
  </si>
  <si>
    <t>Inward CGST @5%</t>
  </si>
  <si>
    <t>Inward CGST @7%</t>
  </si>
  <si>
    <t>Inward IGST @10%</t>
  </si>
  <si>
    <t>Inward IGST @12 % Capital</t>
  </si>
  <si>
    <t>Inward IGST @14%</t>
  </si>
  <si>
    <t>Inward IGST @6%</t>
  </si>
  <si>
    <t>Inward SGST @ 14%</t>
  </si>
  <si>
    <t>Inward SGST @1.5%</t>
  </si>
  <si>
    <t>Inward SGST @3%</t>
  </si>
  <si>
    <t>Inward SGST @5%</t>
  </si>
  <si>
    <t>Inward SGST @7%</t>
  </si>
  <si>
    <t>GST Payable &amp; Receivable</t>
  </si>
  <si>
    <t>Loans &amp; Advances (Asset)</t>
  </si>
  <si>
    <t>Gattani Sanitaries and Electricals (Loan)</t>
  </si>
  <si>
    <t>Other Current Asset</t>
  </si>
  <si>
    <t>Tds Receivables FY 2024-25</t>
  </si>
  <si>
    <t>Stock-in-Hand</t>
  </si>
  <si>
    <t>Finished Stock</t>
  </si>
  <si>
    <t>Raw Materials Stock</t>
  </si>
  <si>
    <t>Sundry Debtors</t>
  </si>
  <si>
    <t>B2B Debtors</t>
  </si>
  <si>
    <t>ANBS Enterprises Debtors</t>
  </si>
  <si>
    <t>ANBS ENTERPRISE PRIVATE LIMITED BANGALORE-07</t>
  </si>
  <si>
    <t>ANBS ENTERPRISE PRIVATE LIMITED CHENNAI</t>
  </si>
  <si>
    <t>ANBS ENTERPRISE PRIVATE LIMITED GURGAON</t>
  </si>
  <si>
    <t>ANBS ENTERPRISE PRIVATE LIMITED Hyderabad</t>
  </si>
  <si>
    <t>ANBS ENTERPRISE PRIVATE LIMITED MUMBAI</t>
  </si>
  <si>
    <t>ANBS ENTERPRISE PRIVATE LIMITED PUNE</t>
  </si>
  <si>
    <t>Nutritap Debtors</t>
  </si>
  <si>
    <t>NUTRITAP TECHNOLOGIES PRIVATE LIMITED</t>
  </si>
  <si>
    <t>Nutritap Technologies Private Limited - GGN (H)</t>
  </si>
  <si>
    <t>NUTRITAP TECHNOLOGIES PRIVATE LIMITED(M)</t>
  </si>
  <si>
    <t>NUTRITAP TECHNOLOGIES PRIVATE LIMITED ( T.N)</t>
  </si>
  <si>
    <t>NUTRITAP TECHNOLOGIES PRIVATE LIMITED (U)</t>
  </si>
  <si>
    <t>NUTRITAP TECHNOLOGIES PVT. LTD. NOIDA NEW</t>
  </si>
  <si>
    <t>Nutritrap Technologies Private Limited(T)</t>
  </si>
  <si>
    <t>Arora Sports Private Ltd.</t>
  </si>
  <si>
    <t>ARTISAN FOODS</t>
  </si>
  <si>
    <t>Ashwini Associates</t>
  </si>
  <si>
    <t>CLOUDKART VENTURES PRIVATE LIMITED</t>
  </si>
  <si>
    <t>CLOUDSTORE RETAIL PRIVATE LIMITED</t>
  </si>
  <si>
    <t>Cloudstore Retail Private Limited Ahmedabad</t>
  </si>
  <si>
    <t>Cloud Store Retail Private Limited GA</t>
  </si>
  <si>
    <t>Docket AI India Pvt Ltd</t>
  </si>
  <si>
    <t>Foodsure Solutions</t>
  </si>
  <si>
    <t>Jindutt Superfoods Private Limited</t>
  </si>
  <si>
    <t>Kalka Enterprises</t>
  </si>
  <si>
    <t>MRC FOODS PRIVATE LIMITED</t>
  </si>
  <si>
    <t>Nandhani Traders</t>
  </si>
  <si>
    <t>OM FOOD</t>
  </si>
  <si>
    <t>Phoenix Marketing</t>
  </si>
  <si>
    <t>San Logistix</t>
  </si>
  <si>
    <t>Shree Swami Samarth Enterprises</t>
  </si>
  <si>
    <t>SRI GLOBAL FOODS</t>
  </si>
  <si>
    <t>S S AGENCIES</t>
  </si>
  <si>
    <t>TD Traders</t>
  </si>
  <si>
    <t>Vaishali Surati Namkeen</t>
  </si>
  <si>
    <t>Vending Brothers Private Limited-Sales</t>
  </si>
  <si>
    <t>Vending Brothers Pvt Ltd-Telangana</t>
  </si>
  <si>
    <t>Yash Tradelink</t>
  </si>
  <si>
    <t>B2C - Debtors</t>
  </si>
  <si>
    <t>Abdul Shaik</t>
  </si>
  <si>
    <t>Abhishek Chavakar-27</t>
  </si>
  <si>
    <t>ACHYUT MISRA</t>
  </si>
  <si>
    <t>Aditya Ishwar Sardanaa-03</t>
  </si>
  <si>
    <t>Aditya Jindal-27</t>
  </si>
  <si>
    <t>Ahtesham Khan</t>
  </si>
  <si>
    <t>Akash Varshney-09</t>
  </si>
  <si>
    <t>Akshay R</t>
  </si>
  <si>
    <t>Amandeep Singh-B2c-29</t>
  </si>
  <si>
    <t>Andrew Leo</t>
  </si>
  <si>
    <t>ANHAD SINGH ARORA-07</t>
  </si>
  <si>
    <t>Ankit Bajaj-18</t>
  </si>
  <si>
    <t>Ankit Chandak-24</t>
  </si>
  <si>
    <t>Ankit Chandak-Guj</t>
  </si>
  <si>
    <t>Anudeep Buddhi</t>
  </si>
  <si>
    <t>Anuradha shroff</t>
  </si>
  <si>
    <t>Archana Anand</t>
  </si>
  <si>
    <t>Aryan Bansal-09</t>
  </si>
  <si>
    <t>Ashu Gogia-B2c-07</t>
  </si>
  <si>
    <t>Ashutosh Merchant</t>
  </si>
  <si>
    <t>Avika Lal</t>
  </si>
  <si>
    <t>Ayush Pranav-29</t>
  </si>
  <si>
    <t>B2C Interstate-16</t>
  </si>
  <si>
    <t>Babu Dewasi-24</t>
  </si>
  <si>
    <t>BHARGAV MODI-27</t>
  </si>
  <si>
    <t>Chirag M</t>
  </si>
  <si>
    <t>CHIRAG TYAGI - B2C</t>
  </si>
  <si>
    <t>D2C Shopify</t>
  </si>
  <si>
    <t>Deepesh Shah</t>
  </si>
  <si>
    <t>Dev G-29</t>
  </si>
  <si>
    <t>Dr. Deepak Mota</t>
  </si>
  <si>
    <t>Fathima Rena Abdulla-32</t>
  </si>
  <si>
    <t>Forever Lifescience-24</t>
  </si>
  <si>
    <t>Ganesh Cognizant</t>
  </si>
  <si>
    <t>Ganesh Venkatesan-B2c-33</t>
  </si>
  <si>
    <t>Garima Jhanwar-24</t>
  </si>
  <si>
    <t>Harsh kumar</t>
  </si>
  <si>
    <t>Hemant Nassa-B2C-07</t>
  </si>
  <si>
    <t>Himanshu Bajaj-24</t>
  </si>
  <si>
    <t>Himanshu Pratap-24</t>
  </si>
  <si>
    <t>Hussain Cognizant</t>
  </si>
  <si>
    <t>Ishan Patel-24</t>
  </si>
  <si>
    <t>Jaitra Narkar</t>
  </si>
  <si>
    <t>Jaskaran Singh-B2c-29</t>
  </si>
  <si>
    <t>Jay Shah-27</t>
  </si>
  <si>
    <t>Jeyavardhan K-27</t>
  </si>
  <si>
    <t>Kalyani Patle</t>
  </si>
  <si>
    <t>Kanika Verma</t>
  </si>
  <si>
    <t>Kashish Patel -B2C</t>
  </si>
  <si>
    <t>Kaushik-B2-29</t>
  </si>
  <si>
    <t>Ketan Prajapati</t>
  </si>
  <si>
    <t>Kiran S</t>
  </si>
  <si>
    <t>Krishnan V</t>
  </si>
  <si>
    <t>Kritika Mathur-08</t>
  </si>
  <si>
    <t>Kushagra Jain</t>
  </si>
  <si>
    <t>Madalsa Aggarwal</t>
  </si>
  <si>
    <t>Mahendra-24</t>
  </si>
  <si>
    <t>Manar Mankad</t>
  </si>
  <si>
    <t>Manish Agarwal-18</t>
  </si>
  <si>
    <t>Monish Anand-B2c-29</t>
  </si>
  <si>
    <t>Mr. Bhagwan Gattani-24</t>
  </si>
  <si>
    <t>Mr. Deshpande-24</t>
  </si>
  <si>
    <t>Naga saaketh Makam</t>
  </si>
  <si>
    <t>Naman Khurana</t>
  </si>
  <si>
    <t>Neelaksh Sharma-07</t>
  </si>
  <si>
    <t>Nicika Jhanwar - B2c</t>
  </si>
  <si>
    <t>Nikhil Redishetty-B2c-36</t>
  </si>
  <si>
    <t>Nikita Jain -B2c</t>
  </si>
  <si>
    <t>Nitesh Jain</t>
  </si>
  <si>
    <t>Nupur Nadir</t>
  </si>
  <si>
    <t>PARTHA RAJAK</t>
  </si>
  <si>
    <t>Priyanka S. - B2c</t>
  </si>
  <si>
    <t>Pushpendra Singh</t>
  </si>
  <si>
    <t>Puspa Devi</t>
  </si>
  <si>
    <t>Raaga Madappa</t>
  </si>
  <si>
    <t>Raghav Jhawar-29</t>
  </si>
  <si>
    <t>Raghav Mimani</t>
  </si>
  <si>
    <t>RAJNEESH KUMAR SAINI</t>
  </si>
  <si>
    <t>RAKESH RANJAN-B2c-24</t>
  </si>
  <si>
    <t>Ravi Trivedi -B2c</t>
  </si>
  <si>
    <t>R I-B2c-36</t>
  </si>
  <si>
    <t>Rohan Shah-24</t>
  </si>
  <si>
    <t>Rohit Madaan-B2C-07</t>
  </si>
  <si>
    <t>Saniyah Mashhadi-B2c-24</t>
  </si>
  <si>
    <t>Sanyam Gupta-09</t>
  </si>
  <si>
    <t>Satya Patel-24</t>
  </si>
  <si>
    <t>Senthil kaliyannan-33</t>
  </si>
  <si>
    <t>Sharad Saxena</t>
  </si>
  <si>
    <t>Sheer Management--24</t>
  </si>
  <si>
    <t>Shivang Gupta</t>
  </si>
  <si>
    <t>Shivasheesh Sharma-B2c-07</t>
  </si>
  <si>
    <t>Shiven Chaturvedi-24</t>
  </si>
  <si>
    <t>Shivratan Somani-24</t>
  </si>
  <si>
    <t>Shreeshail Hingane</t>
  </si>
  <si>
    <t>Shubhra Mitra</t>
  </si>
  <si>
    <t>Sunil Bajaj-24</t>
  </si>
  <si>
    <t>SWASTIK VISIONS</t>
  </si>
  <si>
    <t>Tanish Gandhi</t>
  </si>
  <si>
    <t>Tarachand Mohata-24</t>
  </si>
  <si>
    <t>Tarun Hassija-24</t>
  </si>
  <si>
    <t>ULLAS V - B2c</t>
  </si>
  <si>
    <t>Vaibhav Toshniwal - B2c-24</t>
  </si>
  <si>
    <t>Varun N</t>
  </si>
  <si>
    <t>Vijay Ahuja</t>
  </si>
  <si>
    <t>Vikas Chaturvedi-27</t>
  </si>
  <si>
    <t>Viniza Tapp-B2c-27</t>
  </si>
  <si>
    <t>Vishakha Jaipuria-B2c-08</t>
  </si>
  <si>
    <t>Vishal Dhoot-24</t>
  </si>
  <si>
    <t>Vrinda Somanath</t>
  </si>
  <si>
    <t>Marketplace</t>
  </si>
  <si>
    <t>Amazon Debtors</t>
  </si>
  <si>
    <t>Amazon-B2B</t>
  </si>
  <si>
    <t>27DCCPA8912A1Z5</t>
  </si>
  <si>
    <t>ADEES EXPORTS</t>
  </si>
  <si>
    <t>MYSTIC MANN PANELS PRIVATE LIMITED</t>
  </si>
  <si>
    <t>NURUDEEN MOHAMMED ABDULKHARIM</t>
  </si>
  <si>
    <t>PRIMENUMBERS TECHNOLOGIES PRIVATE LIMITED</t>
  </si>
  <si>
    <t>RAJABHAU MADHUKARRAO BHATE</t>
  </si>
  <si>
    <t>TRIOSE PRIVATE LIMITED</t>
  </si>
  <si>
    <t>Amazon-B2C</t>
  </si>
  <si>
    <t>Amazon Andaman &amp; Nicobar Islands</t>
  </si>
  <si>
    <t>Amazon Andhra Pradesh</t>
  </si>
  <si>
    <t>Amazon Arunachal Pradesh</t>
  </si>
  <si>
    <t>Amazon Assam</t>
  </si>
  <si>
    <t>Amazon Bihar</t>
  </si>
  <si>
    <t>Amazon Chandigarh</t>
  </si>
  <si>
    <t>Amazon Chhattisgarh</t>
  </si>
  <si>
    <t>Amazon Dadra And Nagar Haveli And Daman And Diu</t>
  </si>
  <si>
    <t>Amazon Delhi</t>
  </si>
  <si>
    <t>Amazon Goa</t>
  </si>
  <si>
    <t>Amazon Gujarat</t>
  </si>
  <si>
    <t>Amazon Haryana</t>
  </si>
  <si>
    <t>Amazon Himachal Pradesh</t>
  </si>
  <si>
    <t>Amazon Jammu &amp; Kashmir</t>
  </si>
  <si>
    <t>Amazon Jharkhand</t>
  </si>
  <si>
    <t>Amazon Karnataka</t>
  </si>
  <si>
    <t>Amazon Kerala</t>
  </si>
  <si>
    <t>Amazon Ladakh</t>
  </si>
  <si>
    <t>Amazon Lakshadweep</t>
  </si>
  <si>
    <t>Amazon Madhya Pradesh</t>
  </si>
  <si>
    <t>Amazon Maharashtra</t>
  </si>
  <si>
    <t>Amazon Manipur</t>
  </si>
  <si>
    <t>Amazon Meghalaya</t>
  </si>
  <si>
    <t>Amazon Mizoram</t>
  </si>
  <si>
    <t>Amazon Nagaland</t>
  </si>
  <si>
    <t>Amazon Odisha</t>
  </si>
  <si>
    <t>Amazon Puducherry</t>
  </si>
  <si>
    <t>Amazon Punjab</t>
  </si>
  <si>
    <t>Amazon Rajasthan</t>
  </si>
  <si>
    <t>Amazon Sikkim</t>
  </si>
  <si>
    <t>Amazon Tamil Nadu</t>
  </si>
  <si>
    <t>Amazon Telangana</t>
  </si>
  <si>
    <t>Amazon Tripura</t>
  </si>
  <si>
    <t>Amazon Uttarakhand</t>
  </si>
  <si>
    <t>Amazon Uttar Pradesh</t>
  </si>
  <si>
    <t>Amazon West Bengal</t>
  </si>
  <si>
    <t>B2C (Guj to Guj)</t>
  </si>
  <si>
    <t>B2C-(HAR TO HAR)</t>
  </si>
  <si>
    <t>B2C Interstate-01-J&amp;K</t>
  </si>
  <si>
    <t>B2C Interstate-02</t>
  </si>
  <si>
    <t>B2C Interstate-03</t>
  </si>
  <si>
    <t>B2C Interstate-04</t>
  </si>
  <si>
    <t>B2C Interstate-05</t>
  </si>
  <si>
    <t>B2C Interstate-06</t>
  </si>
  <si>
    <t>B2C Interstate-07</t>
  </si>
  <si>
    <t>B2C Interstate-08</t>
  </si>
  <si>
    <t>B2C Interstate-09</t>
  </si>
  <si>
    <t>B2C Interstate-10</t>
  </si>
  <si>
    <t>B2C Interstate-11</t>
  </si>
  <si>
    <t>B2C Interstate-15</t>
  </si>
  <si>
    <t>B2C Interstate-17</t>
  </si>
  <si>
    <t>B2C Interstate-18</t>
  </si>
  <si>
    <t>B2C Interstate-19</t>
  </si>
  <si>
    <t>B2C Interstate-20</t>
  </si>
  <si>
    <t>B2C Interstate-21</t>
  </si>
  <si>
    <t>B2C Interstate-22</t>
  </si>
  <si>
    <t>B2C Interstate-23</t>
  </si>
  <si>
    <t>B2C Interstate-24</t>
  </si>
  <si>
    <t>B2C Interstate27</t>
  </si>
  <si>
    <t>B2C Interstate-29</t>
  </si>
  <si>
    <t>B2C Interstate-30</t>
  </si>
  <si>
    <t>B2C Interstate-32</t>
  </si>
  <si>
    <t>B2C Interstate-33</t>
  </si>
  <si>
    <t>B2C Interstate-34</t>
  </si>
  <si>
    <t>B2C Interstate-36</t>
  </si>
  <si>
    <t>B2C Interstate-37</t>
  </si>
  <si>
    <t>B2C Interstste-35</t>
  </si>
  <si>
    <t>B2C-(KAR TO KAR)</t>
  </si>
  <si>
    <t>B2C K-K</t>
  </si>
  <si>
    <t>B2C T-T</t>
  </si>
  <si>
    <t>Gujarat-24 (Amazon)</t>
  </si>
  <si>
    <t>AIRAN LIMITED</t>
  </si>
  <si>
    <t>BRIGHT GEMS</t>
  </si>
  <si>
    <t>Drips Food Pvt Ltd (K)(Dr) (Amazon)(Guj to Kar)</t>
  </si>
  <si>
    <t>Drips Foods Pvt Ltd (H)(Dr) (Amazon)(Guj to Har)</t>
  </si>
  <si>
    <t>EGAIA ASSOCIATES</t>
  </si>
  <si>
    <t>Eliture Apparel (OPC) Private Limited</t>
  </si>
  <si>
    <t>HEALTH REACTIVE-Amazon-B2B</t>
  </si>
  <si>
    <t>NIRVANA HAMTA RETREAT</t>
  </si>
  <si>
    <t>POLYGRAPH PRINTING TECHNOLOGIES LTD</t>
  </si>
  <si>
    <t>RELIABLE ENGINEERING</t>
  </si>
  <si>
    <t>SUDEV NAIR FILMS PRIVATE LIMITED(G)</t>
  </si>
  <si>
    <t>SYNTHITE INDUSTRIES PRIVATE LIMITED-32</t>
  </si>
  <si>
    <t>TANISH META SOLUTION</t>
  </si>
  <si>
    <t>Vaishali &amp; Associates-Amazon B2B</t>
  </si>
  <si>
    <t>VIEG SERVICES PRIVATE LIMITED</t>
  </si>
  <si>
    <t>Haryana-06 (Amazon)</t>
  </si>
  <si>
    <t>Dhingra Traders</t>
  </si>
  <si>
    <t>Drips Food Pvt Ltd(G)(Dr)(Amazon)(Har to Guj)</t>
  </si>
  <si>
    <t>Drips Food Pvt Ltd(K)(DR)(Amazon)(Har to Kar)</t>
  </si>
  <si>
    <t>DRK INFRA SOLUTIONS PRIVATE LIMITED</t>
  </si>
  <si>
    <t>Karvan Brands Private Limited-Amazon-B2B</t>
  </si>
  <si>
    <t>Laksh Computers-Amazon B2B</t>
  </si>
  <si>
    <t>Mradul Goel</t>
  </si>
  <si>
    <t>RUPESH RAJENDRA GHOGARE</t>
  </si>
  <si>
    <t>SIMPLEX CASTINGS LIMITED</t>
  </si>
  <si>
    <t>S S JEWELLERS</t>
  </si>
  <si>
    <t>ST CREATIONS</t>
  </si>
  <si>
    <t>SUDEV NAIR FILMS PRIVATE LIMITED(H)</t>
  </si>
  <si>
    <t>VK Enterprises-Amazon-B2B</t>
  </si>
  <si>
    <t>Karanataka-29 (Amazon)</t>
  </si>
  <si>
    <t>AARYA ENTERPRISES</t>
  </si>
  <si>
    <t>ACIES LLP</t>
  </si>
  <si>
    <t>C P Agencies-Amazon B2B</t>
  </si>
  <si>
    <t>Designscape &amp; Country of Origin-Amazon B2B</t>
  </si>
  <si>
    <t>Drips food pvt ltd (G)(dr)(amazon)(kar to Guj)</t>
  </si>
  <si>
    <t>Drips food pvt ltd (H)(dr)(amazon)(Kar to har)</t>
  </si>
  <si>
    <t>DURVA ASSOCIATES</t>
  </si>
  <si>
    <t>Nagaraj Srinivasa</t>
  </si>
  <si>
    <t>ROSHNEE BILIMORIA</t>
  </si>
  <si>
    <t>STANDARD PRIME EXPORT INDORE PVT LTD</t>
  </si>
  <si>
    <t>SUDEV NAIR FILMS PRIVATE LIMITED(K)</t>
  </si>
  <si>
    <t>Amazon B2B Inter-State</t>
  </si>
  <si>
    <t>Amazon B2B Intra-State</t>
  </si>
  <si>
    <t>Amazon Settlement Clearing A/c</t>
  </si>
  <si>
    <t>Flipkart Debtors</t>
  </si>
  <si>
    <t>Flipkart B2B Debtors</t>
  </si>
  <si>
    <t>FLIPKART INDIA PRIVATE LIMITED BENGALURU</t>
  </si>
  <si>
    <t>FLIPKART INDIA PRIVATE LIMITED BHIWANDI</t>
  </si>
  <si>
    <t>FLIPKART INDIA PRIVATE LIMITED DELHI</t>
  </si>
  <si>
    <t>FLIPKART INDIA PRIVATE LIMITED DELHI_HYPERLOCAL</t>
  </si>
  <si>
    <t>FLIPKART INDIA PRIVATE LIMITED GURGAON</t>
  </si>
  <si>
    <t>FLIPKART INDIA PRIVATE LIMITED HOWRAH</t>
  </si>
  <si>
    <t>Flipkart B2C Debtors</t>
  </si>
  <si>
    <t>Flipkart Andaman &amp; Nicobar Islands</t>
  </si>
  <si>
    <t>Flipkart Andhra Pradesh</t>
  </si>
  <si>
    <t>Flipkart Arunachal Pradesh</t>
  </si>
  <si>
    <t>Flipkart Assam</t>
  </si>
  <si>
    <t>Flipkart Bihar</t>
  </si>
  <si>
    <t>Flipkart Chandigarh</t>
  </si>
  <si>
    <t>Flipkart Chhattisgarh</t>
  </si>
  <si>
    <t>Flipkart Dadra And Nagar Haveli And Daman And Diu</t>
  </si>
  <si>
    <t>Flipkart Delhi</t>
  </si>
  <si>
    <t>Flipkart Goa</t>
  </si>
  <si>
    <t>Flipkart Gujarat</t>
  </si>
  <si>
    <t>Flipkart Haryana</t>
  </si>
  <si>
    <t>Flipkart Himachal Pradesh</t>
  </si>
  <si>
    <t>Flipkart Jammu &amp; Kashmir</t>
  </si>
  <si>
    <t>Flipkart Jharkhand</t>
  </si>
  <si>
    <t>Flipkart Karnataka</t>
  </si>
  <si>
    <t>Flipkart Kerala</t>
  </si>
  <si>
    <t>Flipkart Ladakh</t>
  </si>
  <si>
    <t>Flipkart Lakshadweep</t>
  </si>
  <si>
    <t>Flipkart Madhya Pradesh</t>
  </si>
  <si>
    <t>Flipkart Maharashtra</t>
  </si>
  <si>
    <t>Flipkart Manipur</t>
  </si>
  <si>
    <t>Flipkart Meghalaya</t>
  </si>
  <si>
    <t>Flipkart Mizoram</t>
  </si>
  <si>
    <t>Flipkart Nagaland</t>
  </si>
  <si>
    <t>Flipkart Odisha</t>
  </si>
  <si>
    <t>Flipkart Puducherry</t>
  </si>
  <si>
    <t>Flipkart Punjab</t>
  </si>
  <si>
    <t>Flipkart Rajasthan</t>
  </si>
  <si>
    <t>Flipkart Sikkim</t>
  </si>
  <si>
    <t>Flipkart Tamil Nadu</t>
  </si>
  <si>
    <t>Flipkart Telangana</t>
  </si>
  <si>
    <t>Flipkart Tripura</t>
  </si>
  <si>
    <t>Flipkart Uttarakhand</t>
  </si>
  <si>
    <t>Flipkart Uttar Pradesh</t>
  </si>
  <si>
    <t>Flipkart West Bengal</t>
  </si>
  <si>
    <t>B2C (Flipkart)</t>
  </si>
  <si>
    <t>B2C Interstate-01 (Flipkart)</t>
  </si>
  <si>
    <t>B2C Interstate-02 (Flipkart)</t>
  </si>
  <si>
    <t>B2C Interstate-05 (Flipkart)</t>
  </si>
  <si>
    <t>B2C Interstate-06 (Flipkart)</t>
  </si>
  <si>
    <t>B2C Interstate-07 (Flipkart)</t>
  </si>
  <si>
    <t>B2C Interstate-08 (Flipkart)</t>
  </si>
  <si>
    <t>B2C Interstate-09 (Flipkart)</t>
  </si>
  <si>
    <t>B2C Interstate -10 (Flipkart)</t>
  </si>
  <si>
    <t>B2C Interstate -15 (Flipkart)</t>
  </si>
  <si>
    <t>B2C Interstate-18 (Flipkart)</t>
  </si>
  <si>
    <t>B2C Interstate-19 (Flipkart)</t>
  </si>
  <si>
    <t>B2C Interstate-20 (Flipkart)</t>
  </si>
  <si>
    <t>B2C Interstate-21 (Flipkart)</t>
  </si>
  <si>
    <t>B2C Interstate- 22 (Flipkart)</t>
  </si>
  <si>
    <t>B2C Interstate-23 (Flipkart)</t>
  </si>
  <si>
    <t>B2C Interstate-27 (Flipkart)</t>
  </si>
  <si>
    <t>B2C Interstate-29 (Flipkart)</t>
  </si>
  <si>
    <t>B2C Interstate -30 (Flipkart)</t>
  </si>
  <si>
    <t>B2C Interstate -32 (Flipkart)</t>
  </si>
  <si>
    <t>B2C Interstate-33 (Flipkart)</t>
  </si>
  <si>
    <t>B2C Interstate-36 (Flipkart)</t>
  </si>
  <si>
    <t>B2C Interstate-37 (Flipkart)</t>
  </si>
  <si>
    <t>B2C Interstste -03 (Flipkart)</t>
  </si>
  <si>
    <t>B2C Interstste -13 (Flipkart)</t>
  </si>
  <si>
    <t>Flipkart Settlement Clearing A/c</t>
  </si>
  <si>
    <t>Quickcommerce</t>
  </si>
  <si>
    <t>Bigbasket Debtors</t>
  </si>
  <si>
    <t>Bigbasket Settlement Clearing A/c</t>
  </si>
  <si>
    <t>INNOVATIVE RETAIL CONCEPTS PRIVATE LIMITED AHMEDABAD</t>
  </si>
  <si>
    <t>INNOVATIVE RETAIL CONCEPTS PRIVATE LIMITED BANGALORE</t>
  </si>
  <si>
    <t>INNOVATIVE RETAIL CONCEPTS PRIVATE LIMITED CHENNAI</t>
  </si>
  <si>
    <t>INNOVATIVE RETAIL CONCEPTS PRIVATE LIMITED KOLKATA</t>
  </si>
  <si>
    <t>Innovative Retail Concepts Private Limited Kundli</t>
  </si>
  <si>
    <t>INNOVATIVE RETAIL CONCEPTS PRIVATE LIMITED MUMBAI</t>
  </si>
  <si>
    <t>INNOVATIVE RETAIL CONCEPTS PRIVATE LIMITED PUNE</t>
  </si>
  <si>
    <t>Innovative Retail Concepts Private Limited TL</t>
  </si>
  <si>
    <t>Innovative Retail Concepts Private Limited  UP</t>
  </si>
  <si>
    <t>Blinkit Debtors</t>
  </si>
  <si>
    <t>Blink Sales /purchase</t>
  </si>
  <si>
    <t>Blink Commerce Private Limited-05</t>
  </si>
  <si>
    <t>BLINK COMMERCE PRIVATE LIMITED A2 Ahmedabad</t>
  </si>
  <si>
    <t>BLINK COMMERCE PRIVATE LIMITED JHAJJAR</t>
  </si>
  <si>
    <t>BLINK COMMERCE PRIVATE LIMITED Kolkata K4</t>
  </si>
  <si>
    <t>BLINK COMMERCE PRIVATE LIMITED Maharastra</t>
  </si>
  <si>
    <t>BLINK COMMERCE PRIVATE LIMITED Pune P2</t>
  </si>
  <si>
    <t>BLINK COMMERCE PRIVATE LIMITED-Raj</t>
  </si>
  <si>
    <t>BLINK COMMERCE PRIVATE LIMITED- TN</t>
  </si>
  <si>
    <t>BLINK COMMERCE PRIVATE LIMITED - UP</t>
  </si>
  <si>
    <t>BLINK COMMERCE PRIVATE LIMITED -WB</t>
  </si>
  <si>
    <t>BLINKIT B2C-GUJARAT</t>
  </si>
  <si>
    <t>BLINKIT B2C-HARYANA</t>
  </si>
  <si>
    <t>BLINKIT B2C-KARNATAKA</t>
  </si>
  <si>
    <t>BLINKIT B2C- Telengana</t>
  </si>
  <si>
    <t>Blink It-Sales</t>
  </si>
  <si>
    <t>BLINK COMMERCE PRIVATE LIMITED Kundli Feeder</t>
  </si>
  <si>
    <t>Blink Commerce Private Limited Punjab</t>
  </si>
  <si>
    <t>Blink Commerce Private Limited Telangana</t>
  </si>
  <si>
    <t>Blinkit Settlement Clearing A/c</t>
  </si>
  <si>
    <t>Swiggy-Instamart Debtors</t>
  </si>
  <si>
    <t>MOKSH ENTERPRISES PRIVATE LIMITED-(29-Karnataka-B2B</t>
  </si>
  <si>
    <t>PJTJ TECHNOLOGIES PRIVATE LIMITED-(06-Haryana-B2b)</t>
  </si>
  <si>
    <t>PJTJ TECHNOLOGIES PRIVATE LIMITED MOHALI</t>
  </si>
  <si>
    <t>PJTJ Technologies Private limited-UP</t>
  </si>
  <si>
    <t>PJTJ Technologies Private Limited, West Bengal</t>
  </si>
  <si>
    <t>SWIGGY HYDERABAD</t>
  </si>
  <si>
    <t>Swiggy Instamart Settlement Clearing A/c</t>
  </si>
  <si>
    <t>Zepto Debtors</t>
  </si>
  <si>
    <t>Kiranakart Pvt Ltdchennai  Theruvallar</t>
  </si>
  <si>
    <t>KIRANAKART TECHNOLOGIES PRIVATE LIMITED JHAJJAR</t>
  </si>
  <si>
    <t>KiranaKart Technologies Private Limited - Koregaon Park PUNE</t>
  </si>
  <si>
    <t>KIRANAKART TECHNOLOGIES PRIVATE LIMITED Lucknow</t>
  </si>
  <si>
    <t>Kiranakart Technologies Pvt Ltd- (06-Haryana-Sales)</t>
  </si>
  <si>
    <t>Kiranakart Technologies Pvt Ltd Ahmd.</t>
  </si>
  <si>
    <t>Kiranakart Technologies Pvt Ltd BLR</t>
  </si>
  <si>
    <t>KIRANAKART TECHNOLOGIES PVT LTD CHENNAI</t>
  </si>
  <si>
    <t>Kiranakart Technologies Pvt Ltd FBD</t>
  </si>
  <si>
    <t>KIRANAKART TECHNOLOGIES PVT LTD Jaipur</t>
  </si>
  <si>
    <t>Kiranakart Technologies Pvt Ltd M.BLR</t>
  </si>
  <si>
    <t>KIRANAKART TECHNOLOGIES PVT LTD MEDAK-HYD</t>
  </si>
  <si>
    <t>Kiranakart Technologies Pvt Ltd Mumbai</t>
  </si>
  <si>
    <t>Kiranakart Technologies Pvt Ltd PUNE</t>
  </si>
  <si>
    <t>KIRANAKART TECHNOLOGIES PVT LTD WB</t>
  </si>
  <si>
    <t>Zepto Private Limited Gujarat</t>
  </si>
  <si>
    <t>Zepto Private Limited Haryana</t>
  </si>
  <si>
    <t>ZEPTO PRIVATE LIMITED JAIPUR</t>
  </si>
  <si>
    <t>Zepto Private Limited Karnataka</t>
  </si>
  <si>
    <t>Zepto Private Limited Maharashtra</t>
  </si>
  <si>
    <t>Zepto Private Limited Rajastahan</t>
  </si>
  <si>
    <t>Zepto Private Limited Tamil Nadu</t>
  </si>
  <si>
    <t>Zepto Private Limited Telangana</t>
  </si>
  <si>
    <t>Zepto Private Limited Uttar Pradesh</t>
  </si>
  <si>
    <t>Zepto Private Limited West Bengal</t>
  </si>
  <si>
    <t>Zepto Settlement Clearing A/c</t>
  </si>
  <si>
    <t>Shopify</t>
  </si>
  <si>
    <t>Shopify B2C Debtors</t>
  </si>
  <si>
    <t>Shopify Andaman &amp; Nicobar Islands</t>
  </si>
  <si>
    <t>Shopify Andhra Pradesh</t>
  </si>
  <si>
    <t>Shopify Arunachal Pradesh</t>
  </si>
  <si>
    <t>Shopify Assam</t>
  </si>
  <si>
    <t>Shopify Bihar</t>
  </si>
  <si>
    <t>Shopify Chandigarh</t>
  </si>
  <si>
    <t>Shopify Chhattisgarh</t>
  </si>
  <si>
    <t>Shopify Dadra And Nagar Haveli And Daman And Diu</t>
  </si>
  <si>
    <t>Shopify Delhi</t>
  </si>
  <si>
    <t>Shopify Goa</t>
  </si>
  <si>
    <t>Shopify Gujarat</t>
  </si>
  <si>
    <t>Shopify Haryana</t>
  </si>
  <si>
    <t>Shopify Himachal Pradesh</t>
  </si>
  <si>
    <t>Shopify Jammu And Kashmir</t>
  </si>
  <si>
    <t>Shopify Jharkhand</t>
  </si>
  <si>
    <t>Shopify Karnataka</t>
  </si>
  <si>
    <t>Shopify Kerala</t>
  </si>
  <si>
    <t>Shopify Ladakh</t>
  </si>
  <si>
    <t>Shopify Lakshadweep</t>
  </si>
  <si>
    <t>Shopify Madhya Pradesh</t>
  </si>
  <si>
    <t>Shopify Maharashtra</t>
  </si>
  <si>
    <t>Shopify Manipur</t>
  </si>
  <si>
    <t>Shopify Meghalaya</t>
  </si>
  <si>
    <t>Shopify Mizoram</t>
  </si>
  <si>
    <t>Shopify Nagaland</t>
  </si>
  <si>
    <t>Shopify Odisha</t>
  </si>
  <si>
    <t>Shopify Puducherry</t>
  </si>
  <si>
    <t>Shopify Punjab</t>
  </si>
  <si>
    <t>Shopify Rajasthan</t>
  </si>
  <si>
    <t>Shopify Sikkim</t>
  </si>
  <si>
    <t>Shopify Tamil Nadu</t>
  </si>
  <si>
    <t>Shopify Telangana</t>
  </si>
  <si>
    <t>Shopify Tripura</t>
  </si>
  <si>
    <t>Shopify Uttarakhand</t>
  </si>
  <si>
    <t>Shopify Uttar Pradesh</t>
  </si>
  <si>
    <t>Shopify West Bengal</t>
  </si>
  <si>
    <t>12 Flags Advisors Private Limited</t>
  </si>
  <si>
    <t>4SYZ Infotech Solutions Pvt Ltd</t>
  </si>
  <si>
    <t>AAHWAAN CREATIONS(H)</t>
  </si>
  <si>
    <t>AAHWAN CREATION</t>
  </si>
  <si>
    <t>Aayush Shah</t>
  </si>
  <si>
    <t>Abhilash Bhuyan</t>
  </si>
  <si>
    <t>Abhilash Sarangi</t>
  </si>
  <si>
    <t>Abhinash Kumar Poddar</t>
  </si>
  <si>
    <t>Abhiraj Shivhare</t>
  </si>
  <si>
    <t>Abhishek Sarwate</t>
  </si>
  <si>
    <t>ADARSH KUMAR</t>
  </si>
  <si>
    <t>ADHIKARI ENTERPRISES</t>
  </si>
  <si>
    <t>ADITI SHARMA</t>
  </si>
  <si>
    <t>Aditi Thakur</t>
  </si>
  <si>
    <t>Adityan Singh</t>
  </si>
  <si>
    <t>Adyant Chaturvedi</t>
  </si>
  <si>
    <t>AHA Group</t>
  </si>
  <si>
    <t>Aindrila Rakshit</t>
  </si>
  <si>
    <t>Akanksha Chaturvedi</t>
  </si>
  <si>
    <t>Akash Varshney</t>
  </si>
  <si>
    <t>AKKINENI WOMEN'S HOSPITALS PRIVATE LIMITED</t>
  </si>
  <si>
    <t>Akshay Chugh</t>
  </si>
  <si>
    <t>ALCHLONIST</t>
  </si>
  <si>
    <t>ALGHAR ENTERPRISES</t>
  </si>
  <si>
    <t>ALGO8 AI PRIVATE LIMITED</t>
  </si>
  <si>
    <t>Ali Deshmukh</t>
  </si>
  <si>
    <t>ALOK MATHUR</t>
  </si>
  <si>
    <t>ALPHA DIGITAL HEALTH PRIVATE LIMITED</t>
  </si>
  <si>
    <t>Aman Enterprise</t>
  </si>
  <si>
    <t>Ambrella Nexus pvt ltd</t>
  </si>
  <si>
    <t>Amin Salon</t>
  </si>
  <si>
    <t>Amit Gulati</t>
  </si>
  <si>
    <t>Amogh Pendharkar</t>
  </si>
  <si>
    <t>AMTIK POLYMERS PVT LTD.</t>
  </si>
  <si>
    <t>Anand Rushdi</t>
  </si>
  <si>
    <t>Anchal Trading Company</t>
  </si>
  <si>
    <t>Angan Enterprise-Sales</t>
  </si>
  <si>
    <t>Anil Bhargava</t>
  </si>
  <si>
    <t>ANITA TRADING CO</t>
  </si>
  <si>
    <t>Ankit Jain</t>
  </si>
  <si>
    <t>Anmol Hura</t>
  </si>
  <si>
    <t>ANMOL RECREATION SERVICES PRIVATE LIMITED</t>
  </si>
  <si>
    <t>Ansif Latheef</t>
  </si>
  <si>
    <t>Archita Purwar</t>
  </si>
  <si>
    <t>ARHAM INFRACON</t>
  </si>
  <si>
    <t>Arihant Distributor</t>
  </si>
  <si>
    <t>ARMSTRONG</t>
  </si>
  <si>
    <t>Arnav Agrawal</t>
  </si>
  <si>
    <t>A R O2O Commerce Pvt  Ltd</t>
  </si>
  <si>
    <t>Arpit</t>
  </si>
  <si>
    <t>Arun Bhardwaj</t>
  </si>
  <si>
    <t>A. Rushabh Tradelink Private Limited</t>
  </si>
  <si>
    <t>Asha. Chat.</t>
  </si>
  <si>
    <t>Ashim Dhingra</t>
  </si>
  <si>
    <t>Ashish Karwa</t>
  </si>
  <si>
    <t>ASHISH R SHUKLA</t>
  </si>
  <si>
    <t>Ashoka construction company</t>
  </si>
  <si>
    <t>ASIAD INFRAPROJECTS LIMITED</t>
  </si>
  <si>
    <t>Athang Jain</t>
  </si>
  <si>
    <t>Atika Vaz</t>
  </si>
  <si>
    <t>Atul Kolankar</t>
  </si>
  <si>
    <t>Audentia Tech Ventures Pvt Ltd</t>
  </si>
  <si>
    <t>AURO ENGINEERS</t>
  </si>
  <si>
    <t>AUTO CARE SOLUTIONS (INDIA)</t>
  </si>
  <si>
    <t>AUXO ENTERTAINMENT</t>
  </si>
  <si>
    <t>AZEYA VENTURES</t>
  </si>
  <si>
    <t>B2C</t>
  </si>
  <si>
    <t>B2C Interstate-12</t>
  </si>
  <si>
    <t>B2C Interstate-13</t>
  </si>
  <si>
    <t>B2C Interstate-14</t>
  </si>
  <si>
    <t>B2C Interstate-26</t>
  </si>
  <si>
    <t>Bagadiya Traders</t>
  </si>
  <si>
    <t>BAGRRYS INDIA PRIVATE LIMITED</t>
  </si>
  <si>
    <t>Bajaj Tours and Travels</t>
  </si>
  <si>
    <t>Balaji Enterprise</t>
  </si>
  <si>
    <t>BANGARD COMMERCE</t>
  </si>
  <si>
    <t>BEAUSANCY CONSULTING PRIVATE LIMITED</t>
  </si>
  <si>
    <t>BELCON TEX PRIVATE LIMITED</t>
  </si>
  <si>
    <t>bengia chito</t>
  </si>
  <si>
    <t>Bhadur Dewasi</t>
  </si>
  <si>
    <t>Bhagvan Gattani</t>
  </si>
  <si>
    <t>Bhagwandas Vehicle Test Services Private Limited</t>
  </si>
  <si>
    <t>BHAGWATI GRAPHICS</t>
  </si>
  <si>
    <t>Bhagyavijayta Param Pujya Muni Shree Vidhyachandra Vijayji Marajsaheb</t>
  </si>
  <si>
    <t>BHARAT MEDICAL CORPORATION</t>
  </si>
  <si>
    <t>Bharti Su.</t>
  </si>
  <si>
    <t>BHOOMIKA AGENCIES</t>
  </si>
  <si>
    <t>BIKEAFFAIR CYCLING INDIA PRIVATE LIMITED</t>
  </si>
  <si>
    <t>BIZ CONSULTEK SOLUTIONS</t>
  </si>
  <si>
    <t>B.Kumar Food Consultancy Service</t>
  </si>
  <si>
    <t>BLUEJERSEY18 TECHNOLOGIES PRIVATE LIMITED-B2B</t>
  </si>
  <si>
    <t>Blu Kart</t>
  </si>
  <si>
    <t>BOTS CYCLING PVT. LTD</t>
  </si>
  <si>
    <t>Boyen Haddin Consultants Limited</t>
  </si>
  <si>
    <t>BPSV MEDIA PRIVATE LIMITED</t>
  </si>
  <si>
    <t>Brijesh</t>
  </si>
  <si>
    <t>B S FOODS</t>
  </si>
  <si>
    <t>Cakes N Craft Kushagra Foods</t>
  </si>
  <si>
    <t>Camson Green Valley Products Private Limited</t>
  </si>
  <si>
    <t>Canara Bank</t>
  </si>
  <si>
    <t>CANSALA RESTAURANT</t>
  </si>
  <si>
    <t>CELONA NETWORKS PRIVATE LIMITED</t>
  </si>
  <si>
    <t>Chambal Enterprises</t>
  </si>
  <si>
    <t>chandrashekhar khankhoje</t>
  </si>
  <si>
    <t>CHARMAM AESTHETICS AND WELLNESS PRIVATE LIMITED</t>
  </si>
  <si>
    <t>CLAD WOODS PRIVATE LIMITED</t>
  </si>
  <si>
    <t>CLEAN DEXTER PRIVATE LIMITED</t>
  </si>
  <si>
    <t>Clumio Technologies India LLP</t>
  </si>
  <si>
    <t>Confused Genius Private Limited</t>
  </si>
  <si>
    <t>CORR INNOVATIONS PRIVATE LIMITED</t>
  </si>
  <si>
    <t>Cosmos Corp</t>
  </si>
  <si>
    <t>CultureX Entertainment Pvt Ltd</t>
  </si>
  <si>
    <t>CYBERAGE MULTIMEDIA</t>
  </si>
  <si>
    <t>Dania Hasnaath</t>
  </si>
  <si>
    <t>DANKUNI AUTOMOBILES</t>
  </si>
  <si>
    <t>Darshan Gatani</t>
  </si>
  <si>
    <t>DATA SENSE</t>
  </si>
  <si>
    <t>DECATHLON SPORTS INDIA PRIVATE LIMITED</t>
  </si>
  <si>
    <t>DEFIN8 CONSULTING</t>
  </si>
  <si>
    <t>DESIGNERS DELIGHT INC.</t>
  </si>
  <si>
    <t>DESTREZZA INNOVATIONS PRIVATE LIMITED</t>
  </si>
  <si>
    <t>Dhanesh Samant</t>
  </si>
  <si>
    <t>Dharani</t>
  </si>
  <si>
    <t>Dhiren Mishra</t>
  </si>
  <si>
    <t>Dhwani Patel</t>
  </si>
  <si>
    <t>Diksha Enterprises</t>
  </si>
  <si>
    <t>Dilip B</t>
  </si>
  <si>
    <t>Dinesh Traders</t>
  </si>
  <si>
    <t>Divya chopra</t>
  </si>
  <si>
    <t>DIWAKAR CHAUDHRI</t>
  </si>
  <si>
    <t>Diwas Gill</t>
  </si>
  <si>
    <t>D K Chaturvedi</t>
  </si>
  <si>
    <t>Dynamik Trade Kraft</t>
  </si>
  <si>
    <t>eINDOTIME</t>
  </si>
  <si>
    <t>ELEVEN</t>
  </si>
  <si>
    <t>Elite Mindset  Private Limited</t>
  </si>
  <si>
    <t>ENERGY NANOTECH CORP.</t>
  </si>
  <si>
    <t>ESHUBHAM</t>
  </si>
  <si>
    <t>ESPACIOS</t>
  </si>
  <si>
    <t>EVIS Healthcare Limited</t>
  </si>
  <si>
    <t>EVOLVE</t>
  </si>
  <si>
    <t>FIRSTCLUB TECHNOLOGY PRIVATE LIMITED</t>
  </si>
  <si>
    <t>FITNESSTACK INDIA PRIVATE LIMITED-Sales</t>
  </si>
  <si>
    <t>FORMING CONSTRUCTION</t>
  </si>
  <si>
    <t>FOUNDRY WELLNESS PRIVATE LIMITED</t>
  </si>
  <si>
    <t>Full Spectrum Services LLP</t>
  </si>
  <si>
    <t>Gajanand Gattani(GATTANI SANITARIES &amp; ELECTRICALS)</t>
  </si>
  <si>
    <t>GALA ENTERPRISES</t>
  </si>
  <si>
    <t>George Francis Maliyamave</t>
  </si>
  <si>
    <t>GHK HOSPITALITY &amp; INFRASTRUCTURES LIMITED</t>
  </si>
  <si>
    <t>GHOSH METAL WORKS P LTD</t>
  </si>
  <si>
    <t>Gift Point</t>
  </si>
  <si>
    <t>Giftsvilla Private Limited</t>
  </si>
  <si>
    <t>Girdhar Gattani</t>
  </si>
  <si>
    <t>Girish Raheja</t>
  </si>
  <si>
    <t>Glo Clinic</t>
  </si>
  <si>
    <t>Gorang Gupta</t>
  </si>
  <si>
    <t>Gourav Gupta</t>
  </si>
  <si>
    <t>Govendra Gupta</t>
  </si>
  <si>
    <t>GPSAR Healthcare Ltd</t>
  </si>
  <si>
    <t>G S ENTERPRISES</t>
  </si>
  <si>
    <t>Gurgaon Mills</t>
  </si>
  <si>
    <t>GWALIOR TOOLS LIMITED</t>
  </si>
  <si>
    <t>Haiden Maples</t>
  </si>
  <si>
    <t>HAPPIEHATCH</t>
  </si>
  <si>
    <t>Haransh batra</t>
  </si>
  <si>
    <t>Hardik Dave</t>
  </si>
  <si>
    <t>Harisam Sharma</t>
  </si>
  <si>
    <t>Harsiddh Enterprise</t>
  </si>
  <si>
    <t>Healthy Grubs &amp; Nuts</t>
  </si>
  <si>
    <t>Helly Enterprises</t>
  </si>
  <si>
    <t>Hemant Negi</t>
  </si>
  <si>
    <t>HENLEY GROUPS</t>
  </si>
  <si>
    <t>HNH Solutions</t>
  </si>
  <si>
    <t>HOTEL HIMALAYA</t>
  </si>
  <si>
    <t>i-Hub</t>
  </si>
  <si>
    <t>IKC FOODS LLP</t>
  </si>
  <si>
    <t>Ikram Hakda</t>
  </si>
  <si>
    <t>Indian Food &amp; Beverages</t>
  </si>
  <si>
    <t>INDUS ENGINEERS PRIVATE LIMITED</t>
  </si>
  <si>
    <t>Infinity Retail</t>
  </si>
  <si>
    <t>INFINITY TECHNOLOGIES</t>
  </si>
  <si>
    <t>Invincible Fitness</t>
  </si>
  <si>
    <t>Itisha Pa.</t>
  </si>
  <si>
    <t>ixchange.me ideas &amp; pioneers GmbH</t>
  </si>
  <si>
    <t>Jagdish Gattani</t>
  </si>
  <si>
    <t>Jai Kishan</t>
  </si>
  <si>
    <t>Jalaj Mishra</t>
  </si>
  <si>
    <t>JAYALAKSHMI SILKS PRIVATE LIMITED</t>
  </si>
  <si>
    <t>Jayanee Thanki</t>
  </si>
  <si>
    <t>Jay Gupta</t>
  </si>
  <si>
    <t>Jay Jentilal Bhinde</t>
  </si>
  <si>
    <t>Jigeesha Yada</t>
  </si>
  <si>
    <t>JINDAL SOFTWARE CONSULTANTS</t>
  </si>
  <si>
    <t>Joel</t>
  </si>
  <si>
    <t>Join Commerce Pvt Ltd</t>
  </si>
  <si>
    <t>J Radha Dairy and Food Products</t>
  </si>
  <si>
    <t>JUPITER KART PRIVATE LIMITED</t>
  </si>
  <si>
    <t>JYOTI INFRASTRUCTURE AGENCY</t>
  </si>
  <si>
    <t>Kabir Marketing</t>
  </si>
  <si>
    <t>KAILASHNATH JEEVAN KOPPIKAR</t>
  </si>
  <si>
    <t>Kanav Gupta</t>
  </si>
  <si>
    <t>KARAN RAVI KAPOOR</t>
  </si>
  <si>
    <t>Karan Shah</t>
  </si>
  <si>
    <t>KARTIK JOSHI</t>
  </si>
  <si>
    <t>Kartik Tanna</t>
  </si>
  <si>
    <t>Kartik Trading Co</t>
  </si>
  <si>
    <t>Ket Sanja</t>
  </si>
  <si>
    <t>Kevi Enterprise</t>
  </si>
  <si>
    <t>Kevin Kariappa</t>
  </si>
  <si>
    <t>Khavda Namkeen</t>
  </si>
  <si>
    <t>Khush Enterprise</t>
  </si>
  <si>
    <t>Kinnari Gandhi</t>
  </si>
  <si>
    <t>KIRAANA THE SUPERMARKET</t>
  </si>
  <si>
    <t>KK Creatives</t>
  </si>
  <si>
    <t>KOLKATA SUPPLEMENT STORE</t>
  </si>
  <si>
    <t>KOREBI GOURMET PRIVATE LIMITED</t>
  </si>
  <si>
    <t>Kranthi Elluru</t>
  </si>
  <si>
    <t>Kunal Jain</t>
  </si>
  <si>
    <t>La Belleza Cake Mall</t>
  </si>
  <si>
    <t>Lakshay Bang</t>
  </si>
  <si>
    <t>Lata Jaiswani</t>
  </si>
  <si>
    <t>Lavender Chemist</t>
  </si>
  <si>
    <t>LCS Services India Private Limited</t>
  </si>
  <si>
    <t>LEGAJOIST SOLUTIONS PRIVATE LIMITED</t>
  </si>
  <si>
    <t>LIGHT MART</t>
  </si>
  <si>
    <t>LOCUM APP PRIVATE LIMITED</t>
  </si>
  <si>
    <t>Lu Legi</t>
  </si>
  <si>
    <t>LWS AVIATION</t>
  </si>
  <si>
    <t>LYNKIT</t>
  </si>
  <si>
    <t>Madhurdas Chaturvedi</t>
  </si>
  <si>
    <t>Mahendra Govekar</t>
  </si>
  <si>
    <t>Manan Shah</t>
  </si>
  <si>
    <t>Manan Sureka</t>
  </si>
  <si>
    <t>Manisha</t>
  </si>
  <si>
    <t>Manish Shah</t>
  </si>
  <si>
    <t>Manshi Padhiar</t>
  </si>
  <si>
    <t>Maxx Nutrition</t>
  </si>
  <si>
    <t>MAYAPUR COMMUNICATIONS PRIVATE LIMITED</t>
  </si>
  <si>
    <t>MEGA STAR NUTRITION</t>
  </si>
  <si>
    <t>Melting Cheese</t>
  </si>
  <si>
    <t>Midhun Parithosh</t>
  </si>
  <si>
    <t>Milind Ambekar</t>
  </si>
  <si>
    <t>MiM-Essay.com</t>
  </si>
  <si>
    <t>Mistix Waters LLP</t>
  </si>
  <si>
    <t>MITHRA CONSTRUCTIONS</t>
  </si>
  <si>
    <t>Mittal And Brothers</t>
  </si>
  <si>
    <t>Mitul Impex</t>
  </si>
  <si>
    <t>Mogul Krupa Marketing</t>
  </si>
  <si>
    <t>Mohan Khanal</t>
  </si>
  <si>
    <t>Mohit Kheskwani</t>
  </si>
  <si>
    <t>MOLD TEK TECHNOLOGIES LIMITED</t>
  </si>
  <si>
    <t>Monaf Stores</t>
  </si>
  <si>
    <t>Monisha Vankina</t>
  </si>
  <si>
    <t>MOONFREEZE FOODS PRIVATE LIMITED</t>
  </si>
  <si>
    <t>Mr. Aryan</t>
  </si>
  <si>
    <t>Mrugank</t>
  </si>
  <si>
    <t>M/s LITTLE SURPRISE BOX LLP-27</t>
  </si>
  <si>
    <t>M/S MAHINDRA MEDICALS AND ELECTRONICS</t>
  </si>
  <si>
    <t>M/S MARKS GENERAL STORE</t>
  </si>
  <si>
    <t>M/S NEW IQBAL SHOE STORE</t>
  </si>
  <si>
    <t>M/S SS DEALS</t>
  </si>
  <si>
    <t>Mukul Chaturvedi</t>
  </si>
  <si>
    <t>Muralidhar Rao P</t>
  </si>
  <si>
    <t>MUTATE</t>
  </si>
  <si>
    <t>NANDINI SHYAMBIHARI GUPTA</t>
  </si>
  <si>
    <t>Nasreen Ayub Mansoori</t>
  </si>
  <si>
    <t>NATASHA AUTOMOBILES PRIVATE LIMITED</t>
  </si>
  <si>
    <t>Natures Basket Limited</t>
  </si>
  <si>
    <t>Natures Basket Limited (Wb)</t>
  </si>
  <si>
    <t>NEXUS ENTERPRISES</t>
  </si>
  <si>
    <t>Nidhi Garg</t>
  </si>
  <si>
    <t>Nikhar Arora</t>
  </si>
  <si>
    <t>NIKHIL AGARWAL</t>
  </si>
  <si>
    <t>Nikita Chaturvedi</t>
  </si>
  <si>
    <t>NILESH PRAKASH JADHAV</t>
  </si>
  <si>
    <t>Niranjan</t>
  </si>
  <si>
    <t>Nokha Agrotech Private Limited</t>
  </si>
  <si>
    <t>Nourish9</t>
  </si>
  <si>
    <t>Numix Industries Private Limited</t>
  </si>
  <si>
    <t>Nupur Gattani</t>
  </si>
  <si>
    <t>OCTAVOS ENTERPRISE SOLUTIONS PRIVATE LIMITED GURUGRAM</t>
  </si>
  <si>
    <t>OCTAVOS ENTERPRISE SOLUTIONS PVT LTD GUJ</t>
  </si>
  <si>
    <t>OPTA</t>
  </si>
  <si>
    <t>OPUSTAYZ HOSPITALITY SOLUTIONS PRIVATE LIMITED</t>
  </si>
  <si>
    <t>ORION ACCESSORIES</t>
  </si>
  <si>
    <t>Palak Shah</t>
  </si>
  <si>
    <t>PALM FUELS</t>
  </si>
  <si>
    <t>PANAMA FOODS</t>
  </si>
  <si>
    <t>Panega Tech Solution Private Limited</t>
  </si>
  <si>
    <t>Pankaj Chaddah</t>
  </si>
  <si>
    <t>Pankaj Vidhan</t>
  </si>
  <si>
    <t>Paraj Primlani</t>
  </si>
  <si>
    <t>Paramveer Bhatia</t>
  </si>
  <si>
    <t>PARAS VEGA COMMERCIAL</t>
  </si>
  <si>
    <t>Pashupati Enterprises</t>
  </si>
  <si>
    <t>PEDALS UP INNOVATIONS LLP</t>
  </si>
  <si>
    <t>PERDURA THERAPEUTICS PRIVATE LIMITED</t>
  </si>
  <si>
    <t>Pickel Ball</t>
  </si>
  <si>
    <t>Ppl Care Private Limited</t>
  </si>
  <si>
    <t>Pracchi Poddaar</t>
  </si>
  <si>
    <t>Pradeep Kumar</t>
  </si>
  <si>
    <t>Pranav Kishore</t>
  </si>
  <si>
    <t>Pranjal Patel</t>
  </si>
  <si>
    <t>Prashant Chaturvedi</t>
  </si>
  <si>
    <t>Pratik Sehajpal</t>
  </si>
  <si>
    <t>Priti Narkar</t>
  </si>
  <si>
    <t>Priyanka Chawan</t>
  </si>
  <si>
    <t>PROLINE SALES AGENCY</t>
  </si>
  <si>
    <t>Promax Nutrition</t>
  </si>
  <si>
    <t>PROZVO FITNESS</t>
  </si>
  <si>
    <t>Puja Chaturvedi</t>
  </si>
  <si>
    <t>Punit</t>
  </si>
  <si>
    <t>Pure Life</t>
  </si>
  <si>
    <t>QUANTUM SYSTEMS(PROP ANIRUDDHA GUPTA)</t>
  </si>
  <si>
    <t>RAGHAV TEXTILES CORPORATION</t>
  </si>
  <si>
    <t>Rahul Somani</t>
  </si>
  <si>
    <t>Rajat</t>
  </si>
  <si>
    <t>Rajvi Khajanchi</t>
  </si>
  <si>
    <t>RANCHHODJI TEXTILES / RAM TEXTILES</t>
  </si>
  <si>
    <t>Rans Exports</t>
  </si>
  <si>
    <t>Razorpay Clearing A/c</t>
  </si>
  <si>
    <t>R.D.Distributors</t>
  </si>
  <si>
    <t>RICHARD RAMANUJAM</t>
  </si>
  <si>
    <t>Richa Sharma</t>
  </si>
  <si>
    <t>RICO SEEDS INTERNATIONAL</t>
  </si>
  <si>
    <t>Rishabh Khandelwal</t>
  </si>
  <si>
    <t>Rishi Ahuja</t>
  </si>
  <si>
    <t>Rishi Nilesh Shroff</t>
  </si>
  <si>
    <t>R M Enterprise</t>
  </si>
  <si>
    <t>ROMIL AGENCIES</t>
  </si>
  <si>
    <t>Ronak Gupta</t>
  </si>
  <si>
    <t>ROSHAN CHEMICAL INDUSTRIES</t>
  </si>
  <si>
    <t>ROWTH TECH LIMITED</t>
  </si>
  <si>
    <t>RP-SG VENTURES ADVISORY LLP</t>
  </si>
  <si>
    <t>Ruchieka Dutt</t>
  </si>
  <si>
    <t>Rushabh</t>
  </si>
  <si>
    <t>Rushikesh Aravkar</t>
  </si>
  <si>
    <t>Sagar Didwal</t>
  </si>
  <si>
    <t>Sagarika Exim Private Limited</t>
  </si>
  <si>
    <t>Sai Tradelink</t>
  </si>
  <si>
    <t>Sales Combine</t>
  </si>
  <si>
    <t>Samarth</t>
  </si>
  <si>
    <t>Sambaraju</t>
  </si>
  <si>
    <t>Sameer Hussain</t>
  </si>
  <si>
    <t>Sam enterprise</t>
  </si>
  <si>
    <t>Samriddhi Mittal</t>
  </si>
  <si>
    <t>Sandhya S</t>
  </si>
  <si>
    <t>Sanjukta Nandy</t>
  </si>
  <si>
    <t>Santosh</t>
  </si>
  <si>
    <t>Santosh Chand Misra</t>
  </si>
  <si>
    <t>SARA CAPELA</t>
  </si>
  <si>
    <t>Savera Shah</t>
  </si>
  <si>
    <t>SELLPRO COMMERCE PRIVATE LIMITED</t>
  </si>
  <si>
    <t>SERVEHUNT SERVICES PRIVATE LIMITED</t>
  </si>
  <si>
    <t>SEUTE FASHIONS PRIVATE LIMITED</t>
  </si>
  <si>
    <t>S G ENTERPRISE</t>
  </si>
  <si>
    <t>Shades of Coorg</t>
  </si>
  <si>
    <t>Shafiq M</t>
  </si>
  <si>
    <t>Shagun Agarwal</t>
  </si>
  <si>
    <t>Shailendra Sharma</t>
  </si>
  <si>
    <t>Shanthi</t>
  </si>
  <si>
    <t>Shashwat Saxena</t>
  </si>
  <si>
    <t>Shilpa Sakhare</t>
  </si>
  <si>
    <t>Shiv Shakti Pvt Ltd</t>
  </si>
  <si>
    <t>Shradha Joshi</t>
  </si>
  <si>
    <t>Shree Jhitri</t>
  </si>
  <si>
    <t>Shreeji Enterprise</t>
  </si>
  <si>
    <t>Shreeniwas Traders</t>
  </si>
  <si>
    <t>SHREE VARI MULTIPLAST INDIA PRIVATE LIMITED</t>
  </si>
  <si>
    <t>Shriji Dryfruits &amp; Collection</t>
  </si>
  <si>
    <t>Shubham Chourasia</t>
  </si>
  <si>
    <t>Shubham Enterprise</t>
  </si>
  <si>
    <t>Shubham Nikam</t>
  </si>
  <si>
    <t>Shubham Tandon</t>
  </si>
  <si>
    <t>Shubhangay Exim Pvt Ltd</t>
  </si>
  <si>
    <t>SHYAM MAHAPATRA</t>
  </si>
  <si>
    <t>Siddharth Enterprises</t>
  </si>
  <si>
    <t>Siddhi Lodha</t>
  </si>
  <si>
    <t>SIDDI SUSMITHA</t>
  </si>
  <si>
    <t>Sidharth Javvadi</t>
  </si>
  <si>
    <t>SKIN INNOVATIVE LASER &amp; SKIN SOLUTIONS</t>
  </si>
  <si>
    <t>S &amp; K Marketing</t>
  </si>
  <si>
    <t>SNEHA ANALYTICS AND SCIENTIFICS</t>
  </si>
  <si>
    <t>SNEH ACADEMIC SERVICES PRIVATE LIMITED</t>
  </si>
  <si>
    <t>Sober Ceramics</t>
  </si>
  <si>
    <t>SOLUTE TECHNOLABS PRIVATE LIMITED</t>
  </si>
  <si>
    <t>SONAM MARKETING Prop Suresh Kesharwani</t>
  </si>
  <si>
    <t>SPEED 4 PREFAB SOLUTIONS PVT LTD</t>
  </si>
  <si>
    <t>SRI GANESH AGENCY</t>
  </si>
  <si>
    <t>SRIMAHIMA ENTERPRISES</t>
  </si>
  <si>
    <t>STARDUSTER SCIENCES LLP</t>
  </si>
  <si>
    <t>Star Enterprise</t>
  </si>
  <si>
    <t>ST. John Marketers Pvt. Ltd.</t>
  </si>
  <si>
    <t>Stylus Sound and Lighting Professionals</t>
  </si>
  <si>
    <t>Subash Pathak</t>
  </si>
  <si>
    <t>Subhi Chaturvedi</t>
  </si>
  <si>
    <t>Subhiksha S</t>
  </si>
  <si>
    <t>SUDEV NAIR FILMS PRIVATE LIMITED(M)</t>
  </si>
  <si>
    <t>Suhaar INC</t>
  </si>
  <si>
    <t>Sujit Chaturvedi</t>
  </si>
  <si>
    <t>SUN ARK SERVICES PRIVATE LIMITED</t>
  </si>
  <si>
    <t>Sunil Dho.</t>
  </si>
  <si>
    <t>Super Products Read</t>
  </si>
  <si>
    <t>Suraj Jadhav</t>
  </si>
  <si>
    <t>SURYA SHAKTI VESSELS PVT. LTD</t>
  </si>
  <si>
    <t>Sushil Kum.</t>
  </si>
  <si>
    <t>SWAPNIL ENTERPRISES</t>
  </si>
  <si>
    <t>SWATI STEEL HOUSE</t>
  </si>
  <si>
    <t>Sweta</t>
  </si>
  <si>
    <t>Taajas Food</t>
  </si>
  <si>
    <t>TAJ SATS AIR CATERING LIMITED</t>
  </si>
  <si>
    <t>Tanay Damania</t>
  </si>
  <si>
    <t>TAN PROTEIN STORE</t>
  </si>
  <si>
    <t>Task Access</t>
  </si>
  <si>
    <t>TC INFOTECH PRIVATE LIMITED</t>
  </si>
  <si>
    <t>TECHDIA PRIVATE LIMITED</t>
  </si>
  <si>
    <t>THAJ VENTURES</t>
  </si>
  <si>
    <t>The Fitness Hub</t>
  </si>
  <si>
    <t>THE MILLET COMPANY</t>
  </si>
  <si>
    <t>Theo Solution Private Limited</t>
  </si>
  <si>
    <t>Traimbak Bhat</t>
  </si>
  <si>
    <t>TRENDZ (PROP.KULKARNI SACHIN S)</t>
  </si>
  <si>
    <t>Trinity Signs</t>
  </si>
  <si>
    <t>TSG FITNESS CORNER</t>
  </si>
  <si>
    <t>UCO BANK</t>
  </si>
  <si>
    <t>Unique Solutions</t>
  </si>
  <si>
    <t>Urbanpod Innovation Private Limited</t>
  </si>
  <si>
    <t>UTH BEVERAGE FACTORY PRIVATE LIMITED</t>
  </si>
  <si>
    <t>Vanitha Srinivasan</t>
  </si>
  <si>
    <t>Varam Global Services</t>
  </si>
  <si>
    <t>Vedicai Technologies LLP</t>
  </si>
  <si>
    <t>VEDIKA METALS PRIVATE LIMITED</t>
  </si>
  <si>
    <t>Venkateshwar Rao Poolla</t>
  </si>
  <si>
    <t>Venkat Pasagadugula</t>
  </si>
  <si>
    <t>Venus Distributors</t>
  </si>
  <si>
    <t>VENUS FAASHIIONS</t>
  </si>
  <si>
    <t>VIBRANT DESIGNS PVT LTD</t>
  </si>
  <si>
    <t>Vidhi</t>
  </si>
  <si>
    <t>Vijay Dange</t>
  </si>
  <si>
    <t>VIJAY S</t>
  </si>
  <si>
    <t>Vikash Kumar Jangir</t>
  </si>
  <si>
    <t>VIKAS SHARMA</t>
  </si>
  <si>
    <t>Vikas Singh</t>
  </si>
  <si>
    <t>Vikram Pendharkar</t>
  </si>
  <si>
    <t>Vimal Shah</t>
  </si>
  <si>
    <t>Vinod Food &amp; Mandal</t>
  </si>
  <si>
    <t>Vinod Foods &amp; Beverages</t>
  </si>
  <si>
    <t>VInod Mandal</t>
  </si>
  <si>
    <t>VINOD RICE MILL</t>
  </si>
  <si>
    <t>Vistaran Health Care Services-B2b</t>
  </si>
  <si>
    <t>Vivan Enterprise</t>
  </si>
  <si>
    <t>VIVID FITNESS</t>
  </si>
  <si>
    <t>VK Enterprises</t>
  </si>
  <si>
    <t>V R ENTERPRISE</t>
  </si>
  <si>
    <t>WALLNUT HOMES LLP</t>
  </si>
  <si>
    <t>WATERBRIDGE CAPITAL MANAGEMENT LLP</t>
  </si>
  <si>
    <t>Welcome Medical &amp; General Store</t>
  </si>
  <si>
    <t>Wellness Ville Private Limited</t>
  </si>
  <si>
    <t>We Vend Technologies Private Limited (H)</t>
  </si>
  <si>
    <t>We Vend Technologies Private Limited(K)</t>
  </si>
  <si>
    <t>We Vend Technologies Private Limited(M)</t>
  </si>
  <si>
    <t>We Vend Technologies Private Limited(T)</t>
  </si>
  <si>
    <t>We Vend Technologies Private Limited (TN)</t>
  </si>
  <si>
    <t>We Vend Technologies Private Limited(UP)</t>
  </si>
  <si>
    <t>We Vend Technologies Private Limited (W)</t>
  </si>
  <si>
    <t>WeWork</t>
  </si>
  <si>
    <t>Whiskat Care</t>
  </si>
  <si>
    <t>WINMAK NUTRILABS PRIVATE LIMITED</t>
  </si>
  <si>
    <t>WIRLEBEN SOFTECH PRIVATE LIMITED</t>
  </si>
  <si>
    <t>Wizqart Private Limited</t>
  </si>
  <si>
    <t>Woodencart Online Service LLP</t>
  </si>
  <si>
    <t>WOODENCART ONLINE SERVICES LLP</t>
  </si>
  <si>
    <t>WOWELZ INTERACTEKA PRIVATE LIMITED</t>
  </si>
  <si>
    <t>Yash Chaturvedi</t>
  </si>
  <si>
    <t>Yatin Patel</t>
  </si>
  <si>
    <t>YBS &amp; CO</t>
  </si>
  <si>
    <t>YK RETAILS PRIVATE LIMITED</t>
  </si>
  <si>
    <t>Zeeshan Hasware</t>
  </si>
  <si>
    <t>Zinnia Goswami</t>
  </si>
  <si>
    <t>Deferred Tax Asset</t>
  </si>
  <si>
    <t>Other Receivables</t>
  </si>
  <si>
    <t>Tds Receivables FY 2022-23</t>
  </si>
  <si>
    <t>Tds Receivables FY 2023-24</t>
  </si>
  <si>
    <t>Fixed Assets</t>
  </si>
  <si>
    <t>FURNITURE &amp; FIXTURES</t>
  </si>
  <si>
    <t>FURNITURE &amp; FIXTURES @18%</t>
  </si>
  <si>
    <t>FURNITURE &amp; FIXTURES @ INTERSTATE@12%</t>
  </si>
  <si>
    <t>FURNITURE &amp; FIXTURES @ INTERSTATE@18%</t>
  </si>
  <si>
    <t>OTHER ASSET</t>
  </si>
  <si>
    <t>Electrical Equipment (Asset) @28%</t>
  </si>
  <si>
    <t>Electrification Other  Assets@18%</t>
  </si>
  <si>
    <t>IPAD</t>
  </si>
  <si>
    <t>PLANT &amp; MACHINERY</t>
  </si>
  <si>
    <t>PLANT AND MACHINERY@18%</t>
  </si>
  <si>
    <t>PLANT AND MACHINERY @28%</t>
  </si>
  <si>
    <t>PLANT AND MACHINERY@INTERSTATE@12%</t>
  </si>
  <si>
    <t>PLANT AND MACHINERY @ INTERSTATE@18%</t>
  </si>
  <si>
    <t>PLANT &amp; MACHINERY@ INTERNATIONAL</t>
  </si>
  <si>
    <t>Deprecation Fund- Furniture and Fixtures</t>
  </si>
  <si>
    <t>Depreciation Fund -Other Assets</t>
  </si>
  <si>
    <t>Depreciation Fund-Plant &amp; Machinery</t>
  </si>
  <si>
    <t>Furniture &amp; Fixtures</t>
  </si>
  <si>
    <t>Plant and Machinery</t>
  </si>
  <si>
    <t>Investments</t>
  </si>
  <si>
    <t>FD-140084037995-1</t>
  </si>
  <si>
    <t>FD-140084037995-2</t>
  </si>
  <si>
    <t>Fixed Deposit 50301312519683</t>
  </si>
  <si>
    <t>Fixed Deposit 50301312520875</t>
  </si>
  <si>
    <t>Fixed Deposit 50301312521651</t>
  </si>
  <si>
    <t>Fixed Deposit (FD)-50301088730042-HDFC</t>
  </si>
  <si>
    <t>Term Deposit A/c</t>
  </si>
  <si>
    <t>Misc. Expenses (ASSET)</t>
  </si>
  <si>
    <t>Liabilities</t>
  </si>
  <si>
    <t>Branch / Divisions</t>
  </si>
  <si>
    <t>Drips Food Private Limited(G)</t>
  </si>
  <si>
    <t>Drips Food Private Limited(K)</t>
  </si>
  <si>
    <t>Drips Foods Private Limited(GJ)</t>
  </si>
  <si>
    <t>Drips Foods Private Limited(H)</t>
  </si>
  <si>
    <t>Drips Foods Private Limited-M</t>
  </si>
  <si>
    <t>DRIPS FOOF PRIVATE LIMITED (T)</t>
  </si>
  <si>
    <t>Capital Account</t>
  </si>
  <si>
    <t>COMPULSORY CONVERTIBLE PREFERENCE SHARE CAPITAL</t>
  </si>
  <si>
    <t>Amish Jashwantlal Khandar Share Capital</t>
  </si>
  <si>
    <t>Amit Mohatta Share Capital</t>
  </si>
  <si>
    <t>Avadesh Kishorchandra Karia Share Capital</t>
  </si>
  <si>
    <t>Beyond Seeds Angel Fund 1</t>
  </si>
  <si>
    <t>Bhalala Ventures LLP</t>
  </si>
  <si>
    <t>Bharadva Dikshita Maheshkumar Share Capital</t>
  </si>
  <si>
    <t>Bharatkumar Ishwarlal Mehta Share Capital</t>
  </si>
  <si>
    <t>Capwise Financial Services Pvt Ltd Share Capital</t>
  </si>
  <si>
    <t>Chaitanya Ramesh Kejriwal</t>
  </si>
  <si>
    <t>Chirag Jayrambhai Desai Share Capital</t>
  </si>
  <si>
    <t>Dhaval Bharatbhai Share Capital</t>
  </si>
  <si>
    <t>Dhvani Hardik Patwa Share Capital</t>
  </si>
  <si>
    <t>Divya Ajaykumar Pala Share Capital</t>
  </si>
  <si>
    <t>Giriraj Ajmera Share Capital</t>
  </si>
  <si>
    <t>Growth Sense Venture Fund</t>
  </si>
  <si>
    <t>Harsh Patel Share Capital</t>
  </si>
  <si>
    <t>Hathor Corporate Advisors LLP Share Capital</t>
  </si>
  <si>
    <t>Jainam Shah HUFShare Capital</t>
  </si>
  <si>
    <t>Jignesh Sagala Share Capital</t>
  </si>
  <si>
    <t>Latta Rameshbhai Thakkar Share Capital</t>
  </si>
  <si>
    <t>Mahati Hydro Power Projects Pvt Ltd Share Capital</t>
  </si>
  <si>
    <t>Megha Trushar Shah Share Capital</t>
  </si>
  <si>
    <t>MindTroveInc</t>
  </si>
  <si>
    <t>Modak Vyapar Private Limited Share Capital</t>
  </si>
  <si>
    <t>Mr. Jignesh Harshadrai Sagala</t>
  </si>
  <si>
    <t>Neelam Darshak Maniar Share Capital</t>
  </si>
  <si>
    <t>Neha Nitish Mittal Share Capital</t>
  </si>
  <si>
    <t>Niyati Harsh Mehta Share Capital</t>
  </si>
  <si>
    <t>Partik Kiritkumar Shah Share Capital</t>
  </si>
  <si>
    <t>Parulben Kalpeshbhai Rachchh Share Capital</t>
  </si>
  <si>
    <t>Prakashkumar Ishwarlal Mehta Share Capital</t>
  </si>
  <si>
    <t>Priyanka Shwetkumar Share Capital</t>
  </si>
  <si>
    <t>Rajash D Shah HUF Share Capital</t>
  </si>
  <si>
    <t>Rajash D Share Capital</t>
  </si>
  <si>
    <t>Rajul Sandeep Jhaveri</t>
  </si>
  <si>
    <t>Ranjanben Kantilal Gandhi Share Capital</t>
  </si>
  <si>
    <t>Rohit Mittal</t>
  </si>
  <si>
    <t>Roman Saini</t>
  </si>
  <si>
    <t>Satarangi Fashion Pvt Ltd</t>
  </si>
  <si>
    <t>Shakun Advisors Private Limited Share Capital</t>
  </si>
  <si>
    <t>Shakun Medicare Private Limited Share Capital</t>
  </si>
  <si>
    <t>Shakun Snazzy Private Limited Share Capital</t>
  </si>
  <si>
    <t>Shakun Universal Private Limited Share Capital</t>
  </si>
  <si>
    <t>Shreeyansh Edutrade LLP Capital A/c</t>
  </si>
  <si>
    <t>Shweta Rajit Tilani Share Capital</t>
  </si>
  <si>
    <t>Siddharth Ramesh Kejriwal</t>
  </si>
  <si>
    <t>Suryakant Chunilal Shah HUF Share Capital</t>
  </si>
  <si>
    <t>Syquant Ventures LLP Share Capital</t>
  </si>
  <si>
    <t>Udyamvistaar Ventures LLP</t>
  </si>
  <si>
    <t>Vatvistaar Ventures LLP Share Capital</t>
  </si>
  <si>
    <t>Vishal Shirish Doshi Share Capital</t>
  </si>
  <si>
    <t>Vishal Shivprasad Dhoot Share Capital</t>
  </si>
  <si>
    <t>Vivek Madhav Damle Share Capital</t>
  </si>
  <si>
    <t>EQUITY SHARE CAPITAL</t>
  </si>
  <si>
    <t>Bharti Chaturvedi Share Capital</t>
  </si>
  <si>
    <t>Darshan Gattani Share Capital</t>
  </si>
  <si>
    <t>Rohan Shah Share Capital</t>
  </si>
  <si>
    <t>Shilaben Vimal Shah Share Capital</t>
  </si>
  <si>
    <t>Shiven Chaturvedi Share Capital</t>
  </si>
  <si>
    <t>Suman Devi Gattani Share Capital</t>
  </si>
  <si>
    <t>Reserves &amp; Surplus</t>
  </si>
  <si>
    <t>Capital Reserve</t>
  </si>
  <si>
    <t>PROFIT AND LOSS ACCUMULATION A/C</t>
  </si>
  <si>
    <t>Securities Premium A/c</t>
  </si>
  <si>
    <t>Securities Premium on Debentures</t>
  </si>
  <si>
    <t>Vsure Investment Affairs Pvt Ltd Share Capital</t>
  </si>
  <si>
    <t>Current Liabilities</t>
  </si>
  <si>
    <t>Duties &amp; Taxes</t>
  </si>
  <si>
    <t>Output GST</t>
  </si>
  <si>
    <t>Output CGST @2.5%</t>
  </si>
  <si>
    <t>Output CGST @6%</t>
  </si>
  <si>
    <t>OUTPUT CGST@9%</t>
  </si>
  <si>
    <t>Output IGST @12%</t>
  </si>
  <si>
    <t>OUTPUT IGST@18%</t>
  </si>
  <si>
    <t>Output SGST @2.5%</t>
  </si>
  <si>
    <t>Output SGST @6%</t>
  </si>
  <si>
    <t>OUTPUT SGST@9%</t>
  </si>
  <si>
    <t>TDS</t>
  </si>
  <si>
    <t>Tds on Profession U/s 194J</t>
  </si>
  <si>
    <t>TDS Payable</t>
  </si>
  <si>
    <t>TDS U/S 194C</t>
  </si>
  <si>
    <t>TDS U/S 194H</t>
  </si>
  <si>
    <t>TDS U/S 194I</t>
  </si>
  <si>
    <t>TDS U/S 194O</t>
  </si>
  <si>
    <t>TDS U/S 92B</t>
  </si>
  <si>
    <t>Cess Ac.</t>
  </si>
  <si>
    <t>GST Payble</t>
  </si>
  <si>
    <t>MUNICIPAL TAX</t>
  </si>
  <si>
    <t>Output IGST @5%</t>
  </si>
  <si>
    <t>Expense Reimbrusement</t>
  </si>
  <si>
    <t>Darshan Gattani Expenses Reimbrusement</t>
  </si>
  <si>
    <t>Rohan Shah Expenses Reimbrusement</t>
  </si>
  <si>
    <t>Shiven Chaturvedi Reimbrusement</t>
  </si>
  <si>
    <t>Other Current Liabilities</t>
  </si>
  <si>
    <t>Directors Remuneration Payable</t>
  </si>
  <si>
    <t>Salary Payable - Darshan Gattani</t>
  </si>
  <si>
    <t>Salary Payable - Rohan Shah</t>
  </si>
  <si>
    <t>Salary Payable - Shiven Chaturvedi</t>
  </si>
  <si>
    <t>Salary / Wages Payable</t>
  </si>
  <si>
    <t>Anjanaben Kantibhai Rathod</t>
  </si>
  <si>
    <t>Anjnaben Pareshbhai Rathod</t>
  </si>
  <si>
    <t>Arunaben Shankarbhai Parmar</t>
  </si>
  <si>
    <t>Ashwinkumar Dhudabhai Parmar Salary Payable</t>
  </si>
  <si>
    <t>Bharat Chaudhari-Salary A/c</t>
  </si>
  <si>
    <t>Bhumika Solanki Salary</t>
  </si>
  <si>
    <t>Chandrashekhar Rangappa Nayak</t>
  </si>
  <si>
    <t>Damor Pareshbhai</t>
  </si>
  <si>
    <t>Gauriben Pandor</t>
  </si>
  <si>
    <t>Himanshu Bhanuprasad Acharya-Salary A/c</t>
  </si>
  <si>
    <t>Mistry Rahul Jagdishbhai-Salary A/c</t>
  </si>
  <si>
    <t>Mohammed Kaiyum Mansuri</t>
  </si>
  <si>
    <t>Neetaben Solanki  Salary</t>
  </si>
  <si>
    <t>Nitaben Nayan Thakor</t>
  </si>
  <si>
    <t>Parmar Nayankumar Khemchandbhai - Salary</t>
  </si>
  <si>
    <t>Purvika Ben</t>
  </si>
  <si>
    <t>Riteshbhai Ganpatbhai Parmar-Salary A/c</t>
  </si>
  <si>
    <t>Rohan Vimal Shah-Salary A/c</t>
  </si>
  <si>
    <t>Rovalekar Samrudhi Rohidas Stipend</t>
  </si>
  <si>
    <t>Salary Payable-Akash</t>
  </si>
  <si>
    <t>Salary Payable - Aman Kushwah</t>
  </si>
  <si>
    <t>Salary Payable - Chandrashekhar Shinde</t>
  </si>
  <si>
    <t>Salary Payable - Dimple Ravjani</t>
  </si>
  <si>
    <t>Salary Payable - Geeta Ben Rathod</t>
  </si>
  <si>
    <t>Salary Payable - GOHEL HANSABEN KISHORBHAI</t>
  </si>
  <si>
    <t>Salary Payable-Hemant</t>
  </si>
  <si>
    <t>Salary Payable - Hetalben Solanki</t>
  </si>
  <si>
    <t>Salary Payable - Jay Parmar</t>
  </si>
  <si>
    <t>Salary Payable - Kinjal Vaghela</t>
  </si>
  <si>
    <t>Salary Payable - MAHIMA</t>
  </si>
  <si>
    <t>Salary Payable - Nayan Kumar Parmar</t>
  </si>
  <si>
    <t>Salary Payable - Parmar AswinKumar</t>
  </si>
  <si>
    <t>Salary Payable - Parmar Vishwaskumar</t>
  </si>
  <si>
    <t>Salary Payable - Radha Kumari</t>
  </si>
  <si>
    <t>Salary Payable - Rajesh Jayantilal Drona</t>
  </si>
  <si>
    <t>Salary Payable - Reemaben</t>
  </si>
  <si>
    <t>Salary Payable - Sangada Suhaniben</t>
  </si>
  <si>
    <t>Salary Payable - Sanjay Pundalik Rukekar</t>
  </si>
  <si>
    <t>Salary Payable - Sanju</t>
  </si>
  <si>
    <t>Salary Payable - Senva Manishaben Kiritbhai</t>
  </si>
  <si>
    <t>Salary Payable - Sonalben M Damor</t>
  </si>
  <si>
    <t>Salary Payable - Sudhir Gupta</t>
  </si>
  <si>
    <t>Salary Payable - Vaibhaviben Panchasar</t>
  </si>
  <si>
    <t>Salary Payable - Vaibhav Vinay Toshniwal</t>
  </si>
  <si>
    <t>Santosh Ingle-Salary A/c</t>
  </si>
  <si>
    <t>Senva Ushaben Nareshbhai</t>
  </si>
  <si>
    <t>Vaibhav Vinay Toshniwal</t>
  </si>
  <si>
    <t>Varma Sandipkumar Rajkumar-Salary A/c</t>
  </si>
  <si>
    <t>Vijay Balgovind Gupta-Salary A/c</t>
  </si>
  <si>
    <t>Credit Card</t>
  </si>
  <si>
    <t>Darshan Fuel Allowance</t>
  </si>
  <si>
    <t>ESIC Payable</t>
  </si>
  <si>
    <t>PROFESSIONAL TAX PAYABLE</t>
  </si>
  <si>
    <t>Rohan Fuel Allowance</t>
  </si>
  <si>
    <t>Shiven Fuel Allowance Exp</t>
  </si>
  <si>
    <t>Provisions</t>
  </si>
  <si>
    <t>Audit Fees Payable</t>
  </si>
  <si>
    <t>Professional Fees Payable</t>
  </si>
  <si>
    <t>Provision for Expense Liability</t>
  </si>
  <si>
    <t>Sundry Creditors</t>
  </si>
  <si>
    <t>B2B Creditors</t>
  </si>
  <si>
    <t>Logistic Creditors</t>
  </si>
  <si>
    <t>VRL Logistics Limited</t>
  </si>
  <si>
    <t>Vrl Logistics Limited</t>
  </si>
  <si>
    <t>VRL Logistics Limited (D)</t>
  </si>
  <si>
    <t>VRL LOGISTICS LIMITED-Tel</t>
  </si>
  <si>
    <t>VRL LOGISTICS LIMITED (UTTAR PRADESH)</t>
  </si>
  <si>
    <t>VRL LOGISTICS LIMITED, VIJAYANAND TRAVELS-(M)</t>
  </si>
  <si>
    <t>VRL Logistics Ltd (K)</t>
  </si>
  <si>
    <t>Chandra Logistics Service</t>
  </si>
  <si>
    <t>DELHIVERY  LIMITED</t>
  </si>
  <si>
    <t>Delivery Pax</t>
  </si>
  <si>
    <t>DP WORLD EXPRESS LOGISTICS PRIVATE LIMITED</t>
  </si>
  <si>
    <t>SMARTSHIFT LOGISTICS SOLUTIONS PRIVATE LIMITED-27</t>
  </si>
  <si>
    <t>Marketplace Creditors</t>
  </si>
  <si>
    <t>Amazon Creditors</t>
  </si>
  <si>
    <t>Amazon Advertisement</t>
  </si>
  <si>
    <t>Amazone Seller Service Pvt Ltd</t>
  </si>
  <si>
    <t>Amazon.in (Karnataka)</t>
  </si>
  <si>
    <t>Amazon Seller Services(Haryana)</t>
  </si>
  <si>
    <t>AMAZON SELLER SERVICES PRIVATE LIMITED-M</t>
  </si>
  <si>
    <t>AMAZON SELLER SERVICES PRIVATE LIMITED-(T)</t>
  </si>
  <si>
    <t>AMAZON SELLER SERVICES PVT LTD (GJ)</t>
  </si>
  <si>
    <t>AMAZON SELLER SERVICES PVT LTD-(K)</t>
  </si>
  <si>
    <t>Flipkart Creditors</t>
  </si>
  <si>
    <t>FLIPKART INDIA PRIVATE LIMITED-M</t>
  </si>
  <si>
    <t>FLIPKART INTERNET PRIVATE LIMITED(K)</t>
  </si>
  <si>
    <t>Flipkart Pvt Ltd</t>
  </si>
  <si>
    <t>Amazon Wholesale India Private Limited HR</t>
  </si>
  <si>
    <t>Packing Material Creditors</t>
  </si>
  <si>
    <t>A2Z Box Private Limited</t>
  </si>
  <si>
    <t>Bajaj Industries</t>
  </si>
  <si>
    <t>Shyam Print N Pack</t>
  </si>
  <si>
    <t>Quickcomm Creditors</t>
  </si>
  <si>
    <t>Blinkit Creditors</t>
  </si>
  <si>
    <t>BLINK COMMERCE PRIVATE LIMITED-08</t>
  </si>
  <si>
    <t>Blink Commerce Private Limited-30</t>
  </si>
  <si>
    <t>BLINK COMMERCE PRIVATE LIMITED-37</t>
  </si>
  <si>
    <t>Blink Commerce Private Limited AP Cr.</t>
  </si>
  <si>
    <t>BLINK COMMERCE PRIVATE LIMITED -D</t>
  </si>
  <si>
    <t>Blink Commerce Private Limited DL Cr.</t>
  </si>
  <si>
    <t>Blink Commerce Private Limited GA Cr.</t>
  </si>
  <si>
    <t>Blink Commerce Private Limited GJ Cr</t>
  </si>
  <si>
    <t>Blink Commerce Private Limited(H)</t>
  </si>
  <si>
    <t>Blink Commerce Private Limited HR Cr.</t>
  </si>
  <si>
    <t>BLINK COMMERCE PRIVATE LIMITED-K</t>
  </si>
  <si>
    <t>Blink Commerce Private Limited KA Cr.</t>
  </si>
  <si>
    <t>Blink Commerce Private Limited MH Cr.</t>
  </si>
  <si>
    <t>Blink Commerce Private Limited PB Cr.</t>
  </si>
  <si>
    <t>Blink Commerce Private Limited RJ Cr.</t>
  </si>
  <si>
    <t>BLINK COMMERCE PRIVATE LIMITED(T)</t>
  </si>
  <si>
    <t>Blink Commerce Private Limited TN Cr.</t>
  </si>
  <si>
    <t>Blink Commerce Private Limited TS Cr.</t>
  </si>
  <si>
    <t>Blink Commerce Private Limited UK Cr.</t>
  </si>
  <si>
    <t>Blink Commerce Private Limited UP Cr.</t>
  </si>
  <si>
    <t>Blink Commerce Private Limited WB Cr.</t>
  </si>
  <si>
    <t>Blinkit Commerce Private Limited-Purchase</t>
  </si>
  <si>
    <t>INNOVATIVE RETAIL CONCEPTS PRIVATE Ltd BANGALORE-(P)</t>
  </si>
  <si>
    <t>KiranaKart(Cr.)(M)</t>
  </si>
  <si>
    <t>Zepto Private Limited KR Cr</t>
  </si>
  <si>
    <t>Zepto Private Limited PMDDN</t>
  </si>
  <si>
    <t>Raw Material Creditors</t>
  </si>
  <si>
    <t>Aarav Fragrances and Flavours Private Limited</t>
  </si>
  <si>
    <t>ABHAYA INTERNATIONAL LLP</t>
  </si>
  <si>
    <t>Alpino Health Foods Private Limited</t>
  </si>
  <si>
    <t>ASHAPURA AGROCOMM PRIVATE LIMITED</t>
  </si>
  <si>
    <t>Asha Ram &amp; Sons Pvt Ltd</t>
  </si>
  <si>
    <t>Asha Ram &amp; Sons Pvt. Ltd.(U)</t>
  </si>
  <si>
    <t>BIO SPECHEM</t>
  </si>
  <si>
    <t>Flavaroma Flavours and Fragrances</t>
  </si>
  <si>
    <t>Good Memories Pvt Ltd</t>
  </si>
  <si>
    <t>HELP US GREEN LLP</t>
  </si>
  <si>
    <t>HYPER FOODS PRIVATE LIMITED</t>
  </si>
  <si>
    <t>Jindutt Superfoods Private Limited-P</t>
  </si>
  <si>
    <t>Krishna Products</t>
  </si>
  <si>
    <t>Modern Ingredients</t>
  </si>
  <si>
    <t>Neehar Trading</t>
  </si>
  <si>
    <t>Nilam Trading</t>
  </si>
  <si>
    <t>Nutralife Foods LLP</t>
  </si>
  <si>
    <t>Raghuvanshi Traders</t>
  </si>
  <si>
    <t>Regency Global Ingredient LLP</t>
  </si>
  <si>
    <t>Revelations Biotech Private Limited</t>
  </si>
  <si>
    <t>SCOPE HEALTH &amp; WELLNESS PRIVATE LIMITED</t>
  </si>
  <si>
    <t>Shree Ganesh Enterprise</t>
  </si>
  <si>
    <t>SK Consumer Wellness Coffee</t>
  </si>
  <si>
    <t>Smile for Miles Gifts India</t>
  </si>
  <si>
    <t>STAR TRADING COMPANY</t>
  </si>
  <si>
    <t>Swati Enterprise</t>
  </si>
  <si>
    <t>Synthite Industries Private Limited</t>
  </si>
  <si>
    <t>Tayesha Trading Company</t>
  </si>
  <si>
    <t>Thakkar Enterprise</t>
  </si>
  <si>
    <t>Tricore Enterprise</t>
  </si>
  <si>
    <t>TRU NATIVE F&amp;B PRIVATE LIMITED</t>
  </si>
  <si>
    <t>VKE FOOD SOLUTIONS PRIVATE LIMITED</t>
  </si>
  <si>
    <t>YASHEEL FOODS LLP</t>
  </si>
  <si>
    <t>Yash Enterprise</t>
  </si>
  <si>
    <t>Sundry Creditors for Exp.</t>
  </si>
  <si>
    <t>Adarsh Industries</t>
  </si>
  <si>
    <t>Air India Limited</t>
  </si>
  <si>
    <t>Alankit Assignments Ltd</t>
  </si>
  <si>
    <t>AROMA AIRCONDITIONING</t>
  </si>
  <si>
    <t>A R T H A and Associates</t>
  </si>
  <si>
    <t>Avinash Cargo Private Limited</t>
  </si>
  <si>
    <t>Avinash Cargo Pvt Ltd</t>
  </si>
  <si>
    <t>Barque Hotels Pvt Ltd</t>
  </si>
  <si>
    <t>Bhavik Soni</t>
  </si>
  <si>
    <t>Canopy Essence Pvt Ltd</t>
  </si>
  <si>
    <t>Canva</t>
  </si>
  <si>
    <t>CENTRAL DEPOSITORY SERVICES (INDIA) LIMITED</t>
  </si>
  <si>
    <t>Clicktech Retail Private Limited</t>
  </si>
  <si>
    <t>Clicktech Retail Private Limited (H)</t>
  </si>
  <si>
    <t>Clicktech Retail Private Limited (M)</t>
  </si>
  <si>
    <t>COCOBLU RETAIL LIMITED</t>
  </si>
  <si>
    <t>COCOBLU RETAIL LIMITED (D)</t>
  </si>
  <si>
    <t>Darbar Uniform &amp; Workwear</t>
  </si>
  <si>
    <t>DBS Wing</t>
  </si>
  <si>
    <t>Diksha Pradeep Vaikar</t>
  </si>
  <si>
    <t>Drasti Power Tools &amp; Electricals</t>
  </si>
  <si>
    <t>DROGHERIA SELLERS PRIVATE LIMITED</t>
  </si>
  <si>
    <t>EAGLE TRADELINKS PVT.LTD.</t>
  </si>
  <si>
    <t>ETHNIC SURAT COM</t>
  </si>
  <si>
    <t>Ethnic Surat Com (G)</t>
  </si>
  <si>
    <t>Ethnic Surat Com (M)</t>
  </si>
  <si>
    <t>FALCON CARGO</t>
  </si>
  <si>
    <t>Growth 91 Advisors Private Limited</t>
  </si>
  <si>
    <t>Growth Sense Pvt Ltd</t>
  </si>
  <si>
    <t>Hakimi Traders</t>
  </si>
  <si>
    <t>Hotel Sarvoday</t>
  </si>
  <si>
    <t>Hotel Stay Inn</t>
  </si>
  <si>
    <t>Hotel Trimurti</t>
  </si>
  <si>
    <t>Interglobe Aviation Limited (Gj)</t>
  </si>
  <si>
    <t>Interglobe Aviation Limited (M)</t>
  </si>
  <si>
    <t>Jains" Hotel Rajhans</t>
  </si>
  <si>
    <t>Komal Jain(Aurum Creations)</t>
  </si>
  <si>
    <t>Krishna Ramchandani</t>
  </si>
  <si>
    <t>Mahavir EngimachPrivate Limited</t>
  </si>
  <si>
    <t>MAKE MY TRIP (INDIA) PVT. LTD.</t>
  </si>
  <si>
    <t>M and T Industries</t>
  </si>
  <si>
    <t>MEERA FOOD AND BEVERAGES</t>
  </si>
  <si>
    <t>Ministry of Railways</t>
  </si>
  <si>
    <t>Mistry Rahul Jagdishbhai</t>
  </si>
  <si>
    <t>M K Enterprises</t>
  </si>
  <si>
    <t>Mridul Jangid</t>
  </si>
  <si>
    <t>M/S ONE 97 COMMUNICATION LTD</t>
  </si>
  <si>
    <t>NATIONAL SECURITIES DEPOSITORY LIMITED</t>
  </si>
  <si>
    <t>NIRAMISH NOW</t>
  </si>
  <si>
    <t>Om Enterprise</t>
  </si>
  <si>
    <t>Onsite Electro Services Private Limited</t>
  </si>
  <si>
    <t>Orionz Industries Pvt Ltd</t>
  </si>
  <si>
    <t>Paradise Hospitality</t>
  </si>
  <si>
    <t>Parth Bharewala</t>
  </si>
  <si>
    <t>Porter</t>
  </si>
  <si>
    <t>Rajesh Gantara</t>
  </si>
  <si>
    <t>RAMANI AND CO</t>
  </si>
  <si>
    <t>Rani Gupta</t>
  </si>
  <si>
    <t>Rathod Pushpaben Rahulbhai</t>
  </si>
  <si>
    <t>R D Mobile Solutions Pvt Ltd</t>
  </si>
  <si>
    <t>Riteshbhai Ganpatbhai Parmar</t>
  </si>
  <si>
    <t>Rotary Club</t>
  </si>
  <si>
    <t>SAGAR MODULAR FURNITURE</t>
  </si>
  <si>
    <t>SANJEEVNI MULTI SERVICES</t>
  </si>
  <si>
    <t>Santosh Ingle</t>
  </si>
  <si>
    <t>Sanvi Khanna Marketing</t>
  </si>
  <si>
    <t>SHARP MEDIA SERVICES</t>
  </si>
  <si>
    <t>Shree Maruti Scientific</t>
  </si>
  <si>
    <t>Shuru Advisory Pvt Ltd</t>
  </si>
  <si>
    <t>Siddharth Loungani</t>
  </si>
  <si>
    <t>Sky Flexi Pack</t>
  </si>
  <si>
    <t>Superlytics Technologies Private Limited</t>
  </si>
  <si>
    <t>Swiggy for Exp</t>
  </si>
  <si>
    <t>Truptiben</t>
  </si>
  <si>
    <t>Uttar Gujrat Vij Company Limited</t>
  </si>
  <si>
    <t>VAIBHAV CAFE</t>
  </si>
  <si>
    <t>Vishwakarma Pakaging</t>
  </si>
  <si>
    <t>V Trans</t>
  </si>
  <si>
    <t>V Trans (India) Ltd (G)</t>
  </si>
  <si>
    <t>V TRANS, V XPRESS &amp; V LOGIS</t>
  </si>
  <si>
    <t>WLDD Private Limited</t>
  </si>
  <si>
    <t>Aakash Business Solution</t>
  </si>
  <si>
    <t>Aanal Magnetic Industries</t>
  </si>
  <si>
    <t>Abhishek Chhajed And Associates</t>
  </si>
  <si>
    <t>Accurate Products And Services</t>
  </si>
  <si>
    <t>Adaa and Ruchi Associates</t>
  </si>
  <si>
    <t>ADANI DIGITAL LABS PRIVATE LIMITED</t>
  </si>
  <si>
    <t>Adhasive Stamp</t>
  </si>
  <si>
    <t>Affiliate Traders</t>
  </si>
  <si>
    <t>Agro Solvent Product Pvt Ltd</t>
  </si>
  <si>
    <t>AIR INDIA LIMITED-(K)</t>
  </si>
  <si>
    <t>Airwill Home Collections Pvt Ltd</t>
  </si>
  <si>
    <t>Ajay Dhanaji Haral</t>
  </si>
  <si>
    <t>Ajit Shyamkishor Jha</t>
  </si>
  <si>
    <t>Akay Natural Ingredient Private Limited</t>
  </si>
  <si>
    <t>AKSHAR GRAVURES</t>
  </si>
  <si>
    <t>Amanora the Fern Hotel &amp; Club</t>
  </si>
  <si>
    <t>Aman Roadlines</t>
  </si>
  <si>
    <t>Amardhar Dubey</t>
  </si>
  <si>
    <t>AMEYA PERFORMATT PVT. LTD.</t>
  </si>
  <si>
    <t>A.M TRADING</t>
  </si>
  <si>
    <t>Anaysha Health Solutions Pvt Ltd</t>
  </si>
  <si>
    <t>Anbronica Technologies Pvt Ltd</t>
  </si>
  <si>
    <t>ANBS ENTERPRISE PRIVATE LIMITED-Delhi</t>
  </si>
  <si>
    <t>Angan Enterprise -Purchase</t>
  </si>
  <si>
    <t>Anil Bhati</t>
  </si>
  <si>
    <t>Anil Kumar Chenva</t>
  </si>
  <si>
    <t>Aparna Vishwas Sawant</t>
  </si>
  <si>
    <t>APPARIO RETAIL PRIVATE LIMITED (Telegana)</t>
  </si>
  <si>
    <t>Appario Retail Private Ltd</t>
  </si>
  <si>
    <t>ARBRO PHARMACEUTICALS PRIVATE LIMITED</t>
  </si>
  <si>
    <t>ARPITABEN</t>
  </si>
  <si>
    <t>A.S Enterprises</t>
  </si>
  <si>
    <t>Asha Telecom</t>
  </si>
  <si>
    <t>Ashutosh Ashok Vaidya</t>
  </si>
  <si>
    <t>Ashwinbhai Tribhovanbhai Solanki</t>
  </si>
  <si>
    <t>Atul N. Mehata</t>
  </si>
  <si>
    <t>Avadh Fast Food</t>
  </si>
  <si>
    <t>Ava International Pvt Ltd</t>
  </si>
  <si>
    <t>Ava International Pvt Ltd (D)</t>
  </si>
  <si>
    <t>AVK Tasteful Trails Afro House</t>
  </si>
  <si>
    <t>AVR Hotels</t>
  </si>
  <si>
    <t>Avyay Foods Ingredients Pvt Ltd</t>
  </si>
  <si>
    <t>AVYAY LEGAL &amp; FINANCIAL ADVISORS LLP</t>
  </si>
  <si>
    <t>Axio Biosolutions Private Limited</t>
  </si>
  <si>
    <t>Ayurva and Associates</t>
  </si>
  <si>
    <t>Baldev Das Jhawar</t>
  </si>
  <si>
    <t>BEACON CONSULTANCY</t>
  </si>
  <si>
    <t>BEYONDSEED INDIA PRIVATE LIMITED</t>
  </si>
  <si>
    <t>Bigfoot Retail Solutions Private Limited</t>
  </si>
  <si>
    <t>BIGFOOT RETAIL SOLUTIONS PRIVATE LIMITED (D)</t>
  </si>
  <si>
    <t>Bijal Vaghela</t>
  </si>
  <si>
    <t>Bilal Iqbal nadmal</t>
  </si>
  <si>
    <t>Bins &amp; Services</t>
  </si>
  <si>
    <t>BK Media</t>
  </si>
  <si>
    <t>Bloom Suites (M)</t>
  </si>
  <si>
    <t>Blueboy Industries-(20-21-22)</t>
  </si>
  <si>
    <t>Blue Zone Online Marketing Solutions</t>
  </si>
  <si>
    <t>BNA DEVELOPERS LLP</t>
  </si>
  <si>
    <t>Brainbox Communications</t>
  </si>
  <si>
    <t>Care IP Law Firm</t>
  </si>
  <si>
    <t>CFO ADVISORY SERVICES &amp; SOLUTIONS PRIVATE LIMITED</t>
  </si>
  <si>
    <t>CFOP TECHNOLOGIES PRIVATE LIMITED</t>
  </si>
  <si>
    <t>Chanchalben Saileshkumar Patel</t>
  </si>
  <si>
    <t>Charpot Samitaben Pankajbhai</t>
  </si>
  <si>
    <t>CHARTERED SPEED LIMITED</t>
  </si>
  <si>
    <t>Chirag Goyal Trading Co.</t>
  </si>
  <si>
    <t>Cibus Console Pvt Limited</t>
  </si>
  <si>
    <t>CIMPRESS INDIA PRIVATE LIMITED</t>
  </si>
  <si>
    <t>CLASSIC ENTERPRISE</t>
  </si>
  <si>
    <t>CLICKTECH RETAIL PRIVATE LIMITED(D)</t>
  </si>
  <si>
    <t>CLICKTECH RETAIL PRIVATE LIMITED-MP</t>
  </si>
  <si>
    <t>Cocoblu Retail Limited (M)</t>
  </si>
  <si>
    <t>COCOBLU RETAIL LIMITED(RJ)</t>
  </si>
  <si>
    <t>CODETASKER</t>
  </si>
  <si>
    <t>COFFEE CODES INDIA PRIVATE LIMITED(K)</t>
  </si>
  <si>
    <t>Coliwo</t>
  </si>
  <si>
    <t>Colonel Consulting Partners LLP</t>
  </si>
  <si>
    <t>COLOUR BOX</t>
  </si>
  <si>
    <t>Cropel International Pvt Ltd</t>
  </si>
  <si>
    <t>Das Foodtech Private Limited</t>
  </si>
  <si>
    <t>Deepak Trading Company</t>
  </si>
  <si>
    <t>Deep Trivedi</t>
  </si>
  <si>
    <t>Delhi Analytical Resaerch Laboratery</t>
  </si>
  <si>
    <t>DELIGHT SERVICES AND MAINTENANCE PVT LTD</t>
  </si>
  <si>
    <t>Devsankalp Flexipack</t>
  </si>
  <si>
    <t>Dharmendrabhai Parsotambhai Makwana</t>
  </si>
  <si>
    <t>DHL EXPRESS (INDIA)  PVT LTD</t>
  </si>
  <si>
    <t>Dineshbhai Ramanbhai Damon</t>
  </si>
  <si>
    <t>DORABJEE &amp; CO PVT LTD</t>
  </si>
  <si>
    <t>D.P Lab Instruments</t>
  </si>
  <si>
    <t>Drakshe Shraddha Ratnakar</t>
  </si>
  <si>
    <t>Dream Forest</t>
  </si>
  <si>
    <t>Drips Foods Limited (G) (Cr)</t>
  </si>
  <si>
    <t>Drips Foods Private Limited(H)(Cr)</t>
  </si>
  <si>
    <t>Drips Foods Private Limited (K)(Cr)</t>
  </si>
  <si>
    <t>DRONESWAN PRODUCTION (OPC) PRIVATE LIMITED</t>
  </si>
  <si>
    <t>E And S Food Technologies Pvt Ltd</t>
  </si>
  <si>
    <t>Earth Like Organics</t>
  </si>
  <si>
    <t>Earthly India(U)</t>
  </si>
  <si>
    <t>EData Ventures Private Limited</t>
  </si>
  <si>
    <t>Enabel Plugz Enterprise Solutions LLP</t>
  </si>
  <si>
    <t>Equinox Labs Pvt Ltd</t>
  </si>
  <si>
    <t>Etrade Marketing Private Limited (M)</t>
  </si>
  <si>
    <t>Etrade Marketing Pvt Ltd</t>
  </si>
  <si>
    <t>ETRADE MARKETING PVT LTD (G)</t>
  </si>
  <si>
    <t>EXCELLENCE</t>
  </si>
  <si>
    <t>FACEBOOK INDIA ONLINE SERVICES PRIVATE LIMITED</t>
  </si>
  <si>
    <t>FEDEX EXPRESS TRANSPORTATION AND SUPPY CHAIN SERVICE (INDIA) PVT .LTD.</t>
  </si>
  <si>
    <t>FIRE BALL TECHNOLOGIES</t>
  </si>
  <si>
    <t>Firoz Nashir Shaikh</t>
  </si>
  <si>
    <t>FITNESSTACK INDIA PRIVATE LIMITED-Purchase</t>
  </si>
  <si>
    <t>Flamingo Hardware &amp; Tools</t>
  </si>
  <si>
    <t>Food Junction Store</t>
  </si>
  <si>
    <t>Food Safety and Standards Authority of India(Fssai)</t>
  </si>
  <si>
    <t>Food Sure Solution -P</t>
  </si>
  <si>
    <t>Fornick Enterprise</t>
  </si>
  <si>
    <t>Frank Leisure And Events Private Limited</t>
  </si>
  <si>
    <t>Gajanan Print Solutions</t>
  </si>
  <si>
    <t>GARG MUKESH &amp; CO.</t>
  </si>
  <si>
    <t>Ga Trade Links Private Limited</t>
  </si>
  <si>
    <t>Gaurav Mishra</t>
  </si>
  <si>
    <t>Gautam Enterprises</t>
  </si>
  <si>
    <t>Ghanshyam Trading Co</t>
  </si>
  <si>
    <t>GOBBLECUBE TECH PVT LTD</t>
  </si>
  <si>
    <t>Go Digit General Insurance Limited</t>
  </si>
  <si>
    <t>GOOGLE INDIA PVT LTD</t>
  </si>
  <si>
    <t>Grey Swift Private Limited</t>
  </si>
  <si>
    <t>GS1 India</t>
  </si>
  <si>
    <t>GUJARAT LABORATORY</t>
  </si>
  <si>
    <t>Happy Holidays</t>
  </si>
  <si>
    <t>HAPPYMATES</t>
  </si>
  <si>
    <t>Hareshkumar Pravinbhai Solanki</t>
  </si>
  <si>
    <t>HDFC ERGO GENERAL INSURANCE COMPANY LIMITED</t>
  </si>
  <si>
    <t>HINDMED</t>
  </si>
  <si>
    <t>Hiren Chandrakant Solanki</t>
  </si>
  <si>
    <t>HISAB KITAB BUSINESS SOLUTIONS PRIVATE LIMITED</t>
  </si>
  <si>
    <t>Hi Tech Healthcare Laboratory &amp; Research Center</t>
  </si>
  <si>
    <t>HI TECH NATURAL PRODUCTS INDIA LIMITED</t>
  </si>
  <si>
    <t>H &amp; J Associates</t>
  </si>
  <si>
    <t>HOTEL ASHIRWAD SHRI SAIRAMA HOTELS PVT LTD</t>
  </si>
  <si>
    <t>Hotel Oasis</t>
  </si>
  <si>
    <t>Hotel Omni Palace</t>
  </si>
  <si>
    <t>Hotel Sahar International</t>
  </si>
  <si>
    <t>Hyuga Ecommerce Ventures Pvt Ltd</t>
  </si>
  <si>
    <t>IBIBO GROUP PRIVATE LIMITED</t>
  </si>
  <si>
    <t>IKIGAI CHASE PRIVATE LIMITED</t>
  </si>
  <si>
    <t>Indeed India  Oprations Pvt Ltd</t>
  </si>
  <si>
    <t>INDIAN NAVAL CANTEEN SERVICE</t>
  </si>
  <si>
    <t>Indian Railway Catering &amp; Tourism Corporation Ltd</t>
  </si>
  <si>
    <t>INDIA PRINT N SERVE PRIVATE LIMITED</t>
  </si>
  <si>
    <t>Indra Hassija</t>
  </si>
  <si>
    <t>INFINITI RETAIL LIMITED (CROMA)</t>
  </si>
  <si>
    <t>Innovative Codes(I) Private Limited</t>
  </si>
  <si>
    <t>INNOVHER STARTUP ACCELERATOR PRIVATE LIMITED</t>
  </si>
  <si>
    <t>Intact Furniture &amp; Projects</t>
  </si>
  <si>
    <t>Integrated 360</t>
  </si>
  <si>
    <t>Ioconic Enterprises</t>
  </si>
  <si>
    <t>IRCTC</t>
  </si>
  <si>
    <t>Itrust Purchase Solutions Pvt Ltd</t>
  </si>
  <si>
    <t>JAI INGREDIENTS PRIVATE LIMITED</t>
  </si>
  <si>
    <t>Jaikumar N V</t>
  </si>
  <si>
    <t>Jaiswal Online Solution</t>
  </si>
  <si>
    <t>Jawla Advance Technology LLP</t>
  </si>
  <si>
    <t>Jay Bhole Mobile Shop</t>
  </si>
  <si>
    <t>Jay Foods</t>
  </si>
  <si>
    <t>Jignesh A Bhagat</t>
  </si>
  <si>
    <t>JITO Incubation and Innovation</t>
  </si>
  <si>
    <t>Jitu Jorha</t>
  </si>
  <si>
    <t>Jiya surgichem pvt ltd</t>
  </si>
  <si>
    <t>Kad Housing Private Limited</t>
  </si>
  <si>
    <t>KAJ ESSENTIALS LLP</t>
  </si>
  <si>
    <t>KAM Konsulents Private Limited</t>
  </si>
  <si>
    <t>Kamlaben Khrngarbhai Jadav</t>
  </si>
  <si>
    <t>Kapil Jagdish Kabra</t>
  </si>
  <si>
    <t>Khandhar Mehta  &amp; Shah</t>
  </si>
  <si>
    <t>K.M Electrotech</t>
  </si>
  <si>
    <t>KONDE PRODUCTS  SERVICES PRIVATE LIMITED</t>
  </si>
  <si>
    <t>Krishna Enterprise</t>
  </si>
  <si>
    <t>Lakhamanbhai Kalubhai Dulera</t>
  </si>
  <si>
    <t>Lamehenow</t>
  </si>
  <si>
    <t>Laxman Jagannath Palaskar</t>
  </si>
  <si>
    <t>Life Care Solution</t>
  </si>
  <si>
    <t>LILU RAM &amp; SONS</t>
  </si>
  <si>
    <t>L J Knowledge Foundation</t>
  </si>
  <si>
    <t>LS Sport Management Private Limited</t>
  </si>
  <si>
    <t>Maani Expocomm</t>
  </si>
  <si>
    <t>MAGIC PROVIDERS</t>
  </si>
  <si>
    <t>Makvana Vinaben Vinodbhai</t>
  </si>
  <si>
    <t>Makwana Rekhaben Sanjaybhai</t>
  </si>
  <si>
    <t>Mangaldeep Engineering Company</t>
  </si>
  <si>
    <t>Manish Ravilal Dedhia</t>
  </si>
  <si>
    <t>Maya Transformers</t>
  </si>
  <si>
    <t>Mayur Corporation</t>
  </si>
  <si>
    <t>Mayuri Krunal Mistry</t>
  </si>
  <si>
    <t>Md Abdus Salam</t>
  </si>
  <si>
    <t>MGP Associates</t>
  </si>
  <si>
    <t>Miashi Consultancy Pvt Ltd</t>
  </si>
  <si>
    <t>Miletech Conveyor Belt</t>
  </si>
  <si>
    <t>Minaben Kamlesh Pargi</t>
  </si>
  <si>
    <t>Modhkra Ankitaben</t>
  </si>
  <si>
    <t>Mohammad Salik</t>
  </si>
  <si>
    <t>Mohit kachhawa Printer Cart</t>
  </si>
  <si>
    <t>Moonair Sales &amp; Services Pvt Ltd</t>
  </si>
  <si>
    <t>M/S BVSLF PRODUCTS</t>
  </si>
  <si>
    <t>M/S GOOD LUCK ENTERPRISES</t>
  </si>
  <si>
    <t>MS INDIAN NAVAL CANTEEN SERVICES</t>
  </si>
  <si>
    <t>M/S LA SWISS CHOCOLAT</t>
  </si>
  <si>
    <t>M/S OPAL AGRO FOOD &amp; BEVERAGES</t>
  </si>
  <si>
    <t>M/S PERFECT SCAN</t>
  </si>
  <si>
    <t>Multi Enterprise</t>
  </si>
  <si>
    <t>N4H HEALTHCARE PRIVATE LIMITED</t>
  </si>
  <si>
    <t>Naim Saleem Shaikh</t>
  </si>
  <si>
    <t>NANDUBA ECOM</t>
  </si>
  <si>
    <t>Natures Basket Limited(K)</t>
  </si>
  <si>
    <t>NAVAKAR AIRCONDITIONING COMPANY</t>
  </si>
  <si>
    <t>Nectar Fresh</t>
  </si>
  <si>
    <t>Neha Raval</t>
  </si>
  <si>
    <t>Netra Xerox</t>
  </si>
  <si>
    <t>NEWGEN COMMUNICATIONS</t>
  </si>
  <si>
    <t>Nilendu Kumar Jha</t>
  </si>
  <si>
    <t>Nilesh Satishchandra Jha(STAY FIT STAY YOUNG)</t>
  </si>
  <si>
    <t>Nimida Tradelink</t>
  </si>
  <si>
    <t>NinjaKraft</t>
  </si>
  <si>
    <t>Nishaben Sureshbhai Makvana</t>
  </si>
  <si>
    <t>Nitin Borana</t>
  </si>
  <si>
    <t>Not for Use</t>
  </si>
  <si>
    <t>NSDL E-GOVERNANCE INFRASTRUCTURE LIMITED</t>
  </si>
  <si>
    <t>Nutritap Technologies Private Limited - GGN (H)-Pur</t>
  </si>
  <si>
    <t>N V Enterprise</t>
  </si>
  <si>
    <t>OCEAN STAR TECHNOLOGIES PRIVATE LIMITED</t>
  </si>
  <si>
    <t>OCTACHEM OVERSEAS</t>
  </si>
  <si>
    <t>Om Belting</t>
  </si>
  <si>
    <t>Om  Engineering</t>
  </si>
  <si>
    <t>Omniplast  Private Limited</t>
  </si>
  <si>
    <t>Omsky Processpack Solution</t>
  </si>
  <si>
    <t>Onair Technologies Pvt Ltd</t>
  </si>
  <si>
    <t>Online Hub(Kamal Kumar)</t>
  </si>
  <si>
    <t>ORCHESTRADE TECHNOLOGIES PRIVATE LIMITED</t>
  </si>
  <si>
    <t>Orchids International</t>
  </si>
  <si>
    <t>OTICA Healthcare Pvt Ltd</t>
  </si>
  <si>
    <t>OTICA MEDITRONIX CO (H)</t>
  </si>
  <si>
    <t>OTICA MEDITRONIX CO(K)</t>
  </si>
  <si>
    <t>OTICA MEDITRONIX CO (M)</t>
  </si>
  <si>
    <t>OTICA MEDITRONIX CO(Maharashtra)</t>
  </si>
  <si>
    <t>Otika Meditronix Co</t>
  </si>
  <si>
    <t>Pacdora Pte. Ltd</t>
  </si>
  <si>
    <t>Pankajkumar Laljibhai</t>
  </si>
  <si>
    <t>Panorama Industries</t>
  </si>
  <si>
    <t>Paragone Polymer Product Pvt Ltd</t>
  </si>
  <si>
    <t>Paras Light</t>
  </si>
  <si>
    <t>PARTH FLEXI PACK</t>
  </si>
  <si>
    <t>Parulben</t>
  </si>
  <si>
    <t>P Dave And Associates</t>
  </si>
  <si>
    <t>Peepvalue Solutions Pvt Ltd</t>
  </si>
  <si>
    <t>Pickrr Technologies Private Limited</t>
  </si>
  <si>
    <t>Pine Labs Private Limited</t>
  </si>
  <si>
    <t>PINGAAX</t>
  </si>
  <si>
    <t>PIXEL Media</t>
  </si>
  <si>
    <t>PLANTEX E-COMMERCE PRIVATE LIMITED</t>
  </si>
  <si>
    <t>Poonam Magson Listing</t>
  </si>
  <si>
    <t>Poorva Swapnil Kolhe-Stipend</t>
  </si>
  <si>
    <t>Powerpye electronics private Limited</t>
  </si>
  <si>
    <t>Prajakta Technology Private Limited</t>
  </si>
  <si>
    <t>Pramukh Consultancy</t>
  </si>
  <si>
    <t>Pratik Kumar Yogeshkumar Pandey</t>
  </si>
  <si>
    <t>Pravin M Gohil</t>
  </si>
  <si>
    <t>P.R Electronics</t>
  </si>
  <si>
    <t>Prime Entreprises</t>
  </si>
  <si>
    <t>Priti Enterprises</t>
  </si>
  <si>
    <t>Priya Halder</t>
  </si>
  <si>
    <t>Protector Firesafety India Pvt Ltd</t>
  </si>
  <si>
    <t>QS Mart Retails Limited</t>
  </si>
  <si>
    <t>Radisson Blu Kaushambi Delhi Ncr</t>
  </si>
  <si>
    <t>Radix Innovations Pvt Ltd</t>
  </si>
  <si>
    <t>Rahul Solanki</t>
  </si>
  <si>
    <t>Raindrop World</t>
  </si>
  <si>
    <t>Rajiv Sabhapati Sharma</t>
  </si>
  <si>
    <t>Rajkamal Metal Marketing Pvt Ltd</t>
  </si>
  <si>
    <t>Ramilaben Mohanbhai Tundiya</t>
  </si>
  <si>
    <t>Rani Creations</t>
  </si>
  <si>
    <t>RASHMI STORAGE AND DISPLAY SYSTEM</t>
  </si>
  <si>
    <t>Rathod Kajalben Baldevbhai</t>
  </si>
  <si>
    <t>Raya Properties Pvt. Ltd</t>
  </si>
  <si>
    <t>RAZORPAY PAYMENTS PRIVATE LIMITED</t>
  </si>
  <si>
    <t>Razorpay Software Pvt. Ltd.</t>
  </si>
  <si>
    <t>Redbus</t>
  </si>
  <si>
    <t>Redbus-MP</t>
  </si>
  <si>
    <t>Rehan shaikh</t>
  </si>
  <si>
    <t>RELIANCE RETAIL LIMITED</t>
  </si>
  <si>
    <t>Retailez Private Limited</t>
  </si>
  <si>
    <t>Retailez Private Limited(H)</t>
  </si>
  <si>
    <t>Retailez Private Limited (M)</t>
  </si>
  <si>
    <t>RightKnight</t>
  </si>
  <si>
    <t>Rinki Mishra</t>
  </si>
  <si>
    <t>RITUL PATWA AND CO</t>
  </si>
  <si>
    <t>R J Consultancy</t>
  </si>
  <si>
    <t>RK WORLDINFOCOM Pvt Ltd</t>
  </si>
  <si>
    <t>Roza Shaikh</t>
  </si>
  <si>
    <t>R.S Food</t>
  </si>
  <si>
    <t>SABAR INDUSTRIAL GASES</t>
  </si>
  <si>
    <t>SAFEXPRESS PRIVATE LTD</t>
  </si>
  <si>
    <t>Sagar Hardware</t>
  </si>
  <si>
    <t>Sandeepkumar Pandey</t>
  </si>
  <si>
    <t>Sanjay Scientific Corporation</t>
  </si>
  <si>
    <t>Sanket Maheshbhai Joshi</t>
  </si>
  <si>
    <t>Sanket Vijaykumar Rotithor</t>
  </si>
  <si>
    <t>Sarrah Enterprises</t>
  </si>
  <si>
    <t>Saurabh Industries</t>
  </si>
  <si>
    <t>SEASONS FLAVOURS &amp; FRAGRANCES</t>
  </si>
  <si>
    <t>Sejal Print and Packs</t>
  </si>
  <si>
    <t>S.G Mundhra</t>
  </si>
  <si>
    <t>Shakti Hardware</t>
  </si>
  <si>
    <t>SHANGHAI PAPA INDUSTRIAL CO LTD</t>
  </si>
  <si>
    <t>Shankar Jati</t>
  </si>
  <si>
    <t>SHASHILA HEALTHY MASTER PRIVATE LIMITED</t>
  </si>
  <si>
    <t>Shiprocket Limited</t>
  </si>
  <si>
    <t>Shivam Enterprises</t>
  </si>
  <si>
    <t>SHIV SALES CORPORATION</t>
  </si>
  <si>
    <t>Shiv Shakti Trading Corporation</t>
  </si>
  <si>
    <t>ShopifyShopify Commerce Singapore Pte. Ltd.</t>
  </si>
  <si>
    <t>Shop Online India</t>
  </si>
  <si>
    <t>Shree Balaji Tours &amp;  Travels</t>
  </si>
  <si>
    <t>Shree Communication</t>
  </si>
  <si>
    <t>Shree Ganesh CONSULTANCY</t>
  </si>
  <si>
    <t>Shree Gopal Agri</t>
  </si>
  <si>
    <t>Shreeji Dry Fruits and Collection</t>
  </si>
  <si>
    <t>Shree Raj Technology</t>
  </si>
  <si>
    <t>SHREE SAI OVERSEAS</t>
  </si>
  <si>
    <t>Shree Umiya Gases</t>
  </si>
  <si>
    <t>Shreyash Petroleaum Addtives Limited</t>
  </si>
  <si>
    <t>Shri Uma Devi Enterprises</t>
  </si>
  <si>
    <t>SHYAM ENTERPRISE</t>
  </si>
  <si>
    <t>Sigma Associates</t>
  </si>
  <si>
    <t>Simone Reshad Chesson Reel</t>
  </si>
  <si>
    <t>Six by Six Communications Private Limited</t>
  </si>
  <si>
    <t>Smartshift Info Marketing Services Private Limited</t>
  </si>
  <si>
    <t>Smart Shift Logis</t>
  </si>
  <si>
    <t>Smart Shift Log-Raj</t>
  </si>
  <si>
    <t>SNV AVIATION PRIVATE LIMITED</t>
  </si>
  <si>
    <t>SNV AVIATION PRIVATE LIMITED(DL)</t>
  </si>
  <si>
    <t>SNV Aviation Private Limited(K)</t>
  </si>
  <si>
    <t>SNV Aviation Pvt. Ltd</t>
  </si>
  <si>
    <t>Sonarome Private Limited</t>
  </si>
  <si>
    <t>Sovereign Precision Mould Craft</t>
  </si>
  <si>
    <t>Speed Wireless Broadband</t>
  </si>
  <si>
    <t>SPICEJET  LTD</t>
  </si>
  <si>
    <t>Srinarhji Exports</t>
  </si>
  <si>
    <t>STARSHOT TOOLS PRIVATE LIMITED</t>
  </si>
  <si>
    <t>STATE BANK OF INDIA</t>
  </si>
  <si>
    <t>Stratedgy</t>
  </si>
  <si>
    <t>Success Gyan India LLP</t>
  </si>
  <si>
    <t>SUN NUTRAFOODS -A Division of Agro Solvent Products Pvt Ltd</t>
  </si>
  <si>
    <t>Sunyy Fulchandji Shah</t>
  </si>
  <si>
    <t>Superb Insrtuments</t>
  </si>
  <si>
    <t>SUPERB SCALE REPAIRING WORKS</t>
  </si>
  <si>
    <t>Suraj Naskar</t>
  </si>
  <si>
    <t>Suraj Trademark Attorney</t>
  </si>
  <si>
    <t>Surit Foods And Gifts LLP</t>
  </si>
  <si>
    <t>Swamibapa Enterprise</t>
  </si>
  <si>
    <t>Swastik Gum Industries</t>
  </si>
  <si>
    <t>Swastik Pankaj Rai</t>
  </si>
  <si>
    <t>Swati  Water Purification</t>
  </si>
  <si>
    <t>Swiggy</t>
  </si>
  <si>
    <t>Swiss Pac Pvt.Ltd</t>
  </si>
  <si>
    <t>Taajas Food-PURCHASE</t>
  </si>
  <si>
    <t>Technospark</t>
  </si>
  <si>
    <t>The Dark Roast</t>
  </si>
  <si>
    <t>The Pioneer Chemical Company..</t>
  </si>
  <si>
    <t>TJS Bank Ltd, Pashupati</t>
  </si>
  <si>
    <t>TREEBO TREND OMNI
PALACE</t>
  </si>
  <si>
    <t>Treebo Trend Regency Bund Garden</t>
  </si>
  <si>
    <t>Trinetra</t>
  </si>
  <si>
    <t>Tushar Ananda Dighe</t>
  </si>
  <si>
    <t>Tushar Xerox</t>
  </si>
  <si>
    <t>UMA SALES &amp; SERVICE</t>
  </si>
  <si>
    <t>Umiya Enterprise</t>
  </si>
  <si>
    <t>Unfitech Solution Pvt. Ltd</t>
  </si>
  <si>
    <t>UNICORN INFOSOLUTIONS PRIVATE LIMITED</t>
  </si>
  <si>
    <t>Unidos Exports(D)</t>
  </si>
  <si>
    <t>UNIDOS EXPORTS(H)</t>
  </si>
  <si>
    <t>Upriver Ecommerce Private Limited</t>
  </si>
  <si>
    <t>Vaghela Mayurbhai</t>
  </si>
  <si>
    <t>Vaghela Ranjanben Jagdishbhai</t>
  </si>
  <si>
    <t>Vaghela Surubha Kanubha</t>
  </si>
  <si>
    <t>Vaishnodevi Enterprises</t>
  </si>
  <si>
    <t>vajpayee enterprises</t>
  </si>
  <si>
    <t>Valuecart Private Limited</t>
  </si>
  <si>
    <t>Vankar Dharmeshkumar Kanabhai</t>
  </si>
  <si>
    <t>VARNI ENTERPRISE</t>
  </si>
  <si>
    <t>Vending Brothers Private Limited-Purchase</t>
  </si>
  <si>
    <t>Viaan Enterprise</t>
  </si>
  <si>
    <t>Videojet Technologies (I) Pvt Ltd</t>
  </si>
  <si>
    <t>Vigor Life Science</t>
  </si>
  <si>
    <t>Vijay Mavjibhai Vora</t>
  </si>
  <si>
    <t>Vijay Radhakrishan Garad</t>
  </si>
  <si>
    <t>Vikash Air Tech</t>
  </si>
  <si>
    <t>VINAYAK CORPORATION</t>
  </si>
  <si>
    <t>Vishaka Viran Mohite</t>
  </si>
  <si>
    <t>Vishal Bhai</t>
  </si>
  <si>
    <t>VISION PLASTIC</t>
  </si>
  <si>
    <t>Vista Print</t>
  </si>
  <si>
    <t>V. K. JAIN TRAVELS</t>
  </si>
  <si>
    <t>Vsure Investment Affairs Pvt Ltd</t>
  </si>
  <si>
    <t>VTSN &amp; ASSOCIATES LLP</t>
  </si>
  <si>
    <t>Yolojet Internet Services Private Limited</t>
  </si>
  <si>
    <t>Zeel Pest Solution LLP</t>
  </si>
  <si>
    <t>ZOHO CORPORATION PRIVATE LIMITED</t>
  </si>
  <si>
    <t>Debentures Application Money</t>
  </si>
  <si>
    <t>Deferred Tax Liability</t>
  </si>
  <si>
    <t>Provident Fund Payable</t>
  </si>
  <si>
    <t>Salary Payable</t>
  </si>
  <si>
    <t>Share Application Money</t>
  </si>
  <si>
    <t>Loans (Liability)</t>
  </si>
  <si>
    <t>Bank OD A/c</t>
  </si>
  <si>
    <t>canara bank OD A/c-125003339529</t>
  </si>
  <si>
    <t>Compulsory Convertible Debentures</t>
  </si>
  <si>
    <t>Hemanshu Bhupendra Daxini Debentures</t>
  </si>
  <si>
    <t>Hemantkumar Ramanlal Shah Debentures</t>
  </si>
  <si>
    <t>Jay Siddharth Sutaria Debentures</t>
  </si>
  <si>
    <t>Shukla Nageshwar Nath Debentures</t>
  </si>
  <si>
    <t>Vaishal Kismatlal Shah Debentures</t>
  </si>
  <si>
    <t>Secured Loans</t>
  </si>
  <si>
    <t>canara bank a/c-170006544612</t>
  </si>
  <si>
    <t>Unsecured Loans</t>
  </si>
  <si>
    <t>Darshan Gattani Loan</t>
  </si>
  <si>
    <t>Nidhi Purohit</t>
  </si>
  <si>
    <t>Rohan Vimal Shah Loan</t>
  </si>
  <si>
    <t>Shiven Chaturvedi Loan</t>
  </si>
  <si>
    <t>Suspense A/c</t>
  </si>
  <si>
    <t>Suspens A/c</t>
  </si>
  <si>
    <t>Suspense A/c</t>
  </si>
  <si>
    <t>Profit &amp; Loss A/c</t>
  </si>
  <si>
    <t>Expenses</t>
  </si>
  <si>
    <t>Direct Expenses</t>
  </si>
  <si>
    <t>Factory Expense (Direct)</t>
  </si>
  <si>
    <t>Packaging (Direct Exp)</t>
  </si>
  <si>
    <t>Testing Exp</t>
  </si>
  <si>
    <t>Transportation Exp (Direct)</t>
  </si>
  <si>
    <t>Wages Expense</t>
  </si>
  <si>
    <t>Wages - Factory Expense</t>
  </si>
  <si>
    <t>Indirect Expenses</t>
  </si>
  <si>
    <t>Administrative Expenses</t>
  </si>
  <si>
    <t>Fund Raising Expense</t>
  </si>
  <si>
    <t>Refund Exps.</t>
  </si>
  <si>
    <t>Reimburshment Expenses</t>
  </si>
  <si>
    <t>Reverse Charges</t>
  </si>
  <si>
    <t>Subsidy Exps.</t>
  </si>
  <si>
    <t>Channel Spends</t>
  </si>
  <si>
    <t>Non-margin exp.</t>
  </si>
  <si>
    <t>Amazon Business Support Services</t>
  </si>
  <si>
    <t>Amazon Commission Charges</t>
  </si>
  <si>
    <t>Amazon EasyShip Weight Handling Fee</t>
  </si>
  <si>
    <t>Amazon FBA Weight Handling Shipping Fee</t>
  </si>
  <si>
    <t>Amazon Fixed Closing Fee</t>
  </si>
  <si>
    <t>Amazon Listing Fee</t>
  </si>
  <si>
    <t>Amazon Logistics</t>
  </si>
  <si>
    <t>Amazon Marketplace Fees</t>
  </si>
  <si>
    <t>Amazon Pick and Pack Fee</t>
  </si>
  <si>
    <t>Amazon Refund Processing Fee</t>
  </si>
  <si>
    <t>Amazon Removal Fee</t>
  </si>
  <si>
    <t>Amazon Services</t>
  </si>
  <si>
    <t>Amazon Shipping Chargeback Fee</t>
  </si>
  <si>
    <t>Amazon Storage Fees</t>
  </si>
  <si>
    <t>Amazon Supplies</t>
  </si>
  <si>
    <t>Blinkit Ads Wallet Recharge - Marketing Exp.</t>
  </si>
  <si>
    <t>Blinkit Commission Charges</t>
  </si>
  <si>
    <t>Blinkit Customer Return Fee</t>
  </si>
  <si>
    <t>Blinkit Shipping Fees</t>
  </si>
  <si>
    <t>Blinkit Storage Fees</t>
  </si>
  <si>
    <t>Flipkart Commission Charges</t>
  </si>
  <si>
    <t>Flipkart Fixed Fee</t>
  </si>
  <si>
    <t>Sales Commission to Platform</t>
  </si>
  <si>
    <t>Storage Expense</t>
  </si>
  <si>
    <t>Zepto Commission Charges</t>
  </si>
  <si>
    <t>Zepto Platform Fees</t>
  </si>
  <si>
    <t>Off Invoice Margins</t>
  </si>
  <si>
    <t>Zepto Brand Funded Discount</t>
  </si>
  <si>
    <t>Sales Commission to Platform</t>
  </si>
  <si>
    <t>Amazon Marketing Expense</t>
  </si>
  <si>
    <t>Big Basket Marketing Expenses</t>
  </si>
  <si>
    <t>Swiggy Marketing Expense</t>
  </si>
  <si>
    <t>Zepto Marketing Expense</t>
  </si>
  <si>
    <t>Corporate Overheads</t>
  </si>
  <si>
    <t>Office Expenses</t>
  </si>
  <si>
    <t>Cleaning Expense</t>
  </si>
  <si>
    <t>Consultation Fees</t>
  </si>
  <si>
    <t>Discount on Sales</t>
  </si>
  <si>
    <t>Ecommerce Service Exp</t>
  </si>
  <si>
    <t>Meeting Expenses</t>
  </si>
  <si>
    <t>Misc. Exp</t>
  </si>
  <si>
    <t>Office EXP</t>
  </si>
  <si>
    <t>Office Supplies (Direct Exp)</t>
  </si>
  <si>
    <t>Office Supplies (Indirect Exp)</t>
  </si>
  <si>
    <t>Petrol Expense</t>
  </si>
  <si>
    <t>Razorpay Software Charges</t>
  </si>
  <si>
    <t>ROC Charges</t>
  </si>
  <si>
    <t>Round Off</t>
  </si>
  <si>
    <t>Share Capital Exp</t>
  </si>
  <si>
    <t>Software Exp</t>
  </si>
  <si>
    <t>SPONSORSHIP EXP</t>
  </si>
  <si>
    <t>Stationery EXP</t>
  </si>
  <si>
    <t>Trademark Exp.</t>
  </si>
  <si>
    <t>Traveling Expenses</t>
  </si>
  <si>
    <t>Hotel Expense</t>
  </si>
  <si>
    <t>Traveling EXP</t>
  </si>
  <si>
    <t>Traveling Exp. 12%</t>
  </si>
  <si>
    <t>Traveling Exp.18%</t>
  </si>
  <si>
    <t>Traveling Exp.5%</t>
  </si>
  <si>
    <t>Travelling Expense  - Reimbursement</t>
  </si>
  <si>
    <t>Discount on Purchase</t>
  </si>
  <si>
    <t>Factory License</t>
  </si>
  <si>
    <t>Fuel Exp</t>
  </si>
  <si>
    <t>Insurance Exp</t>
  </si>
  <si>
    <t>Listing Fees</t>
  </si>
  <si>
    <t>Other Expenses</t>
  </si>
  <si>
    <t>Payment Gateway Charges</t>
  </si>
  <si>
    <t>Employees Expense</t>
  </si>
  <si>
    <t>Basic Salary</t>
  </si>
  <si>
    <t>Conveyance Allowance</t>
  </si>
  <si>
    <t>Director Remuneration</t>
  </si>
  <si>
    <t>Diwali Bonus</t>
  </si>
  <si>
    <t>Employee Welfare Exp</t>
  </si>
  <si>
    <t>Employer Contribution - ESIC</t>
  </si>
  <si>
    <t>Employer Contribution - PF</t>
  </si>
  <si>
    <t>ESIC Expense</t>
  </si>
  <si>
    <t>House Rent Allowance</t>
  </si>
  <si>
    <t>Medical Allowance</t>
  </si>
  <si>
    <t>Professional Tax Exp</t>
  </si>
  <si>
    <t>Provident Fund Expense</t>
  </si>
  <si>
    <t>Salary Exp.</t>
  </si>
  <si>
    <t>Stipend Exp</t>
  </si>
  <si>
    <t>Factory Expenses</t>
  </si>
  <si>
    <t>FACTORY SUPPLIES</t>
  </si>
  <si>
    <t>Finance Charges</t>
  </si>
  <si>
    <t>Bank Charges</t>
  </si>
  <si>
    <t>Bank Godown Charges</t>
  </si>
  <si>
    <t>Inspection Charges</t>
  </si>
  <si>
    <t>Interest on Term Loan</t>
  </si>
  <si>
    <t>OD Renewal Charges</t>
  </si>
  <si>
    <t>Interest Expense (G)</t>
  </si>
  <si>
    <t>Interest Exp</t>
  </si>
  <si>
    <t>Loan Interest (XX4612)</t>
  </si>
  <si>
    <t>OD Interest</t>
  </si>
  <si>
    <t>Legal and Professional Fees Expense</t>
  </si>
  <si>
    <t>Legal and Compliance Exp</t>
  </si>
  <si>
    <t>Bharat Kosh (Govt Payment)</t>
  </si>
  <si>
    <t>Lawyer Exp</t>
  </si>
  <si>
    <t>Legal Exp (Direct Exp)</t>
  </si>
  <si>
    <t>Legal Expenses</t>
  </si>
  <si>
    <t>NSDL Demat Charges</t>
  </si>
  <si>
    <t>Renewal Charges</t>
  </si>
  <si>
    <t>Stamp Duty</t>
  </si>
  <si>
    <t>Success Fees</t>
  </si>
  <si>
    <t>Consultancy Exp</t>
  </si>
  <si>
    <t>Professional Fees Exp</t>
  </si>
  <si>
    <t>Professional Fees Expense</t>
  </si>
  <si>
    <t>Marketing Expenses</t>
  </si>
  <si>
    <t>Advertisement Exp</t>
  </si>
  <si>
    <t>Amazon Review</t>
  </si>
  <si>
    <t>Marketing Exp</t>
  </si>
  <si>
    <t>Marketing Expense - Meta</t>
  </si>
  <si>
    <t>Promotion Exp</t>
  </si>
  <si>
    <t>Sales Bonus</t>
  </si>
  <si>
    <t>Sales Commission</t>
  </si>
  <si>
    <t>Sampling Fees</t>
  </si>
  <si>
    <t>Selling Expenses</t>
  </si>
  <si>
    <t>Social Media Marketing</t>
  </si>
  <si>
    <t>Website Charges</t>
  </si>
  <si>
    <t>Website Expense</t>
  </si>
  <si>
    <t>Operating Expenses</t>
  </si>
  <si>
    <t>Other Expense</t>
  </si>
  <si>
    <t>Rent and Utilities</t>
  </si>
  <si>
    <t>Electricity Expense</t>
  </si>
  <si>
    <t>Rent Exp.</t>
  </si>
  <si>
    <t>Rent Exp (RCM)</t>
  </si>
  <si>
    <t>Telephone &amp; Internet Expense</t>
  </si>
  <si>
    <t>Repair &amp; Maintenance</t>
  </si>
  <si>
    <t>Repairs &amp; Maintenance</t>
  </si>
  <si>
    <t>Transportation &amp; Logistics</t>
  </si>
  <si>
    <t>Inward Logistics</t>
  </si>
  <si>
    <t>FREIGHT CHARGES UNDER RCM</t>
  </si>
  <si>
    <t>Inward Logistic Expense</t>
  </si>
  <si>
    <t>Shipping Charges (Indirect Exp)</t>
  </si>
  <si>
    <t>Transportation Exp</t>
  </si>
  <si>
    <t>Outward Logistics Expense</t>
  </si>
  <si>
    <t>Amazon Inbound Transportation Fee</t>
  </si>
  <si>
    <t>Outward Logistic Expense</t>
  </si>
  <si>
    <t>Freight Expenses</t>
  </si>
  <si>
    <t>Bad Debts A/C</t>
  </si>
  <si>
    <t>Brokerage Exp</t>
  </si>
  <si>
    <t>Business Seminar Exp.</t>
  </si>
  <si>
    <t>Construction Services</t>
  </si>
  <si>
    <t>E-Commerce Commission Fee</t>
  </si>
  <si>
    <t>Personal Expense</t>
  </si>
  <si>
    <t>Plumber Exp.</t>
  </si>
  <si>
    <t>Research &amp; Development Expense</t>
  </si>
  <si>
    <t>Suspense Purchase</t>
  </si>
  <si>
    <t>TERM LOAN CHARGES</t>
  </si>
  <si>
    <t>Ticket Exps.</t>
  </si>
  <si>
    <t>Torrent Power</t>
  </si>
  <si>
    <t>Purchase Accounts</t>
  </si>
  <si>
    <t>Hosting and information technology (IT) infrastructure</t>
  </si>
  <si>
    <t>Intersrate Purchase</t>
  </si>
  <si>
    <t>Interstate Amazon to Amazon Purchase</t>
  </si>
  <si>
    <t>Interstate Purchase @12%</t>
  </si>
  <si>
    <t>Interstate Purchase @ 18%</t>
  </si>
  <si>
    <t>Interstate Purchase @ 5%</t>
  </si>
  <si>
    <t>Purchase</t>
  </si>
  <si>
    <t>Purchase @ 12 %</t>
  </si>
  <si>
    <t>Purchase @ 18%</t>
  </si>
  <si>
    <t>Purchase @ 28%</t>
  </si>
  <si>
    <t>Purchase @ 3%</t>
  </si>
  <si>
    <t>Purchase @ 5%</t>
  </si>
  <si>
    <t>RAW MATERIAL</t>
  </si>
  <si>
    <t>Income</t>
  </si>
  <si>
    <t>Direct Incomes</t>
  </si>
  <si>
    <t>Indirect Incomes</t>
  </si>
  <si>
    <t>Interest Income</t>
  </si>
  <si>
    <t>Interest Fee Refund</t>
  </si>
  <si>
    <t>Interest on Fixed Deposit(FD)</t>
  </si>
  <si>
    <t>Interest Income</t>
  </si>
  <si>
    <t>Kasar Vatav</t>
  </si>
  <si>
    <t>Sales Accounts</t>
  </si>
  <si>
    <t>Amazon Sales</t>
  </si>
  <si>
    <t>Amazon B2B Sales</t>
  </si>
  <si>
    <t>Amazon B2C Sales</t>
  </si>
  <si>
    <t>Amazon Sales</t>
  </si>
  <si>
    <t>Inter States Amazon to Amazon Sales</t>
  </si>
  <si>
    <t>Flipkart Sales</t>
  </si>
  <si>
    <t>Flipkart B2B Sales</t>
  </si>
  <si>
    <t>Flipkart B2C Sales</t>
  </si>
  <si>
    <t>Shipping Sales</t>
  </si>
  <si>
    <t>Amazon Shipping Sales GJ</t>
  </si>
  <si>
    <t>Amazon Shipping Sales HR</t>
  </si>
  <si>
    <t>Amazon Shipping Sales TG</t>
  </si>
  <si>
    <t>Zoho Sales</t>
  </si>
  <si>
    <t>Bigbasket Sales B2B</t>
  </si>
  <si>
    <t>Blinkit Sales B2B</t>
  </si>
  <si>
    <t>Interstate Sales</t>
  </si>
  <si>
    <t>Interstate Sales @12%</t>
  </si>
  <si>
    <t>Interstate  Sales @18%</t>
  </si>
  <si>
    <t>Interstate Sales @5%</t>
  </si>
  <si>
    <t>Other B2B Sales</t>
  </si>
  <si>
    <t>Other B2C Sales</t>
  </si>
  <si>
    <t>Output Sales @18%</t>
  </si>
  <si>
    <t>Sales</t>
  </si>
  <si>
    <t>Sales @12%</t>
  </si>
  <si>
    <t>Sales @18%</t>
  </si>
  <si>
    <t>Sales @5%</t>
  </si>
  <si>
    <t>Sales (Export)</t>
  </si>
  <si>
    <t>Shopify B2C Sales</t>
  </si>
  <si>
    <t>Swiggy Instamart Sales B2B</t>
  </si>
  <si>
    <t>Zepto Sales B2B</t>
  </si>
  <si>
    <t>Txn Date</t>
  </si>
  <si>
    <t>Value Date</t>
  </si>
  <si>
    <t>Cheque No.</t>
  </si>
  <si>
    <t>Description</t>
  </si>
  <si>
    <t>Branch Code</t>
  </si>
  <si>
    <t>Debit</t>
  </si>
  <si>
    <t>Credit</t>
  </si>
  <si>
    <t>Balance</t>
  </si>
  <si>
    <t>IB NEFT Dr CNRBH00121822644 Mistry Rahul Jagdishbhai  UBIN0574627 746202010008189 Allowance March 2026</t>
  </si>
  <si>
    <t>SC NEFT OTHER THAN SB IMB</t>
  </si>
  <si>
    <t>IB NEFT Dr CNRBH00121825890 VRL  ICIC0000157 015705001575 VRL FOS</t>
  </si>
  <si>
    <t>IB ITG 3374700 Online Transaction BDP-BLINKCOMMERCEPRIVATELIMITED-CBIBIBO-27980661655-CBIBIBO</t>
  </si>
  <si>
    <t>IB NEFT Dr CNRBH00121991099 Flavaroma Flavours and Fragrances  ICIC0004296 429605000453 1350</t>
  </si>
  <si>
    <t>IB NEFT Dr CNRBH00121992465 Flavaroma Flavours and Fragrances  ICIC0004296 429605000453 1357</t>
  </si>
  <si>
    <t>IB NEFT Dr CNRBH00122004082 Ramani and Co  BARB0DBGPUR 66830200001104 RM202526 12</t>
  </si>
  <si>
    <t xml:space="preserve">IB NEFT Dr CNRBH00122033203 Ramani and Co  BARB0DBGPUR 66830200001104 Payment against invoice </t>
  </si>
  <si>
    <t>IB NEFT Dr CNRBH00122036573 Krishna Ramchandani  SBIN0030272 42447024012 Payment against invoice</t>
  </si>
  <si>
    <t>IB OAT 17332700 120001771174 DRIPS FOODS PRIVATE LIMITED OTH-Transfer</t>
  </si>
  <si>
    <t>IB NEFT Dr CNRBH00122295044 Chandra Logistics Services  KKBK0000838 3547343692 GJAPR297</t>
  </si>
  <si>
    <t>IB NEFT Dr CNRBH00122359373 Ameya performant pvt ltd  IDIB000B011 6618376389 Paid</t>
  </si>
  <si>
    <t>IB OAT 36425600 120001771174 DRIPS FOODS PRIVATE LIMITED OTH-Transfer</t>
  </si>
  <si>
    <t>IB NEFT Dr CNRBH00122371689 Regency Global ingredient LLP  KKBK0001370 5946763422 Payment</t>
  </si>
  <si>
    <t xml:space="preserve">IB NEFT Dr CNRBH00122414792 ZEPTO PRIVATE LIMITED  HSBC0400002 006387989002 Payment against invoice </t>
  </si>
  <si>
    <t>IB NEFT Dr CNRBH00122816485 Mistry Rahul Jagdishbhai  UBIN0574627 746202010008189 Advance on Salary March 26</t>
  </si>
  <si>
    <t>Periodic Godown SC charges</t>
  </si>
  <si>
    <t>IB ITG 2627100 Online Transaction BDP-CRED-CASHFREE-5304070073-CRED</t>
  </si>
  <si>
    <t>IB ITG 1799200 Online Transaction BDP-ORCHESTRADE TEC-CCAVENUEF-114418063084-101</t>
  </si>
  <si>
    <t>IB OAT 19688900 120001771174 DRIPS FOODS PRIVATE LIMITED OTH-Transfer</t>
  </si>
  <si>
    <t>IB OAT 60556600 120001771174 DRIPS FOODS PRIVATE LIMITED OTH-Transfer</t>
  </si>
  <si>
    <t>IB OAT 25747500 120001771174 DRIPS FOODS PRIVATE LIMITED OTH-Transfer</t>
  </si>
  <si>
    <t>IB NEFT Dr CNRBH00123305983 Yasheel Foods LLP  SBIN0063752 41317960558 007</t>
  </si>
  <si>
    <t>IB NEFT Dr CNRBH00123293988 Scope Health and Wellness Pvt Ltd  HSBC0600002 042110007001 20068</t>
  </si>
  <si>
    <t>IB ITG 8293800 Online Transaction BDP-TIN-352507042600028120-3110201012954</t>
  </si>
  <si>
    <t>IB ITG 8321600 Online Transaction BDP-TIN-352507042600028132-3110201012954</t>
  </si>
  <si>
    <t>IB ITG 8406900 Online Transaction BDP-TIN-352507042600028141-3110201012954</t>
  </si>
  <si>
    <t>IB ITG 8331000 Online Transaction BDP-TIN-352507042600028146-3110201012954</t>
  </si>
  <si>
    <t>IB ITG 8411100 Online Transaction BDP-TIN-352507042600028156-3110201012954</t>
  </si>
  <si>
    <t xml:space="preserve">IB NEFT Dr CNRBH00123935171 Bajaj Industries  HDFC0003652 50200066189045 Payment against invoice </t>
  </si>
  <si>
    <t>IB OAT 61851300 120001771174 DRIPS FOODS PRIVATE LIMITED OTH-Transfer</t>
  </si>
  <si>
    <t>IB NEFT Dr CNRBH00123961305 Ashwinkumar Dhudabhai Parmar  BARB0DBMSAR 85110100000858 Salary Drips Foods March 2026</t>
  </si>
  <si>
    <t>IB NEFT Dr CNRBH00123952085 Riteshbhai Ganpatbhai Parmar  UBIN0562998 629902010005544 Salary Drips Foods March 2026</t>
  </si>
  <si>
    <t>IB NEFT Dr CNRBH00123952321 Mistry Rahul Jagdishbhai  UBIN0574627 746202010008189 Salary Drips Foods March 2026</t>
  </si>
  <si>
    <t>IB NEFT Dr CNRBH00123964358 Parmar Vishwaskumar Laxmikant  SBIN0000469 38987987581 Salary Drips Foods March 2026</t>
  </si>
  <si>
    <t>IB NEFT Dr CNRBH00123964981 Santosh Ingle  ICIC0003471 347101501017 Salary Drips Foods March 2026</t>
  </si>
  <si>
    <t>IB NEFT Dr CNRBH00123953942 Rathod Geetaben Nitinbhai  BARB0CHANGO 30940100013508 Salary Drips Foods March 2026</t>
  </si>
  <si>
    <t>IB NEFT Dr CNRBH00123954204 Sanju Factory  IDIB000K781 22150466974 Salary Drips Foods March 2026</t>
  </si>
  <si>
    <t>IB NEFT Dr CNRBH00123965487 Sonalben M Damor  BARB0PANDAR 11278100005316 Salary Drips Foods March 2026</t>
  </si>
  <si>
    <t>IB NEFT Dr CNRBH00124004531 Parmar Nayankumar Khemchandbhai  IBKL0001954 1954104000110457 Salary Drips Foods March 2026</t>
  </si>
  <si>
    <t>IB NEFT Dr CNRBH00123965933 Kinjalben Sanjaybhai Waghela  BKID0002819 281910510002043 Salary Drips Foods March 2026</t>
  </si>
  <si>
    <t>IB NEFT Dr CNRBH00123966115 Sangada Suhaniben  BKID0002045 204518210000084 Salary Drips Foods March 2026</t>
  </si>
  <si>
    <t>IB NEFT Dr CNRBH00124005722 Shinde Chandrashekar Dattatray  UBIN0560898 608902010013482 Salary Drips Foods March 2026</t>
  </si>
  <si>
    <t>IB NEFT Dr CNRBH00124005966 Vaibhav Vinay Toshniwal  HDFC0009326 50100411809718 Salary Drips Foods March 2026</t>
  </si>
  <si>
    <t>IB NEFT Dr CNRBH00124006838 Rohan Vimal Shah  HDFC0000204 59124011995775 Salary Drips Foods March 2026</t>
  </si>
  <si>
    <t>IB NEFT Dr CNRBH00124008346 Darshan Gattani  HDFC0004371 50100142836084 Salary Drips Foods March 2026</t>
  </si>
  <si>
    <t>IB NEFT Dr CNRBH00123967828 Shiven Chaturvedi  KKBK0001360 8946481884 Salary Drips Foods March 2026</t>
  </si>
  <si>
    <t>IB IFT 66232900 110240580064 SENVA MANISHABEN KIRITBHAI Online Transaction OTH-Salary Drips Foods March 2026</t>
  </si>
  <si>
    <t>IB NEFT Dr CNRBH00123968803 Hansaben  FINO0009002 20364680788 Salary Drips Foods March 2026</t>
  </si>
  <si>
    <t>IB NEFT Dr CNRBH00123969101 Parmar Jaykumar  MAHB0001518 60422355684 Salary Drips Foods March 2026</t>
  </si>
  <si>
    <t>IB NEFT Dr CNRBH00123969504 Mahima  BARB0PUKHRA 29810100015221 Salary Drips Foods March 2026</t>
  </si>
  <si>
    <t>IB NEFT Dr CNRBH00123969850 Sudhir Balgovind Gupta  SBIN0008373 31852904835 Salary Drips Foods March 2026</t>
  </si>
  <si>
    <t>IB NEFT Dr CNRBH00123970017 Dimple Ravjani  SBIN0011304 34214565955 Salary Drips Foods March 2026</t>
  </si>
  <si>
    <t>IB NEFT Dr CNRBH00123970174 Aman  UBIN0829781 297810100006667 Salary Drips Foods March 2026</t>
  </si>
  <si>
    <t>IB NEFT Dr CNRBH00123970518 Sanjay Pundalik Rukekar  BARB0DBTHEN 99020100010923 Salary Drips Foods March 2026</t>
  </si>
  <si>
    <t>IB ITG 6026800 Online Transaction BDP-FACEBOOK-RAZORPAY-Sb44ZLujmXoYiM-CLIENTCODE</t>
  </si>
  <si>
    <t>IB NEFT Dr CNRBH00123981444 Chandra Logistics Services  KKBK0000838 3547343692 Payment</t>
  </si>
  <si>
    <t>IB NEFT Dr CNRBH00124026512 VKE Food Solution Private Limited  KCCB0NAR050 05020100613 Payment</t>
  </si>
  <si>
    <t>IB NEFT Dr CNRBH00123981475 VTSN and Associates LLP  HDFC0009165 50200104106591 Payment</t>
  </si>
  <si>
    <t>IB NEFT Dr CNRBH00123981504 Modern Ingredients  SBIN0017462 38006080897 Payment</t>
  </si>
  <si>
    <t>UPI/CR/170071307993/RAMANANDI/SBIN/**12012@axl/Pay to M//AXLdd88c02fd4d34a74abe89a94008eed32/09/04/2026 11:43:04</t>
  </si>
  <si>
    <t>IB NEFT Dr CNRBH00124046900 Revelations Biotech Private Limited  SBIN0010104 41507317565 Payment</t>
  </si>
  <si>
    <t>IB ITG 4154200 Online Transaction BDP-UGVCL-CBBILLDSKV2-CCNB9E51GZE09A-CLIENTCODE</t>
  </si>
  <si>
    <t>IB NEFT Dr CNRBH00124209753 Mistry Rahul Jagdishbhai  UBIN0574627 746202010008189 Payment for floater Labour</t>
  </si>
  <si>
    <t>IB NEFT Dr CNRBH00124193287 Riteshbhai Ganpatbhai Parmar  UBIN0562998 629902010005544 Factory Floater Labour</t>
  </si>
  <si>
    <t>IB NEFT Dr CNRBH00124193579 Riteshbhai Ganpatbhai Parmar  UBIN0562998 629902010005544 factory Milk</t>
  </si>
  <si>
    <t>IB OAT 51232500 120001771174 DRIPS FOODS PRIVATE LIMITED OTH-Transfer</t>
  </si>
  <si>
    <t>IB NEFT Dr CNRBH00124259083 Krishna Products  KCCB0PCV013 01320104912 Payment</t>
  </si>
  <si>
    <t>IB OAT 65527000 120001771174 DRIPS FOODS PRIVATE LIMITED OTH-Transfer</t>
  </si>
  <si>
    <t>Chq Paid-MICR Inward Clearing-AROMA AIRCONDITIONING-STATE BANK OF INDIA (SBI)-STATE BANK OF INDIA</t>
  </si>
  <si>
    <t xml:space="preserve">IB NEFT Dr CNRBH00124333125 Parth Baherawala  SBIN0003096 32401114642 AC repair </t>
  </si>
  <si>
    <t>IB NEFT Dr CNRBH00124487790 SK Consumer Wellness  ICIC0004718 471805000009 Payment</t>
  </si>
  <si>
    <t xml:space="preserve">IB NEFT Dr CNRBH00124621796 Rani Gupta  TMSB0000004 100422211006385 Payment </t>
  </si>
  <si>
    <t xml:space="preserve">IB NEFT Dr CNRBH00124621865 Nitin Borana  HDFC0006309 50100642000046 Payment </t>
  </si>
  <si>
    <t xml:space="preserve">IB NEFT Dr CNRBH00124602550 Indra Hassija  SBIN0016531 38923553376 Rent </t>
  </si>
  <si>
    <t>IB OAT 11845500 120001771174 DRIPS FOODS PRIVATE LIMITED OTH-Transfer</t>
  </si>
  <si>
    <t>IB NEFT Dr CNRBH00124643299 Hemant Pal Singh  SBIN0002296 41592215289 Salary Drips Foods March 2026</t>
  </si>
  <si>
    <t>IB NEFT Dr CNRBH00124643409 Aakash yadav  KKBK0003542 8848441580 Drips Foods Salary March 2026</t>
  </si>
  <si>
    <t>IB NEFT Dr CNRBH00124669529 Nilam Trading  HDFC0001675 50200038047687 Payment</t>
  </si>
  <si>
    <t>IB ITG 1626800 Online Transaction BDP-SHIPROCK-RAZORPAY-Sc5zfRoEmrOCvI-CLIENTCODE</t>
  </si>
  <si>
    <t>IB ITG 4111900 Online Transaction BDP-CRED-CASHFREE-5344724306-CRED</t>
  </si>
  <si>
    <t xml:space="preserve">IB NEFT Dr CNRBH00125038506 NSDL New  KKBK0000958 NSDLCA1FOS Corporate Action fees 4 </t>
  </si>
  <si>
    <t>170006544612    -DRIPS FOODS PRIVATE Drawdown From CASA.</t>
  </si>
  <si>
    <t>IB OAT 6184700 120001771174 DRIPS FOODS PRIVATE LIMITED OTH-Transfer</t>
  </si>
  <si>
    <t>IB NEFT Dr CNRBH00125284933 Central Depository Services Limited  ICIC0000104 CDSLIS1FOS CDSL payment</t>
  </si>
  <si>
    <t>IB NEFT Dr CNRBH00125236448 R J Consultancy Services  IBKL0000260 0260102000010414 Payment against invoice</t>
  </si>
  <si>
    <t>IB NEFT Dr CNRBH00125236587 Asha Ram and Sons Pvt Ltd  HDFC0000091 00912790000474 Due cleared</t>
  </si>
  <si>
    <t>IB NEFT Dr CNRBH00125286576 Foodsure  HDFC0005129 50200068580494 Payment</t>
  </si>
  <si>
    <t>NEFT RETURN-INCORRECT ACCOUNT NUMBER-Central Depository Services Limited-CNRBH00125284933-CDSL payment-CDSL payment</t>
  </si>
  <si>
    <t>IB ITG 1319400 Online Transaction BDP-ESI-105140426135500-3525201000188</t>
  </si>
  <si>
    <t>IB ITG 2055900 Online Transaction BDP-EPF-015140426143867-2604183112109-3525201000168</t>
  </si>
  <si>
    <t>IB NEFT Dr CNRBH00125360958 CODETASKER  UTIB0004666 923020067556627 Final Payment</t>
  </si>
  <si>
    <t>IB NEFT Dr CNRBH00125361260 Vijay Balgovind Gupta  SBIN0008373 31540001134 partial salary for march 2026</t>
  </si>
  <si>
    <t>UPI/CR/610480949778/NANDINI S/YESB/**p2020@oksbi/all clear//SBI888f513e459b4ea690351db043840923/14/04/2026 22:06:46</t>
  </si>
  <si>
    <t>IB OAT 11990400 120001771174 DRIPS FOODS PRIVATE LIMITED OTH-Transfer</t>
  </si>
  <si>
    <t xml:space="preserve">IB NEFT Dr CNRBH00125636901 Vijay Balgovind Gupta  SBIN0008373 31540001134 Salary Drips March </t>
  </si>
  <si>
    <t xml:space="preserve">IB NEFT Dr CNRBH00125637273 Santosh Ingle  ICIC0003471 347101501017 TA DA March </t>
  </si>
  <si>
    <t>IB NEFT Dr CNRBH00125717954 VRL  ICIC0000157 015705001575 FOS VRL</t>
  </si>
  <si>
    <t>IB NEFT Dr CNRBH00125701597 ABHAYA INTERNATIONAL LLP  YESB0000050 005081300000780 Abhaya</t>
  </si>
  <si>
    <t>IB NEFT Dr CNRBH00125911106 NSDL New  KKBK0000958 NSDLCA1FOS Payment for NSDL</t>
  </si>
  <si>
    <t>IB ITG 1375500 Online Transaction BDP-ORCHESTRADE TEC-CCAVENUEF-114448419581-101</t>
  </si>
  <si>
    <t>IB OAT 39411300 120001771174 DRIPS FOODS PRIVATE LIMITED OTH-Transfer</t>
  </si>
  <si>
    <t>IB NEFT Dr CNRBH00126315704 Nilam Trading  HDFC0001675 50200038047687 Payment</t>
  </si>
  <si>
    <t>IB NEFT Dr CNRBH00126272181 Star trading Company  UTIB0001064 917020024867644 Payment</t>
  </si>
  <si>
    <t>IB NEFT Dr CNRBH00126275932 Colonel Consulting Partners LLP  HDFC0000036 59207405260342 Payment against 242</t>
  </si>
  <si>
    <t xml:space="preserve">IB NEFT Dr CNRBH00126279444 Chandra Logistics Services  KKBK0000838 3547343692 Payment </t>
  </si>
  <si>
    <t xml:space="preserve">IB NEFT Dr CNRBH00126340749 Siddharth Loungani  ICIC0000315 031501549498 Reel Video </t>
  </si>
  <si>
    <t>IB ITG 262100 Online Transaction BDP-SHIPROCK-RAZORPAY-SfDDQOOnkuRRtI-CLIENTCODE</t>
  </si>
  <si>
    <t>IB NEFT Dr CNRBH00126379308 Krishna Ramchandani  SBIN0030272 42447024012 Payment against 004</t>
  </si>
  <si>
    <t>IB OAT 52463800 120001771174 DRIPS FOODS PRIVATE LIMITED OTH-Transfer</t>
  </si>
  <si>
    <t>IB NEFT Dr CNRBH00126613686 Shreya  PUNB0587100 5871000100002200 Reel Payment</t>
  </si>
  <si>
    <t>IB NEFT Dr CNRBH00126609848 Alpino HealthFoods Private Limited  ICIC0007246 724605000012 payment against invoice</t>
  </si>
  <si>
    <t>IB NEFT Dr CNRBH00126609877 Scope Health and Wellness Pvt Ltd  HSBC0600002 042110007001 20069</t>
  </si>
  <si>
    <t>IB NEFT Dr CNRBH00126609954 Hitechlab Healthcare LLP  KKBK0002582 9099971271 Payment</t>
  </si>
  <si>
    <t xml:space="preserve">IB NEFT Dr CNRBH00126610067 Shinde Chandrashekar Dattatray  UBIN0560898 608902010013482 TA DA March </t>
  </si>
  <si>
    <t xml:space="preserve">IB NEFT Dr CNRBH00126613847 Hemant Pal Singh  SBIN0002296 41592215289 TA DA March </t>
  </si>
  <si>
    <t xml:space="preserve">IB NEFT Dr CNRBH00126613866 Nitin Borana  HDFC0006309 50100642000046 TA DA March </t>
  </si>
  <si>
    <t xml:space="preserve">IB NEFT Dr CNRBH00126610130 Sanjay Pundalik Rukekar  BARB0DBTHEN 99020100010923 TA DA March </t>
  </si>
  <si>
    <t xml:space="preserve">IB NEFT Dr CNRBH00126613934 Sudhir Balgovind Gupta  SBIN0008373 31852904835 Payment expenses March </t>
  </si>
  <si>
    <t>IB NEFT Dr CNRBH00126610242 Vaibhav Vinay Toshniwal  HDFC0009326 50100411809718 Expenses Reimbursement</t>
  </si>
  <si>
    <t>IB NEFT Dr CNRBH00126613954 Vijay Balgovind Gupta  SBIN0008373 31540001134 TA DA March</t>
  </si>
  <si>
    <t>IB NEFT Dr CNRBH00126639935 Netra Xerox  NNSB0128011 011111500002145 Payment</t>
  </si>
  <si>
    <t>IB NEFT Dr CNRBH00126686674 Star trading Company  UTIB0001064 917020024867644 Payment</t>
  </si>
  <si>
    <t>IB NEFT Dr CNRBH00126646148 VKE Food Solution Private Limited  KCCB0NAR050 05020100613 Payment</t>
  </si>
  <si>
    <t>IB NEFT Dr CNRBH00126646698 Krishna Products  KCCB0PCV013 01320104912 Payment</t>
  </si>
  <si>
    <t>IB NEFT Dr CNRBH00126648206 Thakkar Enterprise  NKGS0000034 034110100000468 invoice 7448</t>
  </si>
  <si>
    <t>GSTN1082104267887-209272804</t>
  </si>
  <si>
    <t xml:space="preserve">IB NEFT Dr CNRBH00126689970 Anil Bhati  SBIN0004267 33379420918 March Commission </t>
  </si>
  <si>
    <t>IB OAT 24977300 120001771174 DRIPS FOODS PRIVATE LIMITED OTH-Transfer</t>
  </si>
  <si>
    <t xml:space="preserve">IB NEFT Dr CNRBH00126749893 VRL  ICIC0000157 015705001575 VRL cocoa </t>
  </si>
  <si>
    <t>IB OAT 36799300 120001771174 DRIPS FOODS PRIVATE LIMITED OTH-Transfer</t>
  </si>
  <si>
    <t>IB NEFT Dr CNRBH00126996034 Flavaroma Flavours and Fragrances  ICIC0004296 429605000453 PI 76</t>
  </si>
  <si>
    <t>IB OAT 55929300 120001771174 DRIPS FOODS PRIVATE LIMITED OTH-Transfer</t>
  </si>
  <si>
    <t>IB NEFT Dr CNRBH00127056953 Royal Fabric Bags  KKBK0002569 9613002555 Bags</t>
  </si>
  <si>
    <t>IB ITG 1659000 Online Transaction BDP-ORCHESTRADE TEC-CCAVENUEF-114462324260-101</t>
  </si>
  <si>
    <t>IB OAT 52106600 120001771174 DRIPS FOODS PRIVATE LIMITED OTH-Transfer</t>
  </si>
  <si>
    <t>IB NEFT Dr CNRBH00127445627 Santosh Ingle  ICIC0003471 347101501017 TA DA March 26</t>
  </si>
  <si>
    <t>IB NEFT Dr CNRBH00127445789 Mridul Jangid  INDB0000710 158696287819 Video</t>
  </si>
  <si>
    <t>IB NEFT Dr CNRBH00127445859 IKIGAI CHASE PRIVATE LIMITED  HDFC0001794 50200067159245 Payment</t>
  </si>
  <si>
    <t>IB NEFT Dr CNRBH00127472394 Swiss Pac Pvt Ltd  UTIB0000013 912020008644558 Payment</t>
  </si>
  <si>
    <t>IB NEFT Dr CNRBH00127446504 Rani Gupta  TMSB0000004 100422211006385 Allowance March 26</t>
  </si>
  <si>
    <t xml:space="preserve">IB NEFT Dr CNRBH00127450318 Rajesh Jayantilal Drona  IBKL0000513 0513104000187107 Advance on April Salary </t>
  </si>
  <si>
    <t>IB ITG 1009900 Online Transaction BDP-SHIPROCK-RAZORPAY-ShcPKlNE285eQS-CLIENTCODE</t>
  </si>
  <si>
    <t>IB NEFT Dr CNRBH00127491958 Shiven Chaturvedi  KKBK0001360 8946481884 Expense Reimbursement</t>
  </si>
  <si>
    <t>IB NEFT Dr CNRBH00127492012 Flavaroma Flavours and Fragrances  ICIC0004296 429605000453 PI 84</t>
  </si>
  <si>
    <t>IB NEFT Dr CNRBH00127659306 Asha Ram and Sons Pvt Ltd  HDFC0000091 00912790000474 payment against bill</t>
  </si>
  <si>
    <t xml:space="preserve">IB NEFT Dr CNRBH00127659718 Nilam Trading  HDFC0001675 50200038047687 Payment </t>
  </si>
  <si>
    <t xml:space="preserve">IB NEFT Dr CNRBH00127677283 ZEPTO PRIVATE LIMITED  HSBC0400002 006387989002 Payment against invoice </t>
  </si>
  <si>
    <t>IB ITG 523700 Online Transaction BDP-CRED-CASHFREE-5470272358-CRED</t>
  </si>
  <si>
    <t>IB OAT 32484500 120001771174 DRIPS FOODS PRIVATE LIMITED OTH-Transfer</t>
  </si>
  <si>
    <t>CASA Debit Interest Capitalized</t>
  </si>
  <si>
    <t xml:space="preserve">Type </t>
  </si>
  <si>
    <t>Ledger name</t>
  </si>
  <si>
    <t>Payment</t>
  </si>
  <si>
    <t>Contra</t>
  </si>
  <si>
    <t>Rent</t>
  </si>
  <si>
    <t>Receipt</t>
  </si>
  <si>
    <t>Asha Ram and Sons Pvt Ltd</t>
  </si>
  <si>
    <t>Hitechlab Healthcare LLP</t>
  </si>
  <si>
    <t>GST Payable</t>
  </si>
  <si>
    <t>Royal Fabric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</si>
</sst>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6073">
    <font>
      <sz val="11"/>
      <name val="Calibri"/>
    </font>
    <font>
      <b/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073">
    <border>
      <left/>
      <right/>
      <top/>
      <bottom/>
      <diagonal/>
    </border>
    <border>
      <left/>
      <right/>
      <top/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</borders>
  <cellStyleXfs count="1">
    <xf numFmtId="0" fontId="0" fillId="0" borderId="0"/>
  </cellStyleXfs>
  <cellXfs count="6077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49" fontId="7" fillId="0" borderId="7" xfId="0" applyNumberFormat="1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49" fontId="10" fillId="0" borderId="10" xfId="0" applyNumberFormat="1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49" fontId="13" fillId="0" borderId="13" xfId="0" applyNumberFormat="1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5" fillId="0" borderId="15" xfId="0" applyFont="1" applyBorder="1" applyAlignment="1">
      <alignment vertical="top"/>
    </xf>
    <xf numFmtId="49" fontId="16" fillId="0" borderId="16" xfId="0" applyNumberFormat="1" applyFont="1" applyBorder="1" applyAlignment="1">
      <alignment vertical="top"/>
    </xf>
    <xf numFmtId="0" fontId="17" fillId="0" borderId="17" xfId="0" applyFont="1" applyBorder="1" applyAlignment="1">
      <alignment vertical="top"/>
    </xf>
    <xf numFmtId="0" fontId="18" fillId="0" borderId="18" xfId="0" applyFont="1" applyBorder="1" applyAlignment="1">
      <alignment vertical="top"/>
    </xf>
    <xf numFmtId="49" fontId="19" fillId="0" borderId="19" xfId="0" applyNumberFormat="1" applyFont="1" applyBorder="1" applyAlignment="1">
      <alignment vertical="top"/>
    </xf>
    <xf numFmtId="0" fontId="20" fillId="0" borderId="20" xfId="0" applyFont="1" applyBorder="1" applyAlignment="1">
      <alignment vertical="top"/>
    </xf>
    <xf numFmtId="0" fontId="21" fillId="0" borderId="21" xfId="0" applyFont="1" applyBorder="1" applyAlignment="1">
      <alignment vertical="top"/>
    </xf>
    <xf numFmtId="49" fontId="22" fillId="0" borderId="22" xfId="0" applyNumberFormat="1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4" fillId="0" borderId="24" xfId="0" applyFont="1" applyBorder="1" applyAlignment="1">
      <alignment vertical="top"/>
    </xf>
    <xf numFmtId="49" fontId="25" fillId="0" borderId="25" xfId="0" applyNumberFormat="1" applyFont="1" applyBorder="1" applyAlignment="1">
      <alignment vertical="top"/>
    </xf>
    <xf numFmtId="0" fontId="26" fillId="0" borderId="26" xfId="0" applyFont="1" applyBorder="1" applyAlignment="1">
      <alignment vertical="top"/>
    </xf>
    <xf numFmtId="0" fontId="27" fillId="0" borderId="27" xfId="0" applyFont="1" applyBorder="1" applyAlignment="1">
      <alignment vertical="top"/>
    </xf>
    <xf numFmtId="49" fontId="28" fillId="0" borderId="28" xfId="0" applyNumberFormat="1" applyFont="1" applyBorder="1" applyAlignment="1">
      <alignment vertical="top"/>
    </xf>
    <xf numFmtId="0" fontId="29" fillId="0" borderId="29" xfId="0" applyFont="1" applyBorder="1" applyAlignment="1">
      <alignment vertical="top"/>
    </xf>
    <xf numFmtId="0" fontId="30" fillId="0" borderId="30" xfId="0" applyFont="1" applyBorder="1" applyAlignment="1">
      <alignment vertical="top"/>
    </xf>
    <xf numFmtId="49" fontId="31" fillId="0" borderId="31" xfId="0" applyNumberFormat="1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3" fillId="0" borderId="33" xfId="0" applyFont="1" applyBorder="1" applyAlignment="1">
      <alignment vertical="top"/>
    </xf>
    <xf numFmtId="49" fontId="34" fillId="0" borderId="34" xfId="0" applyNumberFormat="1" applyFont="1" applyBorder="1" applyAlignment="1">
      <alignment vertical="top"/>
    </xf>
    <xf numFmtId="0" fontId="35" fillId="0" borderId="35" xfId="0" applyFont="1" applyBorder="1" applyAlignment="1">
      <alignment vertical="top"/>
    </xf>
    <xf numFmtId="0" fontId="36" fillId="0" borderId="36" xfId="0" applyFont="1" applyBorder="1" applyAlignment="1">
      <alignment vertical="top"/>
    </xf>
    <xf numFmtId="49" fontId="37" fillId="0" borderId="37" xfId="0" applyNumberFormat="1" applyFont="1" applyBorder="1" applyAlignment="1">
      <alignment vertical="top"/>
    </xf>
    <xf numFmtId="0" fontId="38" fillId="0" borderId="38" xfId="0" applyFont="1" applyBorder="1" applyAlignment="1">
      <alignment vertical="top"/>
    </xf>
    <xf numFmtId="0" fontId="39" fillId="0" borderId="39" xfId="0" applyFont="1" applyBorder="1" applyAlignment="1">
      <alignment vertical="top"/>
    </xf>
    <xf numFmtId="49" fontId="40" fillId="0" borderId="40" xfId="0" applyNumberFormat="1" applyFont="1" applyBorder="1" applyAlignment="1">
      <alignment vertical="top"/>
    </xf>
    <xf numFmtId="0" fontId="41" fillId="0" borderId="41" xfId="0" applyFont="1" applyBorder="1" applyAlignment="1">
      <alignment vertical="top"/>
    </xf>
    <xf numFmtId="0" fontId="42" fillId="0" borderId="42" xfId="0" applyFont="1" applyBorder="1" applyAlignment="1">
      <alignment vertical="top"/>
    </xf>
    <xf numFmtId="49" fontId="43" fillId="0" borderId="43" xfId="0" applyNumberFormat="1" applyFont="1" applyBorder="1" applyAlignment="1">
      <alignment vertical="top"/>
    </xf>
    <xf numFmtId="0" fontId="44" fillId="0" borderId="44" xfId="0" applyFont="1" applyBorder="1" applyAlignment="1">
      <alignment vertical="top"/>
    </xf>
    <xf numFmtId="0" fontId="45" fillId="0" borderId="45" xfId="0" applyFont="1" applyBorder="1" applyAlignment="1">
      <alignment vertical="top"/>
    </xf>
    <xf numFmtId="49" fontId="46" fillId="0" borderId="46" xfId="0" applyNumberFormat="1" applyFont="1" applyBorder="1" applyAlignment="1">
      <alignment vertical="top"/>
    </xf>
    <xf numFmtId="0" fontId="47" fillId="0" borderId="47" xfId="0" applyFont="1" applyBorder="1" applyAlignment="1">
      <alignment vertical="top"/>
    </xf>
    <xf numFmtId="0" fontId="48" fillId="0" borderId="48" xfId="0" applyFont="1" applyBorder="1" applyAlignment="1">
      <alignment vertical="top"/>
    </xf>
    <xf numFmtId="49" fontId="49" fillId="0" borderId="49" xfId="0" applyNumberFormat="1" applyFont="1" applyBorder="1" applyAlignment="1">
      <alignment vertical="top"/>
    </xf>
    <xf numFmtId="0" fontId="50" fillId="0" borderId="50" xfId="0" applyFont="1" applyBorder="1" applyAlignment="1">
      <alignment vertical="top"/>
    </xf>
    <xf numFmtId="0" fontId="51" fillId="0" borderId="51" xfId="0" applyFont="1" applyBorder="1" applyAlignment="1">
      <alignment vertical="top"/>
    </xf>
    <xf numFmtId="49" fontId="52" fillId="0" borderId="52" xfId="0" applyNumberFormat="1" applyFont="1" applyBorder="1" applyAlignment="1">
      <alignment vertical="top"/>
    </xf>
    <xf numFmtId="0" fontId="53" fillId="0" borderId="53" xfId="0" applyFont="1" applyBorder="1" applyAlignment="1">
      <alignment vertical="top"/>
    </xf>
    <xf numFmtId="0" fontId="54" fillId="0" borderId="54" xfId="0" applyFont="1" applyBorder="1" applyAlignment="1">
      <alignment vertical="top"/>
    </xf>
    <xf numFmtId="49" fontId="55" fillId="0" borderId="55" xfId="0" applyNumberFormat="1" applyFont="1" applyBorder="1" applyAlignment="1">
      <alignment vertical="top"/>
    </xf>
    <xf numFmtId="0" fontId="56" fillId="0" borderId="56" xfId="0" applyFont="1" applyBorder="1" applyAlignment="1">
      <alignment vertical="top"/>
    </xf>
    <xf numFmtId="0" fontId="57" fillId="0" borderId="57" xfId="0" applyFont="1" applyBorder="1" applyAlignment="1">
      <alignment vertical="top"/>
    </xf>
    <xf numFmtId="49" fontId="58" fillId="0" borderId="58" xfId="0" applyNumberFormat="1" applyFont="1" applyBorder="1" applyAlignment="1">
      <alignment vertical="top"/>
    </xf>
    <xf numFmtId="0" fontId="59" fillId="0" borderId="59" xfId="0" applyFont="1" applyBorder="1" applyAlignment="1">
      <alignment vertical="top"/>
    </xf>
    <xf numFmtId="0" fontId="60" fillId="0" borderId="60" xfId="0" applyFont="1" applyBorder="1" applyAlignment="1">
      <alignment vertical="top"/>
    </xf>
    <xf numFmtId="49" fontId="61" fillId="0" borderId="61" xfId="0" applyNumberFormat="1" applyFont="1" applyBorder="1" applyAlignment="1">
      <alignment vertical="top"/>
    </xf>
    <xf numFmtId="0" fontId="62" fillId="0" borderId="62" xfId="0" applyFont="1" applyBorder="1" applyAlignment="1">
      <alignment vertical="top"/>
    </xf>
    <xf numFmtId="0" fontId="63" fillId="0" borderId="63" xfId="0" applyFont="1" applyBorder="1" applyAlignment="1">
      <alignment vertical="top"/>
    </xf>
    <xf numFmtId="49" fontId="64" fillId="0" borderId="64" xfId="0" applyNumberFormat="1" applyFont="1" applyBorder="1" applyAlignment="1">
      <alignment vertical="top"/>
    </xf>
    <xf numFmtId="0" fontId="65" fillId="0" borderId="65" xfId="0" applyFont="1" applyBorder="1" applyAlignment="1">
      <alignment vertical="top"/>
    </xf>
    <xf numFmtId="0" fontId="66" fillId="0" borderId="66" xfId="0" applyFont="1" applyBorder="1" applyAlignment="1">
      <alignment vertical="top"/>
    </xf>
    <xf numFmtId="49" fontId="67" fillId="0" borderId="67" xfId="0" applyNumberFormat="1" applyFont="1" applyBorder="1" applyAlignment="1">
      <alignment vertical="top"/>
    </xf>
    <xf numFmtId="0" fontId="68" fillId="0" borderId="68" xfId="0" applyFont="1" applyBorder="1" applyAlignment="1">
      <alignment vertical="top"/>
    </xf>
    <xf numFmtId="0" fontId="69" fillId="0" borderId="69" xfId="0" applyFont="1" applyBorder="1" applyAlignment="1">
      <alignment vertical="top"/>
    </xf>
    <xf numFmtId="49" fontId="70" fillId="0" borderId="70" xfId="0" applyNumberFormat="1" applyFont="1" applyBorder="1" applyAlignment="1">
      <alignment vertical="top"/>
    </xf>
    <xf numFmtId="0" fontId="71" fillId="0" borderId="71" xfId="0" applyFont="1" applyBorder="1" applyAlignment="1">
      <alignment vertical="top"/>
    </xf>
    <xf numFmtId="0" fontId="72" fillId="0" borderId="72" xfId="0" applyFont="1" applyBorder="1" applyAlignment="1">
      <alignment vertical="top"/>
    </xf>
    <xf numFmtId="49" fontId="73" fillId="0" borderId="73" xfId="0" applyNumberFormat="1" applyFont="1" applyBorder="1" applyAlignment="1">
      <alignment vertical="top"/>
    </xf>
    <xf numFmtId="0" fontId="74" fillId="0" borderId="74" xfId="0" applyFont="1" applyBorder="1" applyAlignment="1">
      <alignment vertical="top"/>
    </xf>
    <xf numFmtId="0" fontId="75" fillId="0" borderId="75" xfId="0" applyFont="1" applyBorder="1" applyAlignment="1">
      <alignment vertical="top"/>
    </xf>
    <xf numFmtId="49" fontId="76" fillId="0" borderId="76" xfId="0" applyNumberFormat="1" applyFont="1" applyBorder="1" applyAlignment="1">
      <alignment vertical="top"/>
    </xf>
    <xf numFmtId="0" fontId="77" fillId="0" borderId="77" xfId="0" applyFont="1" applyBorder="1" applyAlignment="1">
      <alignment vertical="top"/>
    </xf>
    <xf numFmtId="0" fontId="78" fillId="0" borderId="78" xfId="0" applyFont="1" applyBorder="1" applyAlignment="1">
      <alignment vertical="top"/>
    </xf>
    <xf numFmtId="49" fontId="79" fillId="0" borderId="79" xfId="0" applyNumberFormat="1" applyFont="1" applyBorder="1" applyAlignment="1">
      <alignment vertical="top"/>
    </xf>
    <xf numFmtId="0" fontId="80" fillId="0" borderId="80" xfId="0" applyFont="1" applyBorder="1" applyAlignment="1">
      <alignment vertical="top"/>
    </xf>
    <xf numFmtId="0" fontId="81" fillId="0" borderId="81" xfId="0" applyFont="1" applyBorder="1" applyAlignment="1">
      <alignment vertical="top"/>
    </xf>
    <xf numFmtId="49" fontId="82" fillId="0" borderId="82" xfId="0" applyNumberFormat="1" applyFont="1" applyBorder="1" applyAlignment="1">
      <alignment vertical="top"/>
    </xf>
    <xf numFmtId="0" fontId="83" fillId="0" borderId="83" xfId="0" applyFont="1" applyBorder="1" applyAlignment="1">
      <alignment vertical="top"/>
    </xf>
    <xf numFmtId="0" fontId="84" fillId="0" borderId="84" xfId="0" applyFont="1" applyBorder="1" applyAlignment="1">
      <alignment vertical="top"/>
    </xf>
    <xf numFmtId="49" fontId="85" fillId="0" borderId="85" xfId="0" applyNumberFormat="1" applyFont="1" applyBorder="1" applyAlignment="1">
      <alignment vertical="top"/>
    </xf>
    <xf numFmtId="0" fontId="86" fillId="0" borderId="86" xfId="0" applyFont="1" applyBorder="1" applyAlignment="1">
      <alignment vertical="top"/>
    </xf>
    <xf numFmtId="0" fontId="87" fillId="0" borderId="87" xfId="0" applyFont="1" applyBorder="1" applyAlignment="1">
      <alignment vertical="top"/>
    </xf>
    <xf numFmtId="49" fontId="88" fillId="0" borderId="88" xfId="0" applyNumberFormat="1" applyFont="1" applyBorder="1" applyAlignment="1">
      <alignment vertical="top"/>
    </xf>
    <xf numFmtId="0" fontId="89" fillId="0" borderId="89" xfId="0" applyFont="1" applyBorder="1" applyAlignment="1">
      <alignment vertical="top"/>
    </xf>
    <xf numFmtId="0" fontId="90" fillId="0" borderId="90" xfId="0" applyFont="1" applyBorder="1" applyAlignment="1">
      <alignment vertical="top"/>
    </xf>
    <xf numFmtId="49" fontId="91" fillId="0" borderId="91" xfId="0" applyNumberFormat="1" applyFont="1" applyBorder="1" applyAlignment="1">
      <alignment vertical="top"/>
    </xf>
    <xf numFmtId="0" fontId="92" fillId="0" borderId="92" xfId="0" applyFont="1" applyBorder="1" applyAlignment="1">
      <alignment vertical="top"/>
    </xf>
    <xf numFmtId="0" fontId="93" fillId="0" borderId="93" xfId="0" applyFont="1" applyBorder="1" applyAlignment="1">
      <alignment vertical="top"/>
    </xf>
    <xf numFmtId="49" fontId="94" fillId="0" borderId="94" xfId="0" applyNumberFormat="1" applyFont="1" applyBorder="1" applyAlignment="1">
      <alignment vertical="top"/>
    </xf>
    <xf numFmtId="0" fontId="95" fillId="0" borderId="95" xfId="0" applyFont="1" applyBorder="1" applyAlignment="1">
      <alignment vertical="top"/>
    </xf>
    <xf numFmtId="0" fontId="96" fillId="0" borderId="96" xfId="0" applyFont="1" applyBorder="1" applyAlignment="1">
      <alignment vertical="top"/>
    </xf>
    <xf numFmtId="49" fontId="97" fillId="0" borderId="97" xfId="0" applyNumberFormat="1" applyFont="1" applyBorder="1" applyAlignment="1">
      <alignment vertical="top"/>
    </xf>
    <xf numFmtId="0" fontId="98" fillId="0" borderId="98" xfId="0" applyFont="1" applyBorder="1" applyAlignment="1">
      <alignment vertical="top"/>
    </xf>
    <xf numFmtId="0" fontId="99" fillId="0" borderId="99" xfId="0" applyFont="1" applyBorder="1" applyAlignment="1">
      <alignment vertical="top"/>
    </xf>
    <xf numFmtId="49" fontId="100" fillId="0" borderId="100" xfId="0" applyNumberFormat="1" applyFont="1" applyBorder="1" applyAlignment="1">
      <alignment vertical="top"/>
    </xf>
    <xf numFmtId="0" fontId="101" fillId="0" borderId="101" xfId="0" applyFont="1" applyBorder="1" applyAlignment="1">
      <alignment vertical="top"/>
    </xf>
    <xf numFmtId="0" fontId="102" fillId="0" borderId="102" xfId="0" applyFont="1" applyBorder="1" applyAlignment="1">
      <alignment vertical="top"/>
    </xf>
    <xf numFmtId="49" fontId="103" fillId="0" borderId="103" xfId="0" applyNumberFormat="1" applyFont="1" applyBorder="1" applyAlignment="1">
      <alignment vertical="top"/>
    </xf>
    <xf numFmtId="0" fontId="104" fillId="0" borderId="104" xfId="0" applyFont="1" applyBorder="1" applyAlignment="1">
      <alignment vertical="top"/>
    </xf>
    <xf numFmtId="0" fontId="105" fillId="0" borderId="105" xfId="0" applyFont="1" applyBorder="1" applyAlignment="1">
      <alignment vertical="top"/>
    </xf>
    <xf numFmtId="49" fontId="106" fillId="0" borderId="106" xfId="0" applyNumberFormat="1" applyFont="1" applyBorder="1" applyAlignment="1">
      <alignment vertical="top"/>
    </xf>
    <xf numFmtId="0" fontId="107" fillId="0" borderId="107" xfId="0" applyFont="1" applyBorder="1" applyAlignment="1">
      <alignment vertical="top"/>
    </xf>
    <xf numFmtId="0" fontId="108" fillId="0" borderId="108" xfId="0" applyFont="1" applyBorder="1" applyAlignment="1">
      <alignment vertical="top"/>
    </xf>
    <xf numFmtId="49" fontId="109" fillId="0" borderId="109" xfId="0" applyNumberFormat="1" applyFont="1" applyBorder="1" applyAlignment="1">
      <alignment vertical="top"/>
    </xf>
    <xf numFmtId="0" fontId="110" fillId="0" borderId="110" xfId="0" applyFont="1" applyBorder="1" applyAlignment="1">
      <alignment vertical="top"/>
    </xf>
    <xf numFmtId="0" fontId="111" fillId="0" borderId="111" xfId="0" applyFont="1" applyBorder="1" applyAlignment="1">
      <alignment vertical="top"/>
    </xf>
    <xf numFmtId="49" fontId="112" fillId="0" borderId="112" xfId="0" applyNumberFormat="1" applyFont="1" applyBorder="1" applyAlignment="1">
      <alignment vertical="top"/>
    </xf>
    <xf numFmtId="0" fontId="113" fillId="0" borderId="113" xfId="0" applyFont="1" applyBorder="1" applyAlignment="1">
      <alignment vertical="top"/>
    </xf>
    <xf numFmtId="0" fontId="114" fillId="0" borderId="114" xfId="0" applyFont="1" applyBorder="1" applyAlignment="1">
      <alignment vertical="top"/>
    </xf>
    <xf numFmtId="49" fontId="115" fillId="0" borderId="115" xfId="0" applyNumberFormat="1" applyFont="1" applyBorder="1" applyAlignment="1">
      <alignment vertical="top"/>
    </xf>
    <xf numFmtId="0" fontId="116" fillId="0" borderId="116" xfId="0" applyFont="1" applyBorder="1" applyAlignment="1">
      <alignment vertical="top"/>
    </xf>
    <xf numFmtId="0" fontId="117" fillId="0" borderId="117" xfId="0" applyFont="1" applyBorder="1" applyAlignment="1">
      <alignment vertical="top"/>
    </xf>
    <xf numFmtId="49" fontId="118" fillId="0" borderId="118" xfId="0" applyNumberFormat="1" applyFont="1" applyBorder="1" applyAlignment="1">
      <alignment vertical="top"/>
    </xf>
    <xf numFmtId="0" fontId="119" fillId="0" borderId="119" xfId="0" applyFont="1" applyBorder="1" applyAlignment="1">
      <alignment vertical="top"/>
    </xf>
    <xf numFmtId="0" fontId="120" fillId="0" borderId="120" xfId="0" applyFont="1" applyBorder="1" applyAlignment="1">
      <alignment vertical="top"/>
    </xf>
    <xf numFmtId="49" fontId="121" fillId="0" borderId="121" xfId="0" applyNumberFormat="1" applyFont="1" applyBorder="1" applyAlignment="1">
      <alignment vertical="top"/>
    </xf>
    <xf numFmtId="0" fontId="122" fillId="0" borderId="122" xfId="0" applyFont="1" applyBorder="1" applyAlignment="1">
      <alignment vertical="top"/>
    </xf>
    <xf numFmtId="0" fontId="123" fillId="0" borderId="123" xfId="0" applyFont="1" applyBorder="1" applyAlignment="1">
      <alignment vertical="top"/>
    </xf>
    <xf numFmtId="49" fontId="124" fillId="0" borderId="124" xfId="0" applyNumberFormat="1" applyFont="1" applyBorder="1" applyAlignment="1">
      <alignment vertical="top"/>
    </xf>
    <xf numFmtId="0" fontId="125" fillId="0" borderId="125" xfId="0" applyFont="1" applyBorder="1" applyAlignment="1">
      <alignment vertical="top"/>
    </xf>
    <xf numFmtId="0" fontId="126" fillId="0" borderId="126" xfId="0" applyFont="1" applyBorder="1" applyAlignment="1">
      <alignment vertical="top"/>
    </xf>
    <xf numFmtId="49" fontId="127" fillId="0" borderId="127" xfId="0" applyNumberFormat="1" applyFont="1" applyBorder="1" applyAlignment="1">
      <alignment vertical="top"/>
    </xf>
    <xf numFmtId="0" fontId="128" fillId="0" borderId="128" xfId="0" applyFont="1" applyBorder="1" applyAlignment="1">
      <alignment vertical="top"/>
    </xf>
    <xf numFmtId="0" fontId="129" fillId="0" borderId="129" xfId="0" applyFont="1" applyBorder="1" applyAlignment="1">
      <alignment vertical="top"/>
    </xf>
    <xf numFmtId="49" fontId="130" fillId="0" borderId="130" xfId="0" applyNumberFormat="1" applyFont="1" applyBorder="1" applyAlignment="1">
      <alignment vertical="top"/>
    </xf>
    <xf numFmtId="0" fontId="131" fillId="0" borderId="131" xfId="0" applyFont="1" applyBorder="1" applyAlignment="1">
      <alignment vertical="top"/>
    </xf>
    <xf numFmtId="0" fontId="132" fillId="0" borderId="132" xfId="0" applyFont="1" applyBorder="1" applyAlignment="1">
      <alignment vertical="top"/>
    </xf>
    <xf numFmtId="49" fontId="133" fillId="0" borderId="133" xfId="0" applyNumberFormat="1" applyFont="1" applyBorder="1" applyAlignment="1">
      <alignment vertical="top"/>
    </xf>
    <xf numFmtId="0" fontId="134" fillId="0" borderId="134" xfId="0" applyFont="1" applyBorder="1" applyAlignment="1">
      <alignment vertical="top"/>
    </xf>
    <xf numFmtId="0" fontId="135" fillId="0" borderId="135" xfId="0" applyFont="1" applyBorder="1" applyAlignment="1">
      <alignment vertical="top"/>
    </xf>
    <xf numFmtId="49" fontId="136" fillId="0" borderId="136" xfId="0" applyNumberFormat="1" applyFont="1" applyBorder="1" applyAlignment="1">
      <alignment vertical="top"/>
    </xf>
    <xf numFmtId="0" fontId="137" fillId="0" borderId="137" xfId="0" applyFont="1" applyBorder="1" applyAlignment="1">
      <alignment vertical="top"/>
    </xf>
    <xf numFmtId="0" fontId="138" fillId="0" borderId="138" xfId="0" applyFont="1" applyBorder="1" applyAlignment="1">
      <alignment vertical="top"/>
    </xf>
    <xf numFmtId="49" fontId="139" fillId="0" borderId="139" xfId="0" applyNumberFormat="1" applyFont="1" applyBorder="1" applyAlignment="1">
      <alignment vertical="top"/>
    </xf>
    <xf numFmtId="0" fontId="140" fillId="0" borderId="140" xfId="0" applyFont="1" applyBorder="1" applyAlignment="1">
      <alignment vertical="top"/>
    </xf>
    <xf numFmtId="0" fontId="141" fillId="0" borderId="141" xfId="0" applyFont="1" applyBorder="1" applyAlignment="1">
      <alignment vertical="top"/>
    </xf>
    <xf numFmtId="49" fontId="142" fillId="0" borderId="142" xfId="0" applyNumberFormat="1" applyFont="1" applyBorder="1" applyAlignment="1">
      <alignment vertical="top"/>
    </xf>
    <xf numFmtId="0" fontId="143" fillId="0" borderId="143" xfId="0" applyFont="1" applyBorder="1" applyAlignment="1">
      <alignment vertical="top"/>
    </xf>
    <xf numFmtId="0" fontId="144" fillId="0" borderId="144" xfId="0" applyFont="1" applyBorder="1" applyAlignment="1">
      <alignment vertical="top"/>
    </xf>
    <xf numFmtId="49" fontId="145" fillId="0" borderId="145" xfId="0" applyNumberFormat="1" applyFont="1" applyBorder="1" applyAlignment="1">
      <alignment vertical="top"/>
    </xf>
    <xf numFmtId="0" fontId="146" fillId="0" borderId="146" xfId="0" applyFont="1" applyBorder="1" applyAlignment="1">
      <alignment vertical="top"/>
    </xf>
    <xf numFmtId="0" fontId="147" fillId="0" borderId="147" xfId="0" applyFont="1" applyBorder="1" applyAlignment="1">
      <alignment vertical="top"/>
    </xf>
    <xf numFmtId="49" fontId="148" fillId="0" borderId="148" xfId="0" applyNumberFormat="1" applyFont="1" applyBorder="1" applyAlignment="1">
      <alignment vertical="top"/>
    </xf>
    <xf numFmtId="0" fontId="149" fillId="0" borderId="149" xfId="0" applyFont="1" applyBorder="1" applyAlignment="1">
      <alignment vertical="top"/>
    </xf>
    <xf numFmtId="0" fontId="150" fillId="0" borderId="150" xfId="0" applyFont="1" applyBorder="1" applyAlignment="1">
      <alignment vertical="top"/>
    </xf>
    <xf numFmtId="49" fontId="151" fillId="0" borderId="151" xfId="0" applyNumberFormat="1" applyFont="1" applyBorder="1" applyAlignment="1">
      <alignment vertical="top"/>
    </xf>
    <xf numFmtId="0" fontId="152" fillId="0" borderId="152" xfId="0" applyFont="1" applyBorder="1" applyAlignment="1">
      <alignment vertical="top"/>
    </xf>
    <xf numFmtId="0" fontId="153" fillId="0" borderId="153" xfId="0" applyFont="1" applyBorder="1" applyAlignment="1">
      <alignment vertical="top"/>
    </xf>
    <xf numFmtId="49" fontId="154" fillId="0" borderId="154" xfId="0" applyNumberFormat="1" applyFont="1" applyBorder="1" applyAlignment="1">
      <alignment vertical="top"/>
    </xf>
    <xf numFmtId="0" fontId="155" fillId="0" borderId="155" xfId="0" applyFont="1" applyBorder="1" applyAlignment="1">
      <alignment vertical="top"/>
    </xf>
    <xf numFmtId="0" fontId="156" fillId="0" borderId="156" xfId="0" applyFont="1" applyBorder="1" applyAlignment="1">
      <alignment vertical="top"/>
    </xf>
    <xf numFmtId="49" fontId="157" fillId="0" borderId="157" xfId="0" applyNumberFormat="1" applyFont="1" applyBorder="1" applyAlignment="1">
      <alignment vertical="top"/>
    </xf>
    <xf numFmtId="0" fontId="158" fillId="0" borderId="158" xfId="0" applyFont="1" applyBorder="1" applyAlignment="1">
      <alignment vertical="top"/>
    </xf>
    <xf numFmtId="0" fontId="159" fillId="0" borderId="159" xfId="0" applyFont="1" applyBorder="1" applyAlignment="1">
      <alignment vertical="top"/>
    </xf>
    <xf numFmtId="49" fontId="160" fillId="0" borderId="160" xfId="0" applyNumberFormat="1" applyFont="1" applyBorder="1" applyAlignment="1">
      <alignment vertical="top"/>
    </xf>
    <xf numFmtId="0" fontId="161" fillId="0" borderId="161" xfId="0" applyFont="1" applyBorder="1" applyAlignment="1">
      <alignment vertical="top"/>
    </xf>
    <xf numFmtId="0" fontId="162" fillId="0" borderId="162" xfId="0" applyFont="1" applyBorder="1" applyAlignment="1">
      <alignment vertical="top"/>
    </xf>
    <xf numFmtId="49" fontId="163" fillId="0" borderId="163" xfId="0" applyNumberFormat="1" applyFont="1" applyBorder="1" applyAlignment="1">
      <alignment vertical="top"/>
    </xf>
    <xf numFmtId="0" fontId="164" fillId="0" borderId="164" xfId="0" applyFont="1" applyBorder="1" applyAlignment="1">
      <alignment vertical="top"/>
    </xf>
    <xf numFmtId="0" fontId="165" fillId="0" borderId="165" xfId="0" applyFont="1" applyBorder="1" applyAlignment="1">
      <alignment vertical="top"/>
    </xf>
    <xf numFmtId="49" fontId="166" fillId="0" borderId="166" xfId="0" applyNumberFormat="1" applyFont="1" applyBorder="1" applyAlignment="1">
      <alignment vertical="top"/>
    </xf>
    <xf numFmtId="0" fontId="167" fillId="0" borderId="167" xfId="0" applyFont="1" applyBorder="1" applyAlignment="1">
      <alignment vertical="top"/>
    </xf>
    <xf numFmtId="0" fontId="168" fillId="0" borderId="168" xfId="0" applyFont="1" applyBorder="1" applyAlignment="1">
      <alignment vertical="top"/>
    </xf>
    <xf numFmtId="49" fontId="169" fillId="0" borderId="169" xfId="0" applyNumberFormat="1" applyFont="1" applyBorder="1" applyAlignment="1">
      <alignment vertical="top"/>
    </xf>
    <xf numFmtId="0" fontId="170" fillId="0" borderId="170" xfId="0" applyFont="1" applyBorder="1" applyAlignment="1">
      <alignment vertical="top"/>
    </xf>
    <xf numFmtId="0" fontId="171" fillId="0" borderId="171" xfId="0" applyFont="1" applyBorder="1" applyAlignment="1">
      <alignment vertical="top"/>
    </xf>
    <xf numFmtId="49" fontId="172" fillId="0" borderId="172" xfId="0" applyNumberFormat="1" applyFont="1" applyBorder="1" applyAlignment="1">
      <alignment vertical="top"/>
    </xf>
    <xf numFmtId="0" fontId="173" fillId="0" borderId="173" xfId="0" applyFont="1" applyBorder="1" applyAlignment="1">
      <alignment vertical="top"/>
    </xf>
    <xf numFmtId="0" fontId="174" fillId="0" borderId="174" xfId="0" applyFont="1" applyBorder="1" applyAlignment="1">
      <alignment vertical="top"/>
    </xf>
    <xf numFmtId="49" fontId="175" fillId="0" borderId="175" xfId="0" applyNumberFormat="1" applyFont="1" applyBorder="1" applyAlignment="1">
      <alignment vertical="top"/>
    </xf>
    <xf numFmtId="0" fontId="176" fillId="0" borderId="176" xfId="0" applyFont="1" applyBorder="1" applyAlignment="1">
      <alignment vertical="top"/>
    </xf>
    <xf numFmtId="0" fontId="177" fillId="0" borderId="177" xfId="0" applyFont="1" applyBorder="1" applyAlignment="1">
      <alignment vertical="top"/>
    </xf>
    <xf numFmtId="49" fontId="178" fillId="0" borderId="178" xfId="0" applyNumberFormat="1" applyFont="1" applyBorder="1" applyAlignment="1">
      <alignment vertical="top"/>
    </xf>
    <xf numFmtId="0" fontId="179" fillId="0" borderId="179" xfId="0" applyFont="1" applyBorder="1" applyAlignment="1">
      <alignment vertical="top"/>
    </xf>
    <xf numFmtId="0" fontId="180" fillId="0" borderId="180" xfId="0" applyFont="1" applyBorder="1" applyAlignment="1">
      <alignment vertical="top"/>
    </xf>
    <xf numFmtId="49" fontId="181" fillId="0" borderId="181" xfId="0" applyNumberFormat="1" applyFont="1" applyBorder="1" applyAlignment="1">
      <alignment vertical="top"/>
    </xf>
    <xf numFmtId="0" fontId="182" fillId="0" borderId="182" xfId="0" applyFont="1" applyBorder="1" applyAlignment="1">
      <alignment vertical="top"/>
    </xf>
    <xf numFmtId="0" fontId="183" fillId="0" borderId="183" xfId="0" applyFont="1" applyBorder="1" applyAlignment="1">
      <alignment vertical="top"/>
    </xf>
    <xf numFmtId="49" fontId="184" fillId="0" borderId="184" xfId="0" applyNumberFormat="1" applyFont="1" applyBorder="1" applyAlignment="1">
      <alignment vertical="top"/>
    </xf>
    <xf numFmtId="0" fontId="185" fillId="0" borderId="185" xfId="0" applyFont="1" applyBorder="1" applyAlignment="1">
      <alignment vertical="top"/>
    </xf>
    <xf numFmtId="0" fontId="186" fillId="0" borderId="186" xfId="0" applyFont="1" applyBorder="1" applyAlignment="1">
      <alignment vertical="top"/>
    </xf>
    <xf numFmtId="49" fontId="187" fillId="0" borderId="187" xfId="0" applyNumberFormat="1" applyFont="1" applyBorder="1" applyAlignment="1">
      <alignment vertical="top"/>
    </xf>
    <xf numFmtId="0" fontId="188" fillId="0" borderId="188" xfId="0" applyFont="1" applyBorder="1" applyAlignment="1">
      <alignment vertical="top"/>
    </xf>
    <xf numFmtId="0" fontId="189" fillId="0" borderId="189" xfId="0" applyFont="1" applyBorder="1" applyAlignment="1">
      <alignment vertical="top"/>
    </xf>
    <xf numFmtId="49" fontId="190" fillId="0" borderId="190" xfId="0" applyNumberFormat="1" applyFont="1" applyBorder="1" applyAlignment="1">
      <alignment vertical="top"/>
    </xf>
    <xf numFmtId="0" fontId="191" fillId="0" borderId="191" xfId="0" applyFont="1" applyBorder="1" applyAlignment="1">
      <alignment vertical="top"/>
    </xf>
    <xf numFmtId="0" fontId="192" fillId="0" borderId="192" xfId="0" applyFont="1" applyBorder="1" applyAlignment="1">
      <alignment vertical="top"/>
    </xf>
    <xf numFmtId="49" fontId="193" fillId="0" borderId="193" xfId="0" applyNumberFormat="1" applyFont="1" applyBorder="1" applyAlignment="1">
      <alignment vertical="top"/>
    </xf>
    <xf numFmtId="0" fontId="194" fillId="0" borderId="194" xfId="0" applyFont="1" applyBorder="1" applyAlignment="1">
      <alignment vertical="top"/>
    </xf>
    <xf numFmtId="0" fontId="195" fillId="0" borderId="195" xfId="0" applyFont="1" applyBorder="1" applyAlignment="1">
      <alignment vertical="top"/>
    </xf>
    <xf numFmtId="49" fontId="196" fillId="0" borderId="196" xfId="0" applyNumberFormat="1" applyFont="1" applyBorder="1" applyAlignment="1">
      <alignment vertical="top"/>
    </xf>
    <xf numFmtId="0" fontId="197" fillId="0" borderId="197" xfId="0" applyFont="1" applyBorder="1" applyAlignment="1">
      <alignment vertical="top"/>
    </xf>
    <xf numFmtId="0" fontId="198" fillId="0" borderId="198" xfId="0" applyFont="1" applyBorder="1" applyAlignment="1">
      <alignment vertical="top"/>
    </xf>
    <xf numFmtId="49" fontId="199" fillId="0" borderId="199" xfId="0" applyNumberFormat="1" applyFont="1" applyBorder="1" applyAlignment="1">
      <alignment vertical="top"/>
    </xf>
    <xf numFmtId="0" fontId="200" fillId="0" borderId="200" xfId="0" applyFont="1" applyBorder="1" applyAlignment="1">
      <alignment vertical="top"/>
    </xf>
    <xf numFmtId="0" fontId="201" fillId="0" borderId="201" xfId="0" applyFont="1" applyBorder="1" applyAlignment="1">
      <alignment vertical="top"/>
    </xf>
    <xf numFmtId="49" fontId="202" fillId="0" borderId="202" xfId="0" applyNumberFormat="1" applyFont="1" applyBorder="1" applyAlignment="1">
      <alignment vertical="top"/>
    </xf>
    <xf numFmtId="0" fontId="203" fillId="0" borderId="203" xfId="0" applyFont="1" applyBorder="1" applyAlignment="1">
      <alignment vertical="top"/>
    </xf>
    <xf numFmtId="0" fontId="204" fillId="0" borderId="204" xfId="0" applyFont="1" applyBorder="1" applyAlignment="1">
      <alignment vertical="top"/>
    </xf>
    <xf numFmtId="49" fontId="205" fillId="0" borderId="205" xfId="0" applyNumberFormat="1" applyFont="1" applyBorder="1" applyAlignment="1">
      <alignment vertical="top"/>
    </xf>
    <xf numFmtId="0" fontId="206" fillId="0" borderId="206" xfId="0" applyFont="1" applyBorder="1" applyAlignment="1">
      <alignment vertical="top"/>
    </xf>
    <xf numFmtId="0" fontId="207" fillId="0" borderId="207" xfId="0" applyFont="1" applyBorder="1" applyAlignment="1">
      <alignment vertical="top"/>
    </xf>
    <xf numFmtId="49" fontId="208" fillId="0" borderId="208" xfId="0" applyNumberFormat="1" applyFont="1" applyBorder="1" applyAlignment="1">
      <alignment vertical="top"/>
    </xf>
    <xf numFmtId="0" fontId="209" fillId="0" borderId="209" xfId="0" applyFont="1" applyBorder="1" applyAlignment="1">
      <alignment vertical="top"/>
    </xf>
    <xf numFmtId="0" fontId="210" fillId="0" borderId="210" xfId="0" applyFont="1" applyBorder="1" applyAlignment="1">
      <alignment vertical="top"/>
    </xf>
    <xf numFmtId="49" fontId="211" fillId="0" borderId="211" xfId="0" applyNumberFormat="1" applyFont="1" applyBorder="1" applyAlignment="1">
      <alignment vertical="top"/>
    </xf>
    <xf numFmtId="0" fontId="212" fillId="0" borderId="212" xfId="0" applyFont="1" applyBorder="1" applyAlignment="1">
      <alignment vertical="top"/>
    </xf>
    <xf numFmtId="0" fontId="213" fillId="0" borderId="213" xfId="0" applyFont="1" applyBorder="1" applyAlignment="1">
      <alignment vertical="top"/>
    </xf>
    <xf numFmtId="49" fontId="214" fillId="0" borderId="214" xfId="0" applyNumberFormat="1" applyFont="1" applyBorder="1" applyAlignment="1">
      <alignment vertical="top"/>
    </xf>
    <xf numFmtId="0" fontId="215" fillId="0" borderId="215" xfId="0" applyFont="1" applyBorder="1" applyAlignment="1">
      <alignment vertical="top"/>
    </xf>
    <xf numFmtId="0" fontId="216" fillId="0" borderId="216" xfId="0" applyFont="1" applyBorder="1" applyAlignment="1">
      <alignment vertical="top"/>
    </xf>
    <xf numFmtId="49" fontId="217" fillId="0" borderId="217" xfId="0" applyNumberFormat="1" applyFont="1" applyBorder="1" applyAlignment="1">
      <alignment vertical="top"/>
    </xf>
    <xf numFmtId="0" fontId="218" fillId="0" borderId="218" xfId="0" applyFont="1" applyBorder="1" applyAlignment="1">
      <alignment vertical="top"/>
    </xf>
    <xf numFmtId="0" fontId="219" fillId="0" borderId="219" xfId="0" applyFont="1" applyBorder="1" applyAlignment="1">
      <alignment vertical="top"/>
    </xf>
    <xf numFmtId="49" fontId="220" fillId="0" borderId="220" xfId="0" applyNumberFormat="1" applyFont="1" applyBorder="1" applyAlignment="1">
      <alignment vertical="top"/>
    </xf>
    <xf numFmtId="0" fontId="221" fillId="0" borderId="221" xfId="0" applyFont="1" applyBorder="1" applyAlignment="1">
      <alignment vertical="top"/>
    </xf>
    <xf numFmtId="0" fontId="222" fillId="0" borderId="222" xfId="0" applyFont="1" applyBorder="1" applyAlignment="1">
      <alignment vertical="top"/>
    </xf>
    <xf numFmtId="49" fontId="223" fillId="0" borderId="223" xfId="0" applyNumberFormat="1" applyFont="1" applyBorder="1" applyAlignment="1">
      <alignment vertical="top"/>
    </xf>
    <xf numFmtId="0" fontId="224" fillId="0" borderId="224" xfId="0" applyFont="1" applyBorder="1" applyAlignment="1">
      <alignment vertical="top"/>
    </xf>
    <xf numFmtId="0" fontId="225" fillId="0" borderId="225" xfId="0" applyFont="1" applyBorder="1" applyAlignment="1">
      <alignment vertical="top"/>
    </xf>
    <xf numFmtId="49" fontId="226" fillId="0" borderId="226" xfId="0" applyNumberFormat="1" applyFont="1" applyBorder="1" applyAlignment="1">
      <alignment vertical="top"/>
    </xf>
    <xf numFmtId="0" fontId="227" fillId="0" borderId="227" xfId="0" applyFont="1" applyBorder="1" applyAlignment="1">
      <alignment vertical="top"/>
    </xf>
    <xf numFmtId="0" fontId="228" fillId="0" borderId="228" xfId="0" applyFont="1" applyBorder="1" applyAlignment="1">
      <alignment vertical="top"/>
    </xf>
    <xf numFmtId="49" fontId="229" fillId="0" borderId="229" xfId="0" applyNumberFormat="1" applyFont="1" applyBorder="1" applyAlignment="1">
      <alignment vertical="top"/>
    </xf>
    <xf numFmtId="0" fontId="230" fillId="0" borderId="230" xfId="0" applyFont="1" applyBorder="1" applyAlignment="1">
      <alignment vertical="top"/>
    </xf>
    <xf numFmtId="0" fontId="231" fillId="0" borderId="231" xfId="0" applyFont="1" applyBorder="1" applyAlignment="1">
      <alignment vertical="top"/>
    </xf>
    <xf numFmtId="49" fontId="232" fillId="0" borderId="232" xfId="0" applyNumberFormat="1" applyFont="1" applyBorder="1" applyAlignment="1">
      <alignment vertical="top"/>
    </xf>
    <xf numFmtId="0" fontId="233" fillId="0" borderId="233" xfId="0" applyFont="1" applyBorder="1" applyAlignment="1">
      <alignment vertical="top"/>
    </xf>
    <xf numFmtId="0" fontId="234" fillId="0" borderId="234" xfId="0" applyFont="1" applyBorder="1" applyAlignment="1">
      <alignment vertical="top"/>
    </xf>
    <xf numFmtId="49" fontId="235" fillId="0" borderId="235" xfId="0" applyNumberFormat="1" applyFont="1" applyBorder="1" applyAlignment="1">
      <alignment vertical="top"/>
    </xf>
    <xf numFmtId="0" fontId="236" fillId="0" borderId="236" xfId="0" applyFont="1" applyBorder="1" applyAlignment="1">
      <alignment vertical="top"/>
    </xf>
    <xf numFmtId="0" fontId="237" fillId="0" borderId="237" xfId="0" applyFont="1" applyBorder="1" applyAlignment="1">
      <alignment vertical="top"/>
    </xf>
    <xf numFmtId="49" fontId="238" fillId="0" borderId="238" xfId="0" applyNumberFormat="1" applyFont="1" applyBorder="1" applyAlignment="1">
      <alignment vertical="top"/>
    </xf>
    <xf numFmtId="0" fontId="239" fillId="0" borderId="239" xfId="0" applyFont="1" applyBorder="1" applyAlignment="1">
      <alignment vertical="top"/>
    </xf>
    <xf numFmtId="0" fontId="240" fillId="0" borderId="240" xfId="0" applyFont="1" applyBorder="1" applyAlignment="1">
      <alignment vertical="top"/>
    </xf>
    <xf numFmtId="49" fontId="241" fillId="0" borderId="241" xfId="0" applyNumberFormat="1" applyFont="1" applyBorder="1" applyAlignment="1">
      <alignment vertical="top"/>
    </xf>
    <xf numFmtId="0" fontId="242" fillId="0" borderId="242" xfId="0" applyFont="1" applyBorder="1" applyAlignment="1">
      <alignment vertical="top"/>
    </xf>
    <xf numFmtId="0" fontId="243" fillId="0" borderId="243" xfId="0" applyFont="1" applyBorder="1" applyAlignment="1">
      <alignment vertical="top"/>
    </xf>
    <xf numFmtId="49" fontId="244" fillId="0" borderId="244" xfId="0" applyNumberFormat="1" applyFont="1" applyBorder="1" applyAlignment="1">
      <alignment vertical="top"/>
    </xf>
    <xf numFmtId="0" fontId="245" fillId="0" borderId="245" xfId="0" applyFont="1" applyBorder="1" applyAlignment="1">
      <alignment vertical="top"/>
    </xf>
    <xf numFmtId="0" fontId="246" fillId="0" borderId="246" xfId="0" applyFont="1" applyBorder="1" applyAlignment="1">
      <alignment vertical="top"/>
    </xf>
    <xf numFmtId="49" fontId="247" fillId="0" borderId="247" xfId="0" applyNumberFormat="1" applyFont="1" applyBorder="1" applyAlignment="1">
      <alignment vertical="top"/>
    </xf>
    <xf numFmtId="0" fontId="248" fillId="0" borderId="248" xfId="0" applyFont="1" applyBorder="1" applyAlignment="1">
      <alignment vertical="top"/>
    </xf>
    <xf numFmtId="0" fontId="249" fillId="0" borderId="249" xfId="0" applyFont="1" applyBorder="1" applyAlignment="1">
      <alignment vertical="top"/>
    </xf>
    <xf numFmtId="49" fontId="250" fillId="0" borderId="250" xfId="0" applyNumberFormat="1" applyFont="1" applyBorder="1" applyAlignment="1">
      <alignment vertical="top"/>
    </xf>
    <xf numFmtId="0" fontId="251" fillId="0" borderId="251" xfId="0" applyFont="1" applyBorder="1" applyAlignment="1">
      <alignment vertical="top"/>
    </xf>
    <xf numFmtId="0" fontId="252" fillId="0" borderId="252" xfId="0" applyFont="1" applyBorder="1" applyAlignment="1">
      <alignment vertical="top"/>
    </xf>
    <xf numFmtId="49" fontId="253" fillId="0" borderId="253" xfId="0" applyNumberFormat="1" applyFont="1" applyBorder="1" applyAlignment="1">
      <alignment vertical="top"/>
    </xf>
    <xf numFmtId="0" fontId="254" fillId="0" borderId="254" xfId="0" applyFont="1" applyBorder="1" applyAlignment="1">
      <alignment vertical="top"/>
    </xf>
    <xf numFmtId="0" fontId="255" fillId="0" borderId="255" xfId="0" applyFont="1" applyBorder="1" applyAlignment="1">
      <alignment vertical="top"/>
    </xf>
    <xf numFmtId="49" fontId="256" fillId="0" borderId="256" xfId="0" applyNumberFormat="1" applyFont="1" applyBorder="1" applyAlignment="1">
      <alignment vertical="top"/>
    </xf>
    <xf numFmtId="0" fontId="257" fillId="0" borderId="257" xfId="0" applyFont="1" applyBorder="1" applyAlignment="1">
      <alignment vertical="top"/>
    </xf>
    <xf numFmtId="0" fontId="258" fillId="0" borderId="258" xfId="0" applyFont="1" applyBorder="1" applyAlignment="1">
      <alignment vertical="top"/>
    </xf>
    <xf numFmtId="49" fontId="259" fillId="0" borderId="259" xfId="0" applyNumberFormat="1" applyFont="1" applyBorder="1" applyAlignment="1">
      <alignment vertical="top"/>
    </xf>
    <xf numFmtId="0" fontId="260" fillId="0" borderId="260" xfId="0" applyFont="1" applyBorder="1" applyAlignment="1">
      <alignment vertical="top"/>
    </xf>
    <xf numFmtId="0" fontId="261" fillId="0" borderId="261" xfId="0" applyFont="1" applyBorder="1" applyAlignment="1">
      <alignment vertical="top"/>
    </xf>
    <xf numFmtId="49" fontId="262" fillId="0" borderId="262" xfId="0" applyNumberFormat="1" applyFont="1" applyBorder="1" applyAlignment="1">
      <alignment vertical="top"/>
    </xf>
    <xf numFmtId="0" fontId="263" fillId="0" borderId="263" xfId="0" applyFont="1" applyBorder="1" applyAlignment="1">
      <alignment vertical="top"/>
    </xf>
    <xf numFmtId="0" fontId="264" fillId="0" borderId="264" xfId="0" applyFont="1" applyBorder="1" applyAlignment="1">
      <alignment vertical="top"/>
    </xf>
    <xf numFmtId="49" fontId="265" fillId="0" borderId="265" xfId="0" applyNumberFormat="1" applyFont="1" applyBorder="1" applyAlignment="1">
      <alignment vertical="top"/>
    </xf>
    <xf numFmtId="0" fontId="266" fillId="0" borderId="266" xfId="0" applyFont="1" applyBorder="1" applyAlignment="1">
      <alignment vertical="top"/>
    </xf>
    <xf numFmtId="0" fontId="267" fillId="0" borderId="267" xfId="0" applyFont="1" applyBorder="1" applyAlignment="1">
      <alignment vertical="top"/>
    </xf>
    <xf numFmtId="49" fontId="268" fillId="0" borderId="268" xfId="0" applyNumberFormat="1" applyFont="1" applyBorder="1" applyAlignment="1">
      <alignment vertical="top"/>
    </xf>
    <xf numFmtId="0" fontId="269" fillId="0" borderId="269" xfId="0" applyFont="1" applyBorder="1" applyAlignment="1">
      <alignment vertical="top"/>
    </xf>
    <xf numFmtId="0" fontId="270" fillId="0" borderId="270" xfId="0" applyFont="1" applyBorder="1" applyAlignment="1">
      <alignment vertical="top"/>
    </xf>
    <xf numFmtId="49" fontId="271" fillId="0" borderId="271" xfId="0" applyNumberFormat="1" applyFont="1" applyBorder="1" applyAlignment="1">
      <alignment vertical="top"/>
    </xf>
    <xf numFmtId="0" fontId="272" fillId="0" borderId="272" xfId="0" applyFont="1" applyBorder="1" applyAlignment="1">
      <alignment vertical="top"/>
    </xf>
    <xf numFmtId="0" fontId="273" fillId="0" borderId="273" xfId="0" applyFont="1" applyBorder="1" applyAlignment="1">
      <alignment vertical="top"/>
    </xf>
    <xf numFmtId="49" fontId="274" fillId="0" borderId="274" xfId="0" applyNumberFormat="1" applyFont="1" applyBorder="1" applyAlignment="1">
      <alignment vertical="top"/>
    </xf>
    <xf numFmtId="0" fontId="275" fillId="0" borderId="275" xfId="0" applyFont="1" applyBorder="1" applyAlignment="1">
      <alignment vertical="top"/>
    </xf>
    <xf numFmtId="0" fontId="276" fillId="0" borderId="276" xfId="0" applyFont="1" applyBorder="1" applyAlignment="1">
      <alignment vertical="top"/>
    </xf>
    <xf numFmtId="49" fontId="277" fillId="0" borderId="277" xfId="0" applyNumberFormat="1" applyFont="1" applyBorder="1" applyAlignment="1">
      <alignment vertical="top"/>
    </xf>
    <xf numFmtId="0" fontId="278" fillId="0" borderId="278" xfId="0" applyFont="1" applyBorder="1" applyAlignment="1">
      <alignment vertical="top"/>
    </xf>
    <xf numFmtId="0" fontId="279" fillId="0" borderId="279" xfId="0" applyFont="1" applyBorder="1" applyAlignment="1">
      <alignment vertical="top"/>
    </xf>
    <xf numFmtId="49" fontId="280" fillId="0" borderId="280" xfId="0" applyNumberFormat="1" applyFont="1" applyBorder="1" applyAlignment="1">
      <alignment vertical="top"/>
    </xf>
    <xf numFmtId="0" fontId="281" fillId="0" borderId="281" xfId="0" applyFont="1" applyBorder="1" applyAlignment="1">
      <alignment vertical="top"/>
    </xf>
    <xf numFmtId="0" fontId="282" fillId="0" borderId="282" xfId="0" applyFont="1" applyBorder="1" applyAlignment="1">
      <alignment vertical="top"/>
    </xf>
    <xf numFmtId="49" fontId="283" fillId="0" borderId="283" xfId="0" applyNumberFormat="1" applyFont="1" applyBorder="1" applyAlignment="1">
      <alignment vertical="top"/>
    </xf>
    <xf numFmtId="0" fontId="284" fillId="0" borderId="284" xfId="0" applyFont="1" applyBorder="1" applyAlignment="1">
      <alignment vertical="top"/>
    </xf>
    <xf numFmtId="0" fontId="285" fillId="0" borderId="285" xfId="0" applyFont="1" applyBorder="1" applyAlignment="1">
      <alignment vertical="top"/>
    </xf>
    <xf numFmtId="49" fontId="286" fillId="0" borderId="286" xfId="0" applyNumberFormat="1" applyFont="1" applyBorder="1" applyAlignment="1">
      <alignment vertical="top"/>
    </xf>
    <xf numFmtId="0" fontId="287" fillId="0" borderId="287" xfId="0" applyFont="1" applyBorder="1" applyAlignment="1">
      <alignment vertical="top"/>
    </xf>
    <xf numFmtId="0" fontId="288" fillId="0" borderId="288" xfId="0" applyFont="1" applyBorder="1" applyAlignment="1">
      <alignment vertical="top"/>
    </xf>
    <xf numFmtId="49" fontId="289" fillId="0" borderId="289" xfId="0" applyNumberFormat="1" applyFont="1" applyBorder="1" applyAlignment="1">
      <alignment vertical="top"/>
    </xf>
    <xf numFmtId="0" fontId="290" fillId="0" borderId="290" xfId="0" applyFont="1" applyBorder="1" applyAlignment="1">
      <alignment vertical="top"/>
    </xf>
    <xf numFmtId="0" fontId="291" fillId="0" borderId="291" xfId="0" applyFont="1" applyBorder="1" applyAlignment="1">
      <alignment vertical="top"/>
    </xf>
    <xf numFmtId="49" fontId="292" fillId="0" borderId="292" xfId="0" applyNumberFormat="1" applyFont="1" applyBorder="1" applyAlignment="1">
      <alignment vertical="top"/>
    </xf>
    <xf numFmtId="0" fontId="293" fillId="0" borderId="293" xfId="0" applyFont="1" applyBorder="1" applyAlignment="1">
      <alignment vertical="top"/>
    </xf>
    <xf numFmtId="0" fontId="294" fillId="0" borderId="294" xfId="0" applyFont="1" applyBorder="1" applyAlignment="1">
      <alignment vertical="top"/>
    </xf>
    <xf numFmtId="49" fontId="295" fillId="0" borderId="295" xfId="0" applyNumberFormat="1" applyFont="1" applyBorder="1" applyAlignment="1">
      <alignment vertical="top"/>
    </xf>
    <xf numFmtId="0" fontId="296" fillId="0" borderId="296" xfId="0" applyFont="1" applyBorder="1" applyAlignment="1">
      <alignment vertical="top"/>
    </xf>
    <xf numFmtId="0" fontId="297" fillId="0" borderId="297" xfId="0" applyFont="1" applyBorder="1" applyAlignment="1">
      <alignment vertical="top"/>
    </xf>
    <xf numFmtId="49" fontId="298" fillId="0" borderId="298" xfId="0" applyNumberFormat="1" applyFont="1" applyBorder="1" applyAlignment="1">
      <alignment vertical="top"/>
    </xf>
    <xf numFmtId="0" fontId="299" fillId="0" borderId="299" xfId="0" applyFont="1" applyBorder="1" applyAlignment="1">
      <alignment vertical="top"/>
    </xf>
    <xf numFmtId="0" fontId="300" fillId="0" borderId="300" xfId="0" applyFont="1" applyBorder="1" applyAlignment="1">
      <alignment vertical="top"/>
    </xf>
    <xf numFmtId="49" fontId="301" fillId="0" borderId="301" xfId="0" applyNumberFormat="1" applyFont="1" applyBorder="1" applyAlignment="1">
      <alignment vertical="top"/>
    </xf>
    <xf numFmtId="0" fontId="302" fillId="0" borderId="302" xfId="0" applyFont="1" applyBorder="1" applyAlignment="1">
      <alignment vertical="top"/>
    </xf>
    <xf numFmtId="0" fontId="303" fillId="0" borderId="303" xfId="0" applyFont="1" applyBorder="1" applyAlignment="1">
      <alignment vertical="top"/>
    </xf>
    <xf numFmtId="49" fontId="304" fillId="0" borderId="304" xfId="0" applyNumberFormat="1" applyFont="1" applyBorder="1" applyAlignment="1">
      <alignment vertical="top"/>
    </xf>
    <xf numFmtId="0" fontId="305" fillId="0" borderId="305" xfId="0" applyFont="1" applyBorder="1" applyAlignment="1">
      <alignment vertical="top"/>
    </xf>
    <xf numFmtId="0" fontId="306" fillId="0" borderId="306" xfId="0" applyFont="1" applyBorder="1" applyAlignment="1">
      <alignment vertical="top"/>
    </xf>
    <xf numFmtId="49" fontId="307" fillId="0" borderId="307" xfId="0" applyNumberFormat="1" applyFont="1" applyBorder="1" applyAlignment="1">
      <alignment vertical="top"/>
    </xf>
    <xf numFmtId="0" fontId="308" fillId="0" borderId="308" xfId="0" applyFont="1" applyBorder="1" applyAlignment="1">
      <alignment vertical="top"/>
    </xf>
    <xf numFmtId="0" fontId="309" fillId="0" borderId="309" xfId="0" applyFont="1" applyBorder="1" applyAlignment="1">
      <alignment vertical="top"/>
    </xf>
    <xf numFmtId="49" fontId="310" fillId="0" borderId="310" xfId="0" applyNumberFormat="1" applyFont="1" applyBorder="1" applyAlignment="1">
      <alignment vertical="top"/>
    </xf>
    <xf numFmtId="0" fontId="311" fillId="0" borderId="311" xfId="0" applyFont="1" applyBorder="1" applyAlignment="1">
      <alignment vertical="top"/>
    </xf>
    <xf numFmtId="0" fontId="312" fillId="0" borderId="312" xfId="0" applyFont="1" applyBorder="1" applyAlignment="1">
      <alignment vertical="top"/>
    </xf>
    <xf numFmtId="49" fontId="313" fillId="0" borderId="313" xfId="0" applyNumberFormat="1" applyFont="1" applyBorder="1" applyAlignment="1">
      <alignment vertical="top"/>
    </xf>
    <xf numFmtId="0" fontId="314" fillId="0" borderId="314" xfId="0" applyFont="1" applyBorder="1" applyAlignment="1">
      <alignment vertical="top"/>
    </xf>
    <xf numFmtId="0" fontId="315" fillId="0" borderId="315" xfId="0" applyFont="1" applyBorder="1" applyAlignment="1">
      <alignment vertical="top"/>
    </xf>
    <xf numFmtId="49" fontId="316" fillId="0" borderId="316" xfId="0" applyNumberFormat="1" applyFont="1" applyBorder="1" applyAlignment="1">
      <alignment vertical="top"/>
    </xf>
    <xf numFmtId="0" fontId="317" fillId="0" borderId="317" xfId="0" applyFont="1" applyBorder="1" applyAlignment="1">
      <alignment vertical="top"/>
    </xf>
    <xf numFmtId="0" fontId="318" fillId="0" borderId="318" xfId="0" applyFont="1" applyBorder="1" applyAlignment="1">
      <alignment vertical="top"/>
    </xf>
    <xf numFmtId="49" fontId="319" fillId="0" borderId="319" xfId="0" applyNumberFormat="1" applyFont="1" applyBorder="1" applyAlignment="1">
      <alignment vertical="top"/>
    </xf>
    <xf numFmtId="0" fontId="320" fillId="0" borderId="320" xfId="0" applyFont="1" applyBorder="1" applyAlignment="1">
      <alignment vertical="top"/>
    </xf>
    <xf numFmtId="0" fontId="321" fillId="0" borderId="321" xfId="0" applyFont="1" applyBorder="1" applyAlignment="1">
      <alignment vertical="top"/>
    </xf>
    <xf numFmtId="49" fontId="322" fillId="0" borderId="322" xfId="0" applyNumberFormat="1" applyFont="1" applyBorder="1" applyAlignment="1">
      <alignment vertical="top"/>
    </xf>
    <xf numFmtId="0" fontId="323" fillId="0" borderId="323" xfId="0" applyFont="1" applyBorder="1" applyAlignment="1">
      <alignment vertical="top"/>
    </xf>
    <xf numFmtId="0" fontId="324" fillId="0" borderId="324" xfId="0" applyFont="1" applyBorder="1" applyAlignment="1">
      <alignment vertical="top"/>
    </xf>
    <xf numFmtId="49" fontId="325" fillId="0" borderId="325" xfId="0" applyNumberFormat="1" applyFont="1" applyBorder="1" applyAlignment="1">
      <alignment vertical="top"/>
    </xf>
    <xf numFmtId="0" fontId="326" fillId="0" borderId="326" xfId="0" applyFont="1" applyBorder="1" applyAlignment="1">
      <alignment vertical="top"/>
    </xf>
    <xf numFmtId="0" fontId="327" fillId="0" borderId="327" xfId="0" applyFont="1" applyBorder="1" applyAlignment="1">
      <alignment vertical="top"/>
    </xf>
    <xf numFmtId="49" fontId="328" fillId="0" borderId="328" xfId="0" applyNumberFormat="1" applyFont="1" applyBorder="1" applyAlignment="1">
      <alignment vertical="top"/>
    </xf>
    <xf numFmtId="0" fontId="329" fillId="0" borderId="329" xfId="0" applyFont="1" applyBorder="1" applyAlignment="1">
      <alignment vertical="top"/>
    </xf>
    <xf numFmtId="0" fontId="330" fillId="0" borderId="330" xfId="0" applyFont="1" applyBorder="1" applyAlignment="1">
      <alignment vertical="top"/>
    </xf>
    <xf numFmtId="49" fontId="331" fillId="0" borderId="331" xfId="0" applyNumberFormat="1" applyFont="1" applyBorder="1" applyAlignment="1">
      <alignment vertical="top"/>
    </xf>
    <xf numFmtId="0" fontId="332" fillId="0" borderId="332" xfId="0" applyFont="1" applyBorder="1" applyAlignment="1">
      <alignment vertical="top"/>
    </xf>
    <xf numFmtId="0" fontId="333" fillId="0" borderId="333" xfId="0" applyFont="1" applyBorder="1" applyAlignment="1">
      <alignment vertical="top"/>
    </xf>
    <xf numFmtId="49" fontId="334" fillId="0" borderId="334" xfId="0" applyNumberFormat="1" applyFont="1" applyBorder="1" applyAlignment="1">
      <alignment vertical="top"/>
    </xf>
    <xf numFmtId="0" fontId="335" fillId="0" borderId="335" xfId="0" applyFont="1" applyBorder="1" applyAlignment="1">
      <alignment vertical="top"/>
    </xf>
    <xf numFmtId="0" fontId="336" fillId="0" borderId="336" xfId="0" applyFont="1" applyBorder="1" applyAlignment="1">
      <alignment vertical="top"/>
    </xf>
    <xf numFmtId="49" fontId="337" fillId="0" borderId="337" xfId="0" applyNumberFormat="1" applyFont="1" applyBorder="1" applyAlignment="1">
      <alignment vertical="top"/>
    </xf>
    <xf numFmtId="0" fontId="338" fillId="0" borderId="338" xfId="0" applyFont="1" applyBorder="1" applyAlignment="1">
      <alignment vertical="top"/>
    </xf>
    <xf numFmtId="0" fontId="339" fillId="0" borderId="339" xfId="0" applyFont="1" applyBorder="1" applyAlignment="1">
      <alignment vertical="top"/>
    </xf>
    <xf numFmtId="49" fontId="340" fillId="0" borderId="340" xfId="0" applyNumberFormat="1" applyFont="1" applyBorder="1" applyAlignment="1">
      <alignment vertical="top"/>
    </xf>
    <xf numFmtId="0" fontId="341" fillId="0" borderId="341" xfId="0" applyFont="1" applyBorder="1" applyAlignment="1">
      <alignment vertical="top"/>
    </xf>
    <xf numFmtId="0" fontId="342" fillId="0" borderId="342" xfId="0" applyFont="1" applyBorder="1" applyAlignment="1">
      <alignment vertical="top"/>
    </xf>
    <xf numFmtId="49" fontId="343" fillId="0" borderId="343" xfId="0" applyNumberFormat="1" applyFont="1" applyBorder="1" applyAlignment="1">
      <alignment vertical="top"/>
    </xf>
    <xf numFmtId="0" fontId="344" fillId="0" borderId="344" xfId="0" applyFont="1" applyBorder="1" applyAlignment="1">
      <alignment vertical="top"/>
    </xf>
    <xf numFmtId="0" fontId="345" fillId="0" borderId="345" xfId="0" applyFont="1" applyBorder="1" applyAlignment="1">
      <alignment vertical="top"/>
    </xf>
    <xf numFmtId="49" fontId="346" fillId="0" borderId="346" xfId="0" applyNumberFormat="1" applyFont="1" applyBorder="1" applyAlignment="1">
      <alignment vertical="top"/>
    </xf>
    <xf numFmtId="0" fontId="347" fillId="0" borderId="347" xfId="0" applyFont="1" applyBorder="1" applyAlignment="1">
      <alignment vertical="top"/>
    </xf>
    <xf numFmtId="0" fontId="348" fillId="0" borderId="348" xfId="0" applyFont="1" applyBorder="1" applyAlignment="1">
      <alignment vertical="top"/>
    </xf>
    <xf numFmtId="49" fontId="349" fillId="0" borderId="349" xfId="0" applyNumberFormat="1" applyFont="1" applyBorder="1" applyAlignment="1">
      <alignment vertical="top"/>
    </xf>
    <xf numFmtId="0" fontId="350" fillId="0" borderId="350" xfId="0" applyFont="1" applyBorder="1" applyAlignment="1">
      <alignment vertical="top"/>
    </xf>
    <xf numFmtId="0" fontId="351" fillId="0" borderId="351" xfId="0" applyFont="1" applyBorder="1" applyAlignment="1">
      <alignment vertical="top"/>
    </xf>
    <xf numFmtId="49" fontId="352" fillId="0" borderId="352" xfId="0" applyNumberFormat="1" applyFont="1" applyBorder="1" applyAlignment="1">
      <alignment vertical="top"/>
    </xf>
    <xf numFmtId="0" fontId="353" fillId="0" borderId="353" xfId="0" applyFont="1" applyBorder="1" applyAlignment="1">
      <alignment vertical="top"/>
    </xf>
    <xf numFmtId="0" fontId="354" fillId="0" borderId="354" xfId="0" applyFont="1" applyBorder="1" applyAlignment="1">
      <alignment vertical="top"/>
    </xf>
    <xf numFmtId="49" fontId="355" fillId="0" borderId="355" xfId="0" applyNumberFormat="1" applyFont="1" applyBorder="1" applyAlignment="1">
      <alignment vertical="top"/>
    </xf>
    <xf numFmtId="0" fontId="356" fillId="0" borderId="356" xfId="0" applyFont="1" applyBorder="1" applyAlignment="1">
      <alignment vertical="top"/>
    </xf>
    <xf numFmtId="0" fontId="357" fillId="0" borderId="357" xfId="0" applyFont="1" applyBorder="1" applyAlignment="1">
      <alignment vertical="top"/>
    </xf>
    <xf numFmtId="49" fontId="358" fillId="0" borderId="358" xfId="0" applyNumberFormat="1" applyFont="1" applyBorder="1" applyAlignment="1">
      <alignment vertical="top"/>
    </xf>
    <xf numFmtId="0" fontId="359" fillId="0" borderId="359" xfId="0" applyFont="1" applyBorder="1" applyAlignment="1">
      <alignment vertical="top"/>
    </xf>
    <xf numFmtId="0" fontId="360" fillId="0" borderId="360" xfId="0" applyFont="1" applyBorder="1" applyAlignment="1">
      <alignment vertical="top"/>
    </xf>
    <xf numFmtId="49" fontId="361" fillId="0" borderId="361" xfId="0" applyNumberFormat="1" applyFont="1" applyBorder="1" applyAlignment="1">
      <alignment vertical="top"/>
    </xf>
    <xf numFmtId="0" fontId="362" fillId="0" borderId="362" xfId="0" applyFont="1" applyBorder="1" applyAlignment="1">
      <alignment vertical="top"/>
    </xf>
    <xf numFmtId="0" fontId="363" fillId="0" borderId="363" xfId="0" applyFont="1" applyBorder="1" applyAlignment="1">
      <alignment vertical="top"/>
    </xf>
    <xf numFmtId="49" fontId="364" fillId="0" borderId="364" xfId="0" applyNumberFormat="1" applyFont="1" applyBorder="1" applyAlignment="1">
      <alignment vertical="top"/>
    </xf>
    <xf numFmtId="0" fontId="365" fillId="0" borderId="365" xfId="0" applyFont="1" applyBorder="1" applyAlignment="1">
      <alignment vertical="top"/>
    </xf>
    <xf numFmtId="0" fontId="366" fillId="0" borderId="366" xfId="0" applyFont="1" applyBorder="1" applyAlignment="1">
      <alignment vertical="top"/>
    </xf>
    <xf numFmtId="49" fontId="367" fillId="0" borderId="367" xfId="0" applyNumberFormat="1" applyFont="1" applyBorder="1" applyAlignment="1">
      <alignment vertical="top"/>
    </xf>
    <xf numFmtId="0" fontId="368" fillId="0" borderId="368" xfId="0" applyFont="1" applyBorder="1" applyAlignment="1">
      <alignment vertical="top"/>
    </xf>
    <xf numFmtId="0" fontId="369" fillId="0" borderId="369" xfId="0" applyFont="1" applyBorder="1" applyAlignment="1">
      <alignment vertical="top"/>
    </xf>
    <xf numFmtId="49" fontId="370" fillId="0" borderId="370" xfId="0" applyNumberFormat="1" applyFont="1" applyBorder="1" applyAlignment="1">
      <alignment vertical="top"/>
    </xf>
    <xf numFmtId="0" fontId="371" fillId="0" borderId="371" xfId="0" applyFont="1" applyBorder="1" applyAlignment="1">
      <alignment vertical="top"/>
    </xf>
    <xf numFmtId="0" fontId="372" fillId="0" borderId="372" xfId="0" applyFont="1" applyBorder="1" applyAlignment="1">
      <alignment vertical="top"/>
    </xf>
    <xf numFmtId="49" fontId="373" fillId="0" borderId="373" xfId="0" applyNumberFormat="1" applyFont="1" applyBorder="1" applyAlignment="1">
      <alignment vertical="top"/>
    </xf>
    <xf numFmtId="0" fontId="374" fillId="0" borderId="374" xfId="0" applyFont="1" applyBorder="1" applyAlignment="1">
      <alignment vertical="top"/>
    </xf>
    <xf numFmtId="0" fontId="375" fillId="0" borderId="375" xfId="0" applyFont="1" applyBorder="1" applyAlignment="1">
      <alignment vertical="top"/>
    </xf>
    <xf numFmtId="49" fontId="376" fillId="0" borderId="376" xfId="0" applyNumberFormat="1" applyFont="1" applyBorder="1" applyAlignment="1">
      <alignment vertical="top"/>
    </xf>
    <xf numFmtId="0" fontId="377" fillId="0" borderId="377" xfId="0" applyFont="1" applyBorder="1" applyAlignment="1">
      <alignment vertical="top"/>
    </xf>
    <xf numFmtId="0" fontId="378" fillId="0" borderId="378" xfId="0" applyFont="1" applyBorder="1" applyAlignment="1">
      <alignment vertical="top"/>
    </xf>
    <xf numFmtId="49" fontId="379" fillId="0" borderId="379" xfId="0" applyNumberFormat="1" applyFont="1" applyBorder="1" applyAlignment="1">
      <alignment vertical="top"/>
    </xf>
    <xf numFmtId="0" fontId="380" fillId="0" borderId="380" xfId="0" applyFont="1" applyBorder="1" applyAlignment="1">
      <alignment vertical="top"/>
    </xf>
    <xf numFmtId="0" fontId="381" fillId="0" borderId="381" xfId="0" applyFont="1" applyBorder="1" applyAlignment="1">
      <alignment vertical="top"/>
    </xf>
    <xf numFmtId="49" fontId="382" fillId="0" borderId="382" xfId="0" applyNumberFormat="1" applyFont="1" applyBorder="1" applyAlignment="1">
      <alignment vertical="top"/>
    </xf>
    <xf numFmtId="0" fontId="383" fillId="0" borderId="383" xfId="0" applyFont="1" applyBorder="1" applyAlignment="1">
      <alignment vertical="top"/>
    </xf>
    <xf numFmtId="0" fontId="384" fillId="0" borderId="384" xfId="0" applyFont="1" applyBorder="1" applyAlignment="1">
      <alignment vertical="top"/>
    </xf>
    <xf numFmtId="49" fontId="385" fillId="0" borderId="385" xfId="0" applyNumberFormat="1" applyFont="1" applyBorder="1" applyAlignment="1">
      <alignment vertical="top"/>
    </xf>
    <xf numFmtId="0" fontId="386" fillId="0" borderId="386" xfId="0" applyFont="1" applyBorder="1" applyAlignment="1">
      <alignment vertical="top"/>
    </xf>
    <xf numFmtId="0" fontId="387" fillId="0" borderId="387" xfId="0" applyFont="1" applyBorder="1" applyAlignment="1">
      <alignment vertical="top"/>
    </xf>
    <xf numFmtId="49" fontId="388" fillId="0" borderId="388" xfId="0" applyNumberFormat="1" applyFont="1" applyBorder="1" applyAlignment="1">
      <alignment vertical="top"/>
    </xf>
    <xf numFmtId="0" fontId="389" fillId="0" borderId="389" xfId="0" applyFont="1" applyBorder="1" applyAlignment="1">
      <alignment vertical="top"/>
    </xf>
    <xf numFmtId="0" fontId="390" fillId="0" borderId="390" xfId="0" applyFont="1" applyBorder="1" applyAlignment="1">
      <alignment vertical="top"/>
    </xf>
    <xf numFmtId="49" fontId="391" fillId="0" borderId="391" xfId="0" applyNumberFormat="1" applyFont="1" applyBorder="1" applyAlignment="1">
      <alignment vertical="top"/>
    </xf>
    <xf numFmtId="0" fontId="392" fillId="0" borderId="392" xfId="0" applyFont="1" applyBorder="1" applyAlignment="1">
      <alignment vertical="top"/>
    </xf>
    <xf numFmtId="0" fontId="393" fillId="0" borderId="393" xfId="0" applyFont="1" applyBorder="1" applyAlignment="1">
      <alignment vertical="top"/>
    </xf>
    <xf numFmtId="49" fontId="394" fillId="0" borderId="394" xfId="0" applyNumberFormat="1" applyFont="1" applyBorder="1" applyAlignment="1">
      <alignment vertical="top"/>
    </xf>
    <xf numFmtId="0" fontId="395" fillId="0" borderId="395" xfId="0" applyFont="1" applyBorder="1" applyAlignment="1">
      <alignment vertical="top"/>
    </xf>
    <xf numFmtId="0" fontId="396" fillId="0" borderId="396" xfId="0" applyFont="1" applyBorder="1" applyAlignment="1">
      <alignment vertical="top"/>
    </xf>
    <xf numFmtId="49" fontId="397" fillId="0" borderId="397" xfId="0" applyNumberFormat="1" applyFont="1" applyBorder="1" applyAlignment="1">
      <alignment vertical="top"/>
    </xf>
    <xf numFmtId="0" fontId="398" fillId="0" borderId="398" xfId="0" applyFont="1" applyBorder="1" applyAlignment="1">
      <alignment vertical="top"/>
    </xf>
    <xf numFmtId="0" fontId="399" fillId="0" borderId="399" xfId="0" applyFont="1" applyBorder="1" applyAlignment="1">
      <alignment vertical="top"/>
    </xf>
    <xf numFmtId="49" fontId="400" fillId="0" borderId="400" xfId="0" applyNumberFormat="1" applyFont="1" applyBorder="1" applyAlignment="1">
      <alignment vertical="top"/>
    </xf>
    <xf numFmtId="0" fontId="401" fillId="0" borderId="401" xfId="0" applyFont="1" applyBorder="1" applyAlignment="1">
      <alignment vertical="top"/>
    </xf>
    <xf numFmtId="0" fontId="402" fillId="0" borderId="402" xfId="0" applyFont="1" applyBorder="1" applyAlignment="1">
      <alignment vertical="top"/>
    </xf>
    <xf numFmtId="49" fontId="403" fillId="0" borderId="403" xfId="0" applyNumberFormat="1" applyFont="1" applyBorder="1" applyAlignment="1">
      <alignment vertical="top"/>
    </xf>
    <xf numFmtId="0" fontId="404" fillId="0" borderId="404" xfId="0" applyFont="1" applyBorder="1" applyAlignment="1">
      <alignment vertical="top"/>
    </xf>
    <xf numFmtId="0" fontId="405" fillId="0" borderId="405" xfId="0" applyFont="1" applyBorder="1" applyAlignment="1">
      <alignment vertical="top"/>
    </xf>
    <xf numFmtId="49" fontId="406" fillId="0" borderId="406" xfId="0" applyNumberFormat="1" applyFont="1" applyBorder="1" applyAlignment="1">
      <alignment vertical="top"/>
    </xf>
    <xf numFmtId="0" fontId="407" fillId="0" borderId="407" xfId="0" applyFont="1" applyBorder="1" applyAlignment="1">
      <alignment vertical="top"/>
    </xf>
    <xf numFmtId="0" fontId="408" fillId="0" borderId="408" xfId="0" applyFont="1" applyBorder="1" applyAlignment="1">
      <alignment vertical="top"/>
    </xf>
    <xf numFmtId="49" fontId="409" fillId="0" borderId="409" xfId="0" applyNumberFormat="1" applyFont="1" applyBorder="1" applyAlignment="1">
      <alignment vertical="top"/>
    </xf>
    <xf numFmtId="0" fontId="410" fillId="0" borderId="410" xfId="0" applyFont="1" applyBorder="1" applyAlignment="1">
      <alignment vertical="top"/>
    </xf>
    <xf numFmtId="0" fontId="411" fillId="0" borderId="411" xfId="0" applyFont="1" applyBorder="1" applyAlignment="1">
      <alignment vertical="top"/>
    </xf>
    <xf numFmtId="49" fontId="412" fillId="0" borderId="412" xfId="0" applyNumberFormat="1" applyFont="1" applyBorder="1" applyAlignment="1">
      <alignment vertical="top"/>
    </xf>
    <xf numFmtId="0" fontId="413" fillId="0" borderId="413" xfId="0" applyFont="1" applyBorder="1" applyAlignment="1">
      <alignment vertical="top"/>
    </xf>
    <xf numFmtId="0" fontId="414" fillId="0" borderId="414" xfId="0" applyFont="1" applyBorder="1" applyAlignment="1">
      <alignment vertical="top"/>
    </xf>
    <xf numFmtId="49" fontId="415" fillId="0" borderId="415" xfId="0" applyNumberFormat="1" applyFont="1" applyBorder="1" applyAlignment="1">
      <alignment vertical="top"/>
    </xf>
    <xf numFmtId="0" fontId="416" fillId="0" borderId="416" xfId="0" applyFont="1" applyBorder="1" applyAlignment="1">
      <alignment vertical="top"/>
    </xf>
    <xf numFmtId="0" fontId="417" fillId="0" borderId="417" xfId="0" applyFont="1" applyBorder="1" applyAlignment="1">
      <alignment vertical="top"/>
    </xf>
    <xf numFmtId="49" fontId="418" fillId="0" borderId="418" xfId="0" applyNumberFormat="1" applyFont="1" applyBorder="1" applyAlignment="1">
      <alignment vertical="top"/>
    </xf>
    <xf numFmtId="0" fontId="419" fillId="0" borderId="419" xfId="0" applyFont="1" applyBorder="1" applyAlignment="1">
      <alignment vertical="top"/>
    </xf>
    <xf numFmtId="0" fontId="420" fillId="0" borderId="420" xfId="0" applyFont="1" applyBorder="1" applyAlignment="1">
      <alignment vertical="top"/>
    </xf>
    <xf numFmtId="49" fontId="421" fillId="0" borderId="421" xfId="0" applyNumberFormat="1" applyFont="1" applyBorder="1" applyAlignment="1">
      <alignment vertical="top"/>
    </xf>
    <xf numFmtId="0" fontId="422" fillId="0" borderId="422" xfId="0" applyFont="1" applyBorder="1" applyAlignment="1">
      <alignment vertical="top"/>
    </xf>
    <xf numFmtId="0" fontId="423" fillId="0" borderId="423" xfId="0" applyFont="1" applyBorder="1" applyAlignment="1">
      <alignment vertical="top"/>
    </xf>
    <xf numFmtId="49" fontId="424" fillId="0" borderId="424" xfId="0" applyNumberFormat="1" applyFont="1" applyBorder="1" applyAlignment="1">
      <alignment vertical="top"/>
    </xf>
    <xf numFmtId="0" fontId="425" fillId="0" borderId="425" xfId="0" applyFont="1" applyBorder="1" applyAlignment="1">
      <alignment vertical="top"/>
    </xf>
    <xf numFmtId="0" fontId="426" fillId="0" borderId="426" xfId="0" applyFont="1" applyBorder="1" applyAlignment="1">
      <alignment vertical="top"/>
    </xf>
    <xf numFmtId="49" fontId="427" fillId="0" borderId="427" xfId="0" applyNumberFormat="1" applyFont="1" applyBorder="1" applyAlignment="1">
      <alignment vertical="top"/>
    </xf>
    <xf numFmtId="0" fontId="428" fillId="0" borderId="428" xfId="0" applyFont="1" applyBorder="1" applyAlignment="1">
      <alignment vertical="top"/>
    </xf>
    <xf numFmtId="0" fontId="429" fillId="0" borderId="429" xfId="0" applyFont="1" applyBorder="1" applyAlignment="1">
      <alignment vertical="top"/>
    </xf>
    <xf numFmtId="49" fontId="430" fillId="0" borderId="430" xfId="0" applyNumberFormat="1" applyFont="1" applyBorder="1" applyAlignment="1">
      <alignment vertical="top"/>
    </xf>
    <xf numFmtId="0" fontId="431" fillId="0" borderId="431" xfId="0" applyFont="1" applyBorder="1" applyAlignment="1">
      <alignment vertical="top"/>
    </xf>
    <xf numFmtId="0" fontId="432" fillId="0" borderId="432" xfId="0" applyFont="1" applyBorder="1" applyAlignment="1">
      <alignment vertical="top"/>
    </xf>
    <xf numFmtId="49" fontId="433" fillId="0" borderId="433" xfId="0" applyNumberFormat="1" applyFont="1" applyBorder="1" applyAlignment="1">
      <alignment vertical="top"/>
    </xf>
    <xf numFmtId="0" fontId="434" fillId="0" borderId="434" xfId="0" applyFont="1" applyBorder="1" applyAlignment="1">
      <alignment vertical="top"/>
    </xf>
    <xf numFmtId="0" fontId="435" fillId="0" borderId="435" xfId="0" applyFont="1" applyBorder="1" applyAlignment="1">
      <alignment vertical="top"/>
    </xf>
    <xf numFmtId="49" fontId="436" fillId="0" borderId="436" xfId="0" applyNumberFormat="1" applyFont="1" applyBorder="1" applyAlignment="1">
      <alignment vertical="top"/>
    </xf>
    <xf numFmtId="0" fontId="437" fillId="0" borderId="437" xfId="0" applyFont="1" applyBorder="1" applyAlignment="1">
      <alignment vertical="top"/>
    </xf>
    <xf numFmtId="0" fontId="438" fillId="0" borderId="438" xfId="0" applyFont="1" applyBorder="1" applyAlignment="1">
      <alignment vertical="top"/>
    </xf>
    <xf numFmtId="49" fontId="439" fillId="0" borderId="439" xfId="0" applyNumberFormat="1" applyFont="1" applyBorder="1" applyAlignment="1">
      <alignment vertical="top"/>
    </xf>
    <xf numFmtId="0" fontId="440" fillId="0" borderId="440" xfId="0" applyFont="1" applyBorder="1" applyAlignment="1">
      <alignment vertical="top"/>
    </xf>
    <xf numFmtId="0" fontId="441" fillId="0" borderId="441" xfId="0" applyFont="1" applyBorder="1" applyAlignment="1">
      <alignment vertical="top"/>
    </xf>
    <xf numFmtId="49" fontId="442" fillId="0" borderId="442" xfId="0" applyNumberFormat="1" applyFont="1" applyBorder="1" applyAlignment="1">
      <alignment vertical="top"/>
    </xf>
    <xf numFmtId="0" fontId="443" fillId="0" borderId="443" xfId="0" applyFont="1" applyBorder="1" applyAlignment="1">
      <alignment vertical="top"/>
    </xf>
    <xf numFmtId="0" fontId="444" fillId="0" borderId="444" xfId="0" applyFont="1" applyBorder="1" applyAlignment="1">
      <alignment vertical="top"/>
    </xf>
    <xf numFmtId="49" fontId="445" fillId="0" borderId="445" xfId="0" applyNumberFormat="1" applyFont="1" applyBorder="1" applyAlignment="1">
      <alignment vertical="top"/>
    </xf>
    <xf numFmtId="0" fontId="446" fillId="0" borderId="446" xfId="0" applyFont="1" applyBorder="1" applyAlignment="1">
      <alignment vertical="top"/>
    </xf>
    <xf numFmtId="0" fontId="447" fillId="0" borderId="447" xfId="0" applyFont="1" applyBorder="1" applyAlignment="1">
      <alignment vertical="top"/>
    </xf>
    <xf numFmtId="49" fontId="448" fillId="0" borderId="448" xfId="0" applyNumberFormat="1" applyFont="1" applyBorder="1" applyAlignment="1">
      <alignment vertical="top"/>
    </xf>
    <xf numFmtId="0" fontId="449" fillId="0" borderId="449" xfId="0" applyFont="1" applyBorder="1" applyAlignment="1">
      <alignment vertical="top"/>
    </xf>
    <xf numFmtId="0" fontId="450" fillId="0" borderId="450" xfId="0" applyFont="1" applyBorder="1" applyAlignment="1">
      <alignment vertical="top"/>
    </xf>
    <xf numFmtId="49" fontId="451" fillId="0" borderId="451" xfId="0" applyNumberFormat="1" applyFont="1" applyBorder="1" applyAlignment="1">
      <alignment vertical="top"/>
    </xf>
    <xf numFmtId="0" fontId="452" fillId="0" borderId="452" xfId="0" applyFont="1" applyBorder="1" applyAlignment="1">
      <alignment vertical="top"/>
    </xf>
    <xf numFmtId="0" fontId="453" fillId="0" borderId="453" xfId="0" applyFont="1" applyBorder="1" applyAlignment="1">
      <alignment vertical="top"/>
    </xf>
    <xf numFmtId="49" fontId="454" fillId="0" borderId="454" xfId="0" applyNumberFormat="1" applyFont="1" applyBorder="1" applyAlignment="1">
      <alignment vertical="top"/>
    </xf>
    <xf numFmtId="0" fontId="455" fillId="0" borderId="455" xfId="0" applyFont="1" applyBorder="1" applyAlignment="1">
      <alignment vertical="top"/>
    </xf>
    <xf numFmtId="0" fontId="456" fillId="0" borderId="456" xfId="0" applyFont="1" applyBorder="1" applyAlignment="1">
      <alignment vertical="top"/>
    </xf>
    <xf numFmtId="49" fontId="457" fillId="0" borderId="457" xfId="0" applyNumberFormat="1" applyFont="1" applyBorder="1" applyAlignment="1">
      <alignment vertical="top"/>
    </xf>
    <xf numFmtId="0" fontId="458" fillId="0" borderId="458" xfId="0" applyFont="1" applyBorder="1" applyAlignment="1">
      <alignment vertical="top"/>
    </xf>
    <xf numFmtId="0" fontId="459" fillId="0" borderId="459" xfId="0" applyFont="1" applyBorder="1" applyAlignment="1">
      <alignment vertical="top"/>
    </xf>
    <xf numFmtId="49" fontId="460" fillId="0" borderId="460" xfId="0" applyNumberFormat="1" applyFont="1" applyBorder="1" applyAlignment="1">
      <alignment vertical="top"/>
    </xf>
    <xf numFmtId="0" fontId="461" fillId="0" borderId="461" xfId="0" applyFont="1" applyBorder="1" applyAlignment="1">
      <alignment vertical="top"/>
    </xf>
    <xf numFmtId="0" fontId="462" fillId="0" borderId="462" xfId="0" applyFont="1" applyBorder="1" applyAlignment="1">
      <alignment vertical="top"/>
    </xf>
    <xf numFmtId="49" fontId="463" fillId="0" borderId="463" xfId="0" applyNumberFormat="1" applyFont="1" applyBorder="1" applyAlignment="1">
      <alignment vertical="top"/>
    </xf>
    <xf numFmtId="0" fontId="464" fillId="0" borderId="464" xfId="0" applyFont="1" applyBorder="1" applyAlignment="1">
      <alignment vertical="top"/>
    </xf>
    <xf numFmtId="0" fontId="465" fillId="0" borderId="465" xfId="0" applyFont="1" applyBorder="1" applyAlignment="1">
      <alignment vertical="top"/>
    </xf>
    <xf numFmtId="49" fontId="466" fillId="0" borderId="466" xfId="0" applyNumberFormat="1" applyFont="1" applyBorder="1" applyAlignment="1">
      <alignment vertical="top"/>
    </xf>
    <xf numFmtId="0" fontId="467" fillId="0" borderId="467" xfId="0" applyFont="1" applyBorder="1" applyAlignment="1">
      <alignment vertical="top"/>
    </xf>
    <xf numFmtId="0" fontId="468" fillId="0" borderId="468" xfId="0" applyFont="1" applyBorder="1" applyAlignment="1">
      <alignment vertical="top"/>
    </xf>
    <xf numFmtId="49" fontId="469" fillId="0" borderId="469" xfId="0" applyNumberFormat="1" applyFont="1" applyBorder="1" applyAlignment="1">
      <alignment vertical="top"/>
    </xf>
    <xf numFmtId="0" fontId="470" fillId="0" borderId="470" xfId="0" applyFont="1" applyBorder="1" applyAlignment="1">
      <alignment vertical="top"/>
    </xf>
    <xf numFmtId="0" fontId="471" fillId="0" borderId="471" xfId="0" applyFont="1" applyBorder="1" applyAlignment="1">
      <alignment vertical="top"/>
    </xf>
    <xf numFmtId="49" fontId="472" fillId="0" borderId="472" xfId="0" applyNumberFormat="1" applyFont="1" applyBorder="1" applyAlignment="1">
      <alignment vertical="top"/>
    </xf>
    <xf numFmtId="0" fontId="473" fillId="0" borderId="473" xfId="0" applyFont="1" applyBorder="1" applyAlignment="1">
      <alignment vertical="top"/>
    </xf>
    <xf numFmtId="0" fontId="474" fillId="0" borderId="474" xfId="0" applyFont="1" applyBorder="1" applyAlignment="1">
      <alignment vertical="top"/>
    </xf>
    <xf numFmtId="49" fontId="475" fillId="0" borderId="475" xfId="0" applyNumberFormat="1" applyFont="1" applyBorder="1" applyAlignment="1">
      <alignment vertical="top"/>
    </xf>
    <xf numFmtId="0" fontId="476" fillId="0" borderId="476" xfId="0" applyFont="1" applyBorder="1" applyAlignment="1">
      <alignment vertical="top"/>
    </xf>
    <xf numFmtId="0" fontId="477" fillId="0" borderId="477" xfId="0" applyFont="1" applyBorder="1" applyAlignment="1">
      <alignment vertical="top"/>
    </xf>
    <xf numFmtId="49" fontId="478" fillId="0" borderId="478" xfId="0" applyNumberFormat="1" applyFont="1" applyBorder="1" applyAlignment="1">
      <alignment vertical="top"/>
    </xf>
    <xf numFmtId="0" fontId="479" fillId="0" borderId="479" xfId="0" applyFont="1" applyBorder="1" applyAlignment="1">
      <alignment vertical="top"/>
    </xf>
    <xf numFmtId="0" fontId="480" fillId="0" borderId="480" xfId="0" applyFont="1" applyBorder="1" applyAlignment="1">
      <alignment vertical="top"/>
    </xf>
    <xf numFmtId="49" fontId="481" fillId="0" borderId="481" xfId="0" applyNumberFormat="1" applyFont="1" applyBorder="1" applyAlignment="1">
      <alignment vertical="top"/>
    </xf>
    <xf numFmtId="0" fontId="482" fillId="0" borderId="482" xfId="0" applyFont="1" applyBorder="1" applyAlignment="1">
      <alignment vertical="top"/>
    </xf>
    <xf numFmtId="0" fontId="483" fillId="0" borderId="483" xfId="0" applyFont="1" applyBorder="1" applyAlignment="1">
      <alignment vertical="top"/>
    </xf>
    <xf numFmtId="49" fontId="484" fillId="0" borderId="484" xfId="0" applyNumberFormat="1" applyFont="1" applyBorder="1" applyAlignment="1">
      <alignment vertical="top"/>
    </xf>
    <xf numFmtId="0" fontId="485" fillId="0" borderId="485" xfId="0" applyFont="1" applyBorder="1" applyAlignment="1">
      <alignment vertical="top"/>
    </xf>
    <xf numFmtId="0" fontId="486" fillId="0" borderId="486" xfId="0" applyFont="1" applyBorder="1" applyAlignment="1">
      <alignment vertical="top"/>
    </xf>
    <xf numFmtId="49" fontId="487" fillId="0" borderId="487" xfId="0" applyNumberFormat="1" applyFont="1" applyBorder="1" applyAlignment="1">
      <alignment vertical="top"/>
    </xf>
    <xf numFmtId="0" fontId="488" fillId="0" borderId="488" xfId="0" applyFont="1" applyBorder="1" applyAlignment="1">
      <alignment vertical="top"/>
    </xf>
    <xf numFmtId="0" fontId="489" fillId="0" borderId="489" xfId="0" applyFont="1" applyBorder="1" applyAlignment="1">
      <alignment vertical="top"/>
    </xf>
    <xf numFmtId="49" fontId="490" fillId="0" borderId="490" xfId="0" applyNumberFormat="1" applyFont="1" applyBorder="1" applyAlignment="1">
      <alignment vertical="top"/>
    </xf>
    <xf numFmtId="0" fontId="491" fillId="0" borderId="491" xfId="0" applyFont="1" applyBorder="1" applyAlignment="1">
      <alignment vertical="top"/>
    </xf>
    <xf numFmtId="0" fontId="492" fillId="0" borderId="492" xfId="0" applyFont="1" applyBorder="1" applyAlignment="1">
      <alignment vertical="top"/>
    </xf>
    <xf numFmtId="49" fontId="493" fillId="0" borderId="493" xfId="0" applyNumberFormat="1" applyFont="1" applyBorder="1" applyAlignment="1">
      <alignment vertical="top"/>
    </xf>
    <xf numFmtId="0" fontId="494" fillId="0" borderId="494" xfId="0" applyFont="1" applyBorder="1" applyAlignment="1">
      <alignment vertical="top"/>
    </xf>
    <xf numFmtId="0" fontId="495" fillId="0" borderId="495" xfId="0" applyFont="1" applyBorder="1" applyAlignment="1">
      <alignment vertical="top"/>
    </xf>
    <xf numFmtId="49" fontId="496" fillId="0" borderId="496" xfId="0" applyNumberFormat="1" applyFont="1" applyBorder="1" applyAlignment="1">
      <alignment vertical="top"/>
    </xf>
    <xf numFmtId="0" fontId="497" fillId="0" borderId="497" xfId="0" applyFont="1" applyBorder="1" applyAlignment="1">
      <alignment vertical="top"/>
    </xf>
    <xf numFmtId="0" fontId="498" fillId="0" borderId="498" xfId="0" applyFont="1" applyBorder="1" applyAlignment="1">
      <alignment vertical="top"/>
    </xf>
    <xf numFmtId="49" fontId="499" fillId="0" borderId="499" xfId="0" applyNumberFormat="1" applyFont="1" applyBorder="1" applyAlignment="1">
      <alignment vertical="top"/>
    </xf>
    <xf numFmtId="0" fontId="500" fillId="0" borderId="500" xfId="0" applyFont="1" applyBorder="1" applyAlignment="1">
      <alignment vertical="top"/>
    </xf>
    <xf numFmtId="0" fontId="501" fillId="0" borderId="501" xfId="0" applyFont="1" applyBorder="1" applyAlignment="1">
      <alignment vertical="top"/>
    </xf>
    <xf numFmtId="49" fontId="502" fillId="0" borderId="502" xfId="0" applyNumberFormat="1" applyFont="1" applyBorder="1" applyAlignment="1">
      <alignment vertical="top"/>
    </xf>
    <xf numFmtId="0" fontId="503" fillId="0" borderId="503" xfId="0" applyFont="1" applyBorder="1" applyAlignment="1">
      <alignment vertical="top"/>
    </xf>
    <xf numFmtId="0" fontId="504" fillId="0" borderId="504" xfId="0" applyFont="1" applyBorder="1" applyAlignment="1">
      <alignment vertical="top"/>
    </xf>
    <xf numFmtId="49" fontId="505" fillId="0" borderId="505" xfId="0" applyNumberFormat="1" applyFont="1" applyBorder="1" applyAlignment="1">
      <alignment vertical="top"/>
    </xf>
    <xf numFmtId="0" fontId="506" fillId="0" borderId="506" xfId="0" applyFont="1" applyBorder="1" applyAlignment="1">
      <alignment vertical="top"/>
    </xf>
    <xf numFmtId="0" fontId="507" fillId="0" borderId="507" xfId="0" applyFont="1" applyBorder="1" applyAlignment="1">
      <alignment vertical="top"/>
    </xf>
    <xf numFmtId="49" fontId="508" fillId="0" borderId="508" xfId="0" applyNumberFormat="1" applyFont="1" applyBorder="1" applyAlignment="1">
      <alignment vertical="top"/>
    </xf>
    <xf numFmtId="0" fontId="509" fillId="0" borderId="509" xfId="0" applyFont="1" applyBorder="1" applyAlignment="1">
      <alignment vertical="top"/>
    </xf>
    <xf numFmtId="0" fontId="510" fillId="0" borderId="510" xfId="0" applyFont="1" applyBorder="1" applyAlignment="1">
      <alignment vertical="top"/>
    </xf>
    <xf numFmtId="49" fontId="511" fillId="0" borderId="511" xfId="0" applyNumberFormat="1" applyFont="1" applyBorder="1" applyAlignment="1">
      <alignment vertical="top"/>
    </xf>
    <xf numFmtId="0" fontId="512" fillId="0" borderId="512" xfId="0" applyFont="1" applyBorder="1" applyAlignment="1">
      <alignment vertical="top"/>
    </xf>
    <xf numFmtId="0" fontId="513" fillId="0" borderId="513" xfId="0" applyFont="1" applyBorder="1" applyAlignment="1">
      <alignment vertical="top"/>
    </xf>
    <xf numFmtId="49" fontId="514" fillId="0" borderId="514" xfId="0" applyNumberFormat="1" applyFont="1" applyBorder="1" applyAlignment="1">
      <alignment vertical="top"/>
    </xf>
    <xf numFmtId="0" fontId="515" fillId="0" borderId="515" xfId="0" applyFont="1" applyBorder="1" applyAlignment="1">
      <alignment vertical="top"/>
    </xf>
    <xf numFmtId="0" fontId="516" fillId="0" borderId="516" xfId="0" applyFont="1" applyBorder="1" applyAlignment="1">
      <alignment vertical="top"/>
    </xf>
    <xf numFmtId="49" fontId="517" fillId="0" borderId="517" xfId="0" applyNumberFormat="1" applyFont="1" applyBorder="1" applyAlignment="1">
      <alignment vertical="top"/>
    </xf>
    <xf numFmtId="0" fontId="518" fillId="0" borderId="518" xfId="0" applyFont="1" applyBorder="1" applyAlignment="1">
      <alignment vertical="top"/>
    </xf>
    <xf numFmtId="0" fontId="519" fillId="0" borderId="519" xfId="0" applyFont="1" applyBorder="1" applyAlignment="1">
      <alignment vertical="top"/>
    </xf>
    <xf numFmtId="49" fontId="520" fillId="0" borderId="520" xfId="0" applyNumberFormat="1" applyFont="1" applyBorder="1" applyAlignment="1">
      <alignment vertical="top"/>
    </xf>
    <xf numFmtId="0" fontId="521" fillId="0" borderId="521" xfId="0" applyFont="1" applyBorder="1" applyAlignment="1">
      <alignment vertical="top"/>
    </xf>
    <xf numFmtId="0" fontId="522" fillId="0" borderId="522" xfId="0" applyFont="1" applyBorder="1" applyAlignment="1">
      <alignment vertical="top"/>
    </xf>
    <xf numFmtId="49" fontId="523" fillId="0" borderId="523" xfId="0" applyNumberFormat="1" applyFont="1" applyBorder="1" applyAlignment="1">
      <alignment vertical="top"/>
    </xf>
    <xf numFmtId="0" fontId="524" fillId="0" borderId="524" xfId="0" applyFont="1" applyBorder="1" applyAlignment="1">
      <alignment vertical="top"/>
    </xf>
    <xf numFmtId="0" fontId="525" fillId="0" borderId="525" xfId="0" applyFont="1" applyBorder="1" applyAlignment="1">
      <alignment vertical="top"/>
    </xf>
    <xf numFmtId="49" fontId="526" fillId="0" borderId="526" xfId="0" applyNumberFormat="1" applyFont="1" applyBorder="1" applyAlignment="1">
      <alignment vertical="top"/>
    </xf>
    <xf numFmtId="0" fontId="527" fillId="0" borderId="527" xfId="0" applyFont="1" applyBorder="1" applyAlignment="1">
      <alignment vertical="top"/>
    </xf>
    <xf numFmtId="0" fontId="528" fillId="0" borderId="528" xfId="0" applyFont="1" applyBorder="1" applyAlignment="1">
      <alignment vertical="top"/>
    </xf>
    <xf numFmtId="49" fontId="529" fillId="0" borderId="529" xfId="0" applyNumberFormat="1" applyFont="1" applyBorder="1" applyAlignment="1">
      <alignment vertical="top"/>
    </xf>
    <xf numFmtId="0" fontId="530" fillId="0" borderId="530" xfId="0" applyFont="1" applyBorder="1" applyAlignment="1">
      <alignment vertical="top"/>
    </xf>
    <xf numFmtId="0" fontId="531" fillId="0" borderId="531" xfId="0" applyFont="1" applyBorder="1" applyAlignment="1">
      <alignment vertical="top"/>
    </xf>
    <xf numFmtId="49" fontId="532" fillId="0" borderId="532" xfId="0" applyNumberFormat="1" applyFont="1" applyBorder="1" applyAlignment="1">
      <alignment vertical="top"/>
    </xf>
    <xf numFmtId="0" fontId="533" fillId="0" borderId="533" xfId="0" applyFont="1" applyBorder="1" applyAlignment="1">
      <alignment vertical="top"/>
    </xf>
    <xf numFmtId="0" fontId="534" fillId="0" borderId="534" xfId="0" applyFont="1" applyBorder="1" applyAlignment="1">
      <alignment vertical="top"/>
    </xf>
    <xf numFmtId="49" fontId="535" fillId="0" borderId="535" xfId="0" applyNumberFormat="1" applyFont="1" applyBorder="1" applyAlignment="1">
      <alignment vertical="top"/>
    </xf>
    <xf numFmtId="0" fontId="536" fillId="0" borderId="536" xfId="0" applyFont="1" applyBorder="1" applyAlignment="1">
      <alignment vertical="top"/>
    </xf>
    <xf numFmtId="0" fontId="537" fillId="0" borderId="537" xfId="0" applyFont="1" applyBorder="1" applyAlignment="1">
      <alignment vertical="top"/>
    </xf>
    <xf numFmtId="49" fontId="538" fillId="0" borderId="538" xfId="0" applyNumberFormat="1" applyFont="1" applyBorder="1" applyAlignment="1">
      <alignment vertical="top"/>
    </xf>
    <xf numFmtId="0" fontId="539" fillId="0" borderId="539" xfId="0" applyFont="1" applyBorder="1" applyAlignment="1">
      <alignment vertical="top"/>
    </xf>
    <xf numFmtId="0" fontId="540" fillId="0" borderId="540" xfId="0" applyFont="1" applyBorder="1" applyAlignment="1">
      <alignment vertical="top"/>
    </xf>
    <xf numFmtId="49" fontId="541" fillId="0" borderId="541" xfId="0" applyNumberFormat="1" applyFont="1" applyBorder="1" applyAlignment="1">
      <alignment vertical="top"/>
    </xf>
    <xf numFmtId="0" fontId="542" fillId="0" borderId="542" xfId="0" applyFont="1" applyBorder="1" applyAlignment="1">
      <alignment vertical="top"/>
    </xf>
    <xf numFmtId="0" fontId="543" fillId="0" borderId="543" xfId="0" applyFont="1" applyBorder="1" applyAlignment="1">
      <alignment vertical="top"/>
    </xf>
    <xf numFmtId="49" fontId="544" fillId="0" borderId="544" xfId="0" applyNumberFormat="1" applyFont="1" applyBorder="1" applyAlignment="1">
      <alignment vertical="top"/>
    </xf>
    <xf numFmtId="0" fontId="545" fillId="0" borderId="545" xfId="0" applyFont="1" applyBorder="1" applyAlignment="1">
      <alignment vertical="top"/>
    </xf>
    <xf numFmtId="0" fontId="546" fillId="0" borderId="546" xfId="0" applyFont="1" applyBorder="1" applyAlignment="1">
      <alignment vertical="top"/>
    </xf>
    <xf numFmtId="49" fontId="547" fillId="0" borderId="547" xfId="0" applyNumberFormat="1" applyFont="1" applyBorder="1" applyAlignment="1">
      <alignment vertical="top"/>
    </xf>
    <xf numFmtId="0" fontId="548" fillId="0" borderId="548" xfId="0" applyFont="1" applyBorder="1" applyAlignment="1">
      <alignment vertical="top"/>
    </xf>
    <xf numFmtId="0" fontId="549" fillId="0" borderId="549" xfId="0" applyFont="1" applyBorder="1" applyAlignment="1">
      <alignment vertical="top"/>
    </xf>
    <xf numFmtId="49" fontId="550" fillId="0" borderId="550" xfId="0" applyNumberFormat="1" applyFont="1" applyBorder="1" applyAlignment="1">
      <alignment vertical="top"/>
    </xf>
    <xf numFmtId="0" fontId="551" fillId="0" borderId="551" xfId="0" applyFont="1" applyBorder="1" applyAlignment="1">
      <alignment vertical="top"/>
    </xf>
    <xf numFmtId="0" fontId="552" fillId="0" borderId="552" xfId="0" applyFont="1" applyBorder="1" applyAlignment="1">
      <alignment vertical="top"/>
    </xf>
    <xf numFmtId="49" fontId="553" fillId="0" borderId="553" xfId="0" applyNumberFormat="1" applyFont="1" applyBorder="1" applyAlignment="1">
      <alignment vertical="top"/>
    </xf>
    <xf numFmtId="0" fontId="554" fillId="0" borderId="554" xfId="0" applyFont="1" applyBorder="1" applyAlignment="1">
      <alignment vertical="top"/>
    </xf>
    <xf numFmtId="0" fontId="555" fillId="0" borderId="555" xfId="0" applyFont="1" applyBorder="1" applyAlignment="1">
      <alignment vertical="top"/>
    </xf>
    <xf numFmtId="49" fontId="556" fillId="0" borderId="556" xfId="0" applyNumberFormat="1" applyFont="1" applyBorder="1" applyAlignment="1">
      <alignment vertical="top"/>
    </xf>
    <xf numFmtId="0" fontId="557" fillId="0" borderId="557" xfId="0" applyFont="1" applyBorder="1" applyAlignment="1">
      <alignment vertical="top"/>
    </xf>
    <xf numFmtId="0" fontId="558" fillId="0" borderId="558" xfId="0" applyFont="1" applyBorder="1" applyAlignment="1">
      <alignment vertical="top"/>
    </xf>
    <xf numFmtId="49" fontId="559" fillId="0" borderId="559" xfId="0" applyNumberFormat="1" applyFont="1" applyBorder="1" applyAlignment="1">
      <alignment vertical="top"/>
    </xf>
    <xf numFmtId="0" fontId="560" fillId="0" borderId="560" xfId="0" applyFont="1" applyBorder="1" applyAlignment="1">
      <alignment vertical="top"/>
    </xf>
    <xf numFmtId="0" fontId="561" fillId="0" borderId="561" xfId="0" applyFont="1" applyBorder="1" applyAlignment="1">
      <alignment vertical="top"/>
    </xf>
    <xf numFmtId="49" fontId="562" fillId="0" borderId="562" xfId="0" applyNumberFormat="1" applyFont="1" applyBorder="1" applyAlignment="1">
      <alignment vertical="top"/>
    </xf>
    <xf numFmtId="0" fontId="563" fillId="0" borderId="563" xfId="0" applyFont="1" applyBorder="1" applyAlignment="1">
      <alignment vertical="top"/>
    </xf>
    <xf numFmtId="0" fontId="564" fillId="0" borderId="564" xfId="0" applyFont="1" applyBorder="1" applyAlignment="1">
      <alignment vertical="top"/>
    </xf>
    <xf numFmtId="49" fontId="565" fillId="0" borderId="565" xfId="0" applyNumberFormat="1" applyFont="1" applyBorder="1" applyAlignment="1">
      <alignment vertical="top"/>
    </xf>
    <xf numFmtId="0" fontId="566" fillId="0" borderId="566" xfId="0" applyFont="1" applyBorder="1" applyAlignment="1">
      <alignment vertical="top"/>
    </xf>
    <xf numFmtId="0" fontId="567" fillId="0" borderId="567" xfId="0" applyFont="1" applyBorder="1" applyAlignment="1">
      <alignment vertical="top"/>
    </xf>
    <xf numFmtId="49" fontId="568" fillId="0" borderId="568" xfId="0" applyNumberFormat="1" applyFont="1" applyBorder="1" applyAlignment="1">
      <alignment vertical="top"/>
    </xf>
    <xf numFmtId="0" fontId="569" fillId="0" borderId="569" xfId="0" applyFont="1" applyBorder="1" applyAlignment="1">
      <alignment vertical="top"/>
    </xf>
    <xf numFmtId="0" fontId="570" fillId="0" borderId="570" xfId="0" applyFont="1" applyBorder="1" applyAlignment="1">
      <alignment vertical="top"/>
    </xf>
    <xf numFmtId="49" fontId="571" fillId="0" borderId="571" xfId="0" applyNumberFormat="1" applyFont="1" applyBorder="1" applyAlignment="1">
      <alignment vertical="top"/>
    </xf>
    <xf numFmtId="0" fontId="572" fillId="0" borderId="572" xfId="0" applyFont="1" applyBorder="1" applyAlignment="1">
      <alignment vertical="top"/>
    </xf>
    <xf numFmtId="0" fontId="573" fillId="0" borderId="573" xfId="0" applyFont="1" applyBorder="1" applyAlignment="1">
      <alignment vertical="top"/>
    </xf>
    <xf numFmtId="49" fontId="574" fillId="0" borderId="574" xfId="0" applyNumberFormat="1" applyFont="1" applyBorder="1" applyAlignment="1">
      <alignment vertical="top"/>
    </xf>
    <xf numFmtId="0" fontId="575" fillId="0" borderId="575" xfId="0" applyFont="1" applyBorder="1" applyAlignment="1">
      <alignment vertical="top"/>
    </xf>
    <xf numFmtId="0" fontId="576" fillId="0" borderId="576" xfId="0" applyFont="1" applyBorder="1" applyAlignment="1">
      <alignment vertical="top"/>
    </xf>
    <xf numFmtId="49" fontId="577" fillId="0" borderId="577" xfId="0" applyNumberFormat="1" applyFont="1" applyBorder="1" applyAlignment="1">
      <alignment vertical="top"/>
    </xf>
    <xf numFmtId="0" fontId="578" fillId="0" borderId="578" xfId="0" applyFont="1" applyBorder="1" applyAlignment="1">
      <alignment vertical="top"/>
    </xf>
    <xf numFmtId="0" fontId="579" fillId="0" borderId="579" xfId="0" applyFont="1" applyBorder="1" applyAlignment="1">
      <alignment vertical="top"/>
    </xf>
    <xf numFmtId="49" fontId="580" fillId="0" borderId="580" xfId="0" applyNumberFormat="1" applyFont="1" applyBorder="1" applyAlignment="1">
      <alignment vertical="top"/>
    </xf>
    <xf numFmtId="0" fontId="581" fillId="0" borderId="581" xfId="0" applyFont="1" applyBorder="1" applyAlignment="1">
      <alignment vertical="top"/>
    </xf>
    <xf numFmtId="0" fontId="582" fillId="0" borderId="582" xfId="0" applyFont="1" applyBorder="1" applyAlignment="1">
      <alignment vertical="top"/>
    </xf>
    <xf numFmtId="49" fontId="583" fillId="0" borderId="583" xfId="0" applyNumberFormat="1" applyFont="1" applyBorder="1" applyAlignment="1">
      <alignment vertical="top"/>
    </xf>
    <xf numFmtId="0" fontId="584" fillId="0" borderId="584" xfId="0" applyFont="1" applyBorder="1" applyAlignment="1">
      <alignment vertical="top"/>
    </xf>
    <xf numFmtId="0" fontId="585" fillId="0" borderId="585" xfId="0" applyFont="1" applyBorder="1" applyAlignment="1">
      <alignment vertical="top"/>
    </xf>
    <xf numFmtId="49" fontId="586" fillId="0" borderId="586" xfId="0" applyNumberFormat="1" applyFont="1" applyBorder="1" applyAlignment="1">
      <alignment vertical="top"/>
    </xf>
    <xf numFmtId="0" fontId="587" fillId="0" borderId="587" xfId="0" applyFont="1" applyBorder="1" applyAlignment="1">
      <alignment vertical="top"/>
    </xf>
    <xf numFmtId="0" fontId="588" fillId="0" borderId="588" xfId="0" applyFont="1" applyBorder="1" applyAlignment="1">
      <alignment vertical="top"/>
    </xf>
    <xf numFmtId="49" fontId="589" fillId="0" borderId="589" xfId="0" applyNumberFormat="1" applyFont="1" applyBorder="1" applyAlignment="1">
      <alignment vertical="top"/>
    </xf>
    <xf numFmtId="0" fontId="590" fillId="0" borderId="590" xfId="0" applyFont="1" applyBorder="1" applyAlignment="1">
      <alignment vertical="top"/>
    </xf>
    <xf numFmtId="0" fontId="591" fillId="0" borderId="591" xfId="0" applyFont="1" applyBorder="1" applyAlignment="1">
      <alignment vertical="top"/>
    </xf>
    <xf numFmtId="49" fontId="592" fillId="0" borderId="592" xfId="0" applyNumberFormat="1" applyFont="1" applyBorder="1" applyAlignment="1">
      <alignment vertical="top"/>
    </xf>
    <xf numFmtId="0" fontId="593" fillId="0" borderId="593" xfId="0" applyFont="1" applyBorder="1" applyAlignment="1">
      <alignment vertical="top"/>
    </xf>
    <xf numFmtId="0" fontId="594" fillId="0" borderId="594" xfId="0" applyFont="1" applyBorder="1" applyAlignment="1">
      <alignment vertical="top"/>
    </xf>
    <xf numFmtId="49" fontId="595" fillId="0" borderId="595" xfId="0" applyNumberFormat="1" applyFont="1" applyBorder="1" applyAlignment="1">
      <alignment vertical="top"/>
    </xf>
    <xf numFmtId="0" fontId="596" fillId="0" borderId="596" xfId="0" applyFont="1" applyBorder="1" applyAlignment="1">
      <alignment vertical="top"/>
    </xf>
    <xf numFmtId="0" fontId="597" fillId="0" borderId="597" xfId="0" applyFont="1" applyBorder="1" applyAlignment="1">
      <alignment vertical="top"/>
    </xf>
    <xf numFmtId="49" fontId="598" fillId="0" borderId="598" xfId="0" applyNumberFormat="1" applyFont="1" applyBorder="1" applyAlignment="1">
      <alignment vertical="top"/>
    </xf>
    <xf numFmtId="0" fontId="599" fillId="0" borderId="599" xfId="0" applyFont="1" applyBorder="1" applyAlignment="1">
      <alignment vertical="top"/>
    </xf>
    <xf numFmtId="0" fontId="600" fillId="0" borderId="600" xfId="0" applyFont="1" applyBorder="1" applyAlignment="1">
      <alignment vertical="top"/>
    </xf>
    <xf numFmtId="49" fontId="601" fillId="0" borderId="601" xfId="0" applyNumberFormat="1" applyFont="1" applyBorder="1" applyAlignment="1">
      <alignment vertical="top"/>
    </xf>
    <xf numFmtId="0" fontId="602" fillId="0" borderId="602" xfId="0" applyFont="1" applyBorder="1" applyAlignment="1">
      <alignment vertical="top"/>
    </xf>
    <xf numFmtId="0" fontId="603" fillId="0" borderId="603" xfId="0" applyFont="1" applyBorder="1" applyAlignment="1">
      <alignment vertical="top"/>
    </xf>
    <xf numFmtId="49" fontId="604" fillId="0" borderId="604" xfId="0" applyNumberFormat="1" applyFont="1" applyBorder="1" applyAlignment="1">
      <alignment vertical="top"/>
    </xf>
    <xf numFmtId="0" fontId="605" fillId="0" borderId="605" xfId="0" applyFont="1" applyBorder="1" applyAlignment="1">
      <alignment vertical="top"/>
    </xf>
    <xf numFmtId="0" fontId="606" fillId="0" borderId="606" xfId="0" applyFont="1" applyBorder="1" applyAlignment="1">
      <alignment vertical="top"/>
    </xf>
    <xf numFmtId="49" fontId="607" fillId="0" borderId="607" xfId="0" applyNumberFormat="1" applyFont="1" applyBorder="1" applyAlignment="1">
      <alignment vertical="top"/>
    </xf>
    <xf numFmtId="0" fontId="608" fillId="0" borderId="608" xfId="0" applyFont="1" applyBorder="1" applyAlignment="1">
      <alignment vertical="top"/>
    </xf>
    <xf numFmtId="0" fontId="609" fillId="0" borderId="609" xfId="0" applyFont="1" applyBorder="1" applyAlignment="1">
      <alignment vertical="top"/>
    </xf>
    <xf numFmtId="49" fontId="610" fillId="0" borderId="610" xfId="0" applyNumberFormat="1" applyFont="1" applyBorder="1" applyAlignment="1">
      <alignment vertical="top"/>
    </xf>
    <xf numFmtId="0" fontId="611" fillId="0" borderId="611" xfId="0" applyFont="1" applyBorder="1" applyAlignment="1">
      <alignment vertical="top"/>
    </xf>
    <xf numFmtId="0" fontId="612" fillId="0" borderId="612" xfId="0" applyFont="1" applyBorder="1" applyAlignment="1">
      <alignment vertical="top"/>
    </xf>
    <xf numFmtId="49" fontId="613" fillId="0" borderId="613" xfId="0" applyNumberFormat="1" applyFont="1" applyBorder="1" applyAlignment="1">
      <alignment vertical="top"/>
    </xf>
    <xf numFmtId="0" fontId="614" fillId="0" borderId="614" xfId="0" applyFont="1" applyBorder="1" applyAlignment="1">
      <alignment vertical="top"/>
    </xf>
    <xf numFmtId="0" fontId="615" fillId="0" borderId="615" xfId="0" applyFont="1" applyBorder="1" applyAlignment="1">
      <alignment vertical="top"/>
    </xf>
    <xf numFmtId="49" fontId="616" fillId="0" borderId="616" xfId="0" applyNumberFormat="1" applyFont="1" applyBorder="1" applyAlignment="1">
      <alignment vertical="top"/>
    </xf>
    <xf numFmtId="0" fontId="617" fillId="0" borderId="617" xfId="0" applyFont="1" applyBorder="1" applyAlignment="1">
      <alignment vertical="top"/>
    </xf>
    <xf numFmtId="0" fontId="618" fillId="0" borderId="618" xfId="0" applyFont="1" applyBorder="1" applyAlignment="1">
      <alignment vertical="top"/>
    </xf>
    <xf numFmtId="49" fontId="619" fillId="0" borderId="619" xfId="0" applyNumberFormat="1" applyFont="1" applyBorder="1" applyAlignment="1">
      <alignment vertical="top"/>
    </xf>
    <xf numFmtId="0" fontId="620" fillId="0" borderId="620" xfId="0" applyFont="1" applyBorder="1" applyAlignment="1">
      <alignment vertical="top"/>
    </xf>
    <xf numFmtId="0" fontId="621" fillId="0" borderId="621" xfId="0" applyFont="1" applyBorder="1" applyAlignment="1">
      <alignment vertical="top"/>
    </xf>
    <xf numFmtId="49" fontId="622" fillId="0" borderId="622" xfId="0" applyNumberFormat="1" applyFont="1" applyBorder="1" applyAlignment="1">
      <alignment vertical="top"/>
    </xf>
    <xf numFmtId="0" fontId="623" fillId="0" borderId="623" xfId="0" applyFont="1" applyBorder="1" applyAlignment="1">
      <alignment vertical="top"/>
    </xf>
    <xf numFmtId="0" fontId="624" fillId="0" borderId="624" xfId="0" applyFont="1" applyBorder="1" applyAlignment="1">
      <alignment vertical="top"/>
    </xf>
    <xf numFmtId="49" fontId="625" fillId="0" borderId="625" xfId="0" applyNumberFormat="1" applyFont="1" applyBorder="1" applyAlignment="1">
      <alignment vertical="top"/>
    </xf>
    <xf numFmtId="0" fontId="626" fillId="0" borderId="626" xfId="0" applyFont="1" applyBorder="1" applyAlignment="1">
      <alignment vertical="top"/>
    </xf>
    <xf numFmtId="0" fontId="627" fillId="0" borderId="627" xfId="0" applyFont="1" applyBorder="1" applyAlignment="1">
      <alignment vertical="top"/>
    </xf>
    <xf numFmtId="49" fontId="628" fillId="0" borderId="628" xfId="0" applyNumberFormat="1" applyFont="1" applyBorder="1" applyAlignment="1">
      <alignment vertical="top"/>
    </xf>
    <xf numFmtId="0" fontId="629" fillId="0" borderId="629" xfId="0" applyFont="1" applyBorder="1" applyAlignment="1">
      <alignment vertical="top"/>
    </xf>
    <xf numFmtId="0" fontId="630" fillId="0" borderId="630" xfId="0" applyFont="1" applyBorder="1" applyAlignment="1">
      <alignment vertical="top"/>
    </xf>
    <xf numFmtId="49" fontId="631" fillId="0" borderId="631" xfId="0" applyNumberFormat="1" applyFont="1" applyBorder="1" applyAlignment="1">
      <alignment vertical="top"/>
    </xf>
    <xf numFmtId="0" fontId="632" fillId="0" borderId="632" xfId="0" applyFont="1" applyBorder="1" applyAlignment="1">
      <alignment vertical="top"/>
    </xf>
    <xf numFmtId="0" fontId="633" fillId="0" borderId="633" xfId="0" applyFont="1" applyBorder="1" applyAlignment="1">
      <alignment vertical="top"/>
    </xf>
    <xf numFmtId="49" fontId="634" fillId="0" borderId="634" xfId="0" applyNumberFormat="1" applyFont="1" applyBorder="1" applyAlignment="1">
      <alignment vertical="top"/>
    </xf>
    <xf numFmtId="0" fontId="635" fillId="0" borderId="635" xfId="0" applyFont="1" applyBorder="1" applyAlignment="1">
      <alignment vertical="top"/>
    </xf>
    <xf numFmtId="0" fontId="636" fillId="0" borderId="636" xfId="0" applyFont="1" applyBorder="1" applyAlignment="1">
      <alignment vertical="top"/>
    </xf>
    <xf numFmtId="49" fontId="637" fillId="0" borderId="637" xfId="0" applyNumberFormat="1" applyFont="1" applyBorder="1" applyAlignment="1">
      <alignment vertical="top"/>
    </xf>
    <xf numFmtId="0" fontId="638" fillId="0" borderId="638" xfId="0" applyFont="1" applyBorder="1" applyAlignment="1">
      <alignment vertical="top"/>
    </xf>
    <xf numFmtId="0" fontId="639" fillId="0" borderId="639" xfId="0" applyFont="1" applyBorder="1" applyAlignment="1">
      <alignment vertical="top"/>
    </xf>
    <xf numFmtId="49" fontId="640" fillId="0" borderId="640" xfId="0" applyNumberFormat="1" applyFont="1" applyBorder="1" applyAlignment="1">
      <alignment vertical="top"/>
    </xf>
    <xf numFmtId="0" fontId="641" fillId="0" borderId="641" xfId="0" applyFont="1" applyBorder="1" applyAlignment="1">
      <alignment vertical="top"/>
    </xf>
    <xf numFmtId="0" fontId="642" fillId="0" borderId="642" xfId="0" applyFont="1" applyBorder="1" applyAlignment="1">
      <alignment vertical="top"/>
    </xf>
    <xf numFmtId="49" fontId="643" fillId="0" borderId="643" xfId="0" applyNumberFormat="1" applyFont="1" applyBorder="1" applyAlignment="1">
      <alignment vertical="top"/>
    </xf>
    <xf numFmtId="0" fontId="644" fillId="0" borderId="644" xfId="0" applyFont="1" applyBorder="1" applyAlignment="1">
      <alignment vertical="top"/>
    </xf>
    <xf numFmtId="0" fontId="645" fillId="0" borderId="645" xfId="0" applyFont="1" applyBorder="1" applyAlignment="1">
      <alignment vertical="top"/>
    </xf>
    <xf numFmtId="49" fontId="646" fillId="0" borderId="646" xfId="0" applyNumberFormat="1" applyFont="1" applyBorder="1" applyAlignment="1">
      <alignment vertical="top"/>
    </xf>
    <xf numFmtId="0" fontId="647" fillId="0" borderId="647" xfId="0" applyFont="1" applyBorder="1" applyAlignment="1">
      <alignment vertical="top"/>
    </xf>
    <xf numFmtId="0" fontId="648" fillId="0" borderId="648" xfId="0" applyFont="1" applyBorder="1" applyAlignment="1">
      <alignment vertical="top"/>
    </xf>
    <xf numFmtId="49" fontId="649" fillId="0" borderId="649" xfId="0" applyNumberFormat="1" applyFont="1" applyBorder="1" applyAlignment="1">
      <alignment vertical="top"/>
    </xf>
    <xf numFmtId="0" fontId="650" fillId="0" borderId="650" xfId="0" applyFont="1" applyBorder="1" applyAlignment="1">
      <alignment vertical="top"/>
    </xf>
    <xf numFmtId="0" fontId="651" fillId="0" borderId="651" xfId="0" applyFont="1" applyBorder="1" applyAlignment="1">
      <alignment vertical="top"/>
    </xf>
    <xf numFmtId="49" fontId="652" fillId="0" borderId="652" xfId="0" applyNumberFormat="1" applyFont="1" applyBorder="1" applyAlignment="1">
      <alignment vertical="top"/>
    </xf>
    <xf numFmtId="0" fontId="653" fillId="0" borderId="653" xfId="0" applyFont="1" applyBorder="1" applyAlignment="1">
      <alignment vertical="top"/>
    </xf>
    <xf numFmtId="0" fontId="654" fillId="0" borderId="654" xfId="0" applyFont="1" applyBorder="1" applyAlignment="1">
      <alignment vertical="top"/>
    </xf>
    <xf numFmtId="49" fontId="655" fillId="0" borderId="655" xfId="0" applyNumberFormat="1" applyFont="1" applyBorder="1" applyAlignment="1">
      <alignment vertical="top"/>
    </xf>
    <xf numFmtId="0" fontId="656" fillId="0" borderId="656" xfId="0" applyFont="1" applyBorder="1" applyAlignment="1">
      <alignment vertical="top"/>
    </xf>
    <xf numFmtId="0" fontId="657" fillId="0" borderId="657" xfId="0" applyFont="1" applyBorder="1" applyAlignment="1">
      <alignment vertical="top"/>
    </xf>
    <xf numFmtId="49" fontId="658" fillId="0" borderId="658" xfId="0" applyNumberFormat="1" applyFont="1" applyBorder="1" applyAlignment="1">
      <alignment vertical="top"/>
    </xf>
    <xf numFmtId="0" fontId="659" fillId="0" borderId="659" xfId="0" applyFont="1" applyBorder="1" applyAlignment="1">
      <alignment vertical="top"/>
    </xf>
    <xf numFmtId="0" fontId="660" fillId="0" borderId="660" xfId="0" applyFont="1" applyBorder="1" applyAlignment="1">
      <alignment vertical="top"/>
    </xf>
    <xf numFmtId="49" fontId="661" fillId="0" borderId="661" xfId="0" applyNumberFormat="1" applyFont="1" applyBorder="1" applyAlignment="1">
      <alignment vertical="top"/>
    </xf>
    <xf numFmtId="0" fontId="662" fillId="0" borderId="662" xfId="0" applyFont="1" applyBorder="1" applyAlignment="1">
      <alignment vertical="top"/>
    </xf>
    <xf numFmtId="0" fontId="663" fillId="0" borderId="663" xfId="0" applyFont="1" applyBorder="1" applyAlignment="1">
      <alignment vertical="top"/>
    </xf>
    <xf numFmtId="49" fontId="664" fillId="0" borderId="664" xfId="0" applyNumberFormat="1" applyFont="1" applyBorder="1" applyAlignment="1">
      <alignment vertical="top"/>
    </xf>
    <xf numFmtId="0" fontId="665" fillId="0" borderId="665" xfId="0" applyFont="1" applyBorder="1" applyAlignment="1">
      <alignment vertical="top"/>
    </xf>
    <xf numFmtId="0" fontId="666" fillId="0" borderId="666" xfId="0" applyFont="1" applyBorder="1" applyAlignment="1">
      <alignment vertical="top"/>
    </xf>
    <xf numFmtId="49" fontId="667" fillId="0" borderId="667" xfId="0" applyNumberFormat="1" applyFont="1" applyBorder="1" applyAlignment="1">
      <alignment vertical="top"/>
    </xf>
    <xf numFmtId="0" fontId="668" fillId="0" borderId="668" xfId="0" applyFont="1" applyBorder="1" applyAlignment="1">
      <alignment vertical="top"/>
    </xf>
    <xf numFmtId="0" fontId="669" fillId="0" borderId="669" xfId="0" applyFont="1" applyBorder="1" applyAlignment="1">
      <alignment vertical="top"/>
    </xf>
    <xf numFmtId="49" fontId="670" fillId="0" borderId="670" xfId="0" applyNumberFormat="1" applyFont="1" applyBorder="1" applyAlignment="1">
      <alignment vertical="top"/>
    </xf>
    <xf numFmtId="0" fontId="671" fillId="0" borderId="671" xfId="0" applyFont="1" applyBorder="1" applyAlignment="1">
      <alignment vertical="top"/>
    </xf>
    <xf numFmtId="0" fontId="672" fillId="0" borderId="672" xfId="0" applyFont="1" applyBorder="1" applyAlignment="1">
      <alignment vertical="top"/>
    </xf>
    <xf numFmtId="49" fontId="673" fillId="0" borderId="673" xfId="0" applyNumberFormat="1" applyFont="1" applyBorder="1" applyAlignment="1">
      <alignment vertical="top"/>
    </xf>
    <xf numFmtId="0" fontId="674" fillId="0" borderId="674" xfId="0" applyFont="1" applyBorder="1" applyAlignment="1">
      <alignment vertical="top"/>
    </xf>
    <xf numFmtId="0" fontId="675" fillId="0" borderId="675" xfId="0" applyFont="1" applyBorder="1" applyAlignment="1">
      <alignment vertical="top"/>
    </xf>
    <xf numFmtId="49" fontId="676" fillId="0" borderId="676" xfId="0" applyNumberFormat="1" applyFont="1" applyBorder="1" applyAlignment="1">
      <alignment vertical="top"/>
    </xf>
    <xf numFmtId="0" fontId="677" fillId="0" borderId="677" xfId="0" applyFont="1" applyBorder="1" applyAlignment="1">
      <alignment vertical="top"/>
    </xf>
    <xf numFmtId="0" fontId="678" fillId="0" borderId="678" xfId="0" applyFont="1" applyBorder="1" applyAlignment="1">
      <alignment vertical="top"/>
    </xf>
    <xf numFmtId="49" fontId="679" fillId="0" borderId="679" xfId="0" applyNumberFormat="1" applyFont="1" applyBorder="1" applyAlignment="1">
      <alignment vertical="top"/>
    </xf>
    <xf numFmtId="0" fontId="680" fillId="0" borderId="680" xfId="0" applyFont="1" applyBorder="1" applyAlignment="1">
      <alignment vertical="top"/>
    </xf>
    <xf numFmtId="0" fontId="681" fillId="0" borderId="681" xfId="0" applyFont="1" applyBorder="1" applyAlignment="1">
      <alignment vertical="top"/>
    </xf>
    <xf numFmtId="49" fontId="682" fillId="0" borderId="682" xfId="0" applyNumberFormat="1" applyFont="1" applyBorder="1" applyAlignment="1">
      <alignment vertical="top"/>
    </xf>
    <xf numFmtId="0" fontId="683" fillId="0" borderId="683" xfId="0" applyFont="1" applyBorder="1" applyAlignment="1">
      <alignment vertical="top"/>
    </xf>
    <xf numFmtId="0" fontId="684" fillId="0" borderId="684" xfId="0" applyFont="1" applyBorder="1" applyAlignment="1">
      <alignment vertical="top"/>
    </xf>
    <xf numFmtId="49" fontId="685" fillId="0" borderId="685" xfId="0" applyNumberFormat="1" applyFont="1" applyBorder="1" applyAlignment="1">
      <alignment vertical="top"/>
    </xf>
    <xf numFmtId="0" fontId="686" fillId="0" borderId="686" xfId="0" applyFont="1" applyBorder="1" applyAlignment="1">
      <alignment vertical="top"/>
    </xf>
    <xf numFmtId="0" fontId="687" fillId="0" borderId="687" xfId="0" applyFont="1" applyBorder="1" applyAlignment="1">
      <alignment vertical="top"/>
    </xf>
    <xf numFmtId="49" fontId="688" fillId="0" borderId="688" xfId="0" applyNumberFormat="1" applyFont="1" applyBorder="1" applyAlignment="1">
      <alignment vertical="top"/>
    </xf>
    <xf numFmtId="0" fontId="689" fillId="0" borderId="689" xfId="0" applyFont="1" applyBorder="1" applyAlignment="1">
      <alignment vertical="top"/>
    </xf>
    <xf numFmtId="0" fontId="690" fillId="0" borderId="690" xfId="0" applyFont="1" applyBorder="1" applyAlignment="1">
      <alignment vertical="top"/>
    </xf>
    <xf numFmtId="49" fontId="691" fillId="0" borderId="691" xfId="0" applyNumberFormat="1" applyFont="1" applyBorder="1" applyAlignment="1">
      <alignment vertical="top"/>
    </xf>
    <xf numFmtId="0" fontId="692" fillId="0" borderId="692" xfId="0" applyFont="1" applyBorder="1" applyAlignment="1">
      <alignment vertical="top"/>
    </xf>
    <xf numFmtId="0" fontId="693" fillId="0" borderId="693" xfId="0" applyFont="1" applyBorder="1" applyAlignment="1">
      <alignment vertical="top"/>
    </xf>
    <xf numFmtId="49" fontId="694" fillId="0" borderId="694" xfId="0" applyNumberFormat="1" applyFont="1" applyBorder="1" applyAlignment="1">
      <alignment vertical="top"/>
    </xf>
    <xf numFmtId="0" fontId="695" fillId="0" borderId="695" xfId="0" applyFont="1" applyBorder="1" applyAlignment="1">
      <alignment vertical="top"/>
    </xf>
    <xf numFmtId="0" fontId="696" fillId="0" borderId="696" xfId="0" applyFont="1" applyBorder="1" applyAlignment="1">
      <alignment vertical="top"/>
    </xf>
    <xf numFmtId="49" fontId="697" fillId="0" borderId="697" xfId="0" applyNumberFormat="1" applyFont="1" applyBorder="1" applyAlignment="1">
      <alignment vertical="top"/>
    </xf>
    <xf numFmtId="0" fontId="698" fillId="0" borderId="698" xfId="0" applyFont="1" applyBorder="1" applyAlignment="1">
      <alignment vertical="top"/>
    </xf>
    <xf numFmtId="0" fontId="699" fillId="0" borderId="699" xfId="0" applyFont="1" applyBorder="1" applyAlignment="1">
      <alignment vertical="top"/>
    </xf>
    <xf numFmtId="49" fontId="700" fillId="0" borderId="700" xfId="0" applyNumberFormat="1" applyFont="1" applyBorder="1" applyAlignment="1">
      <alignment vertical="top"/>
    </xf>
    <xf numFmtId="0" fontId="701" fillId="0" borderId="701" xfId="0" applyFont="1" applyBorder="1" applyAlignment="1">
      <alignment vertical="top"/>
    </xf>
    <xf numFmtId="0" fontId="702" fillId="0" borderId="702" xfId="0" applyFont="1" applyBorder="1" applyAlignment="1">
      <alignment vertical="top"/>
    </xf>
    <xf numFmtId="49" fontId="703" fillId="0" borderId="703" xfId="0" applyNumberFormat="1" applyFont="1" applyBorder="1" applyAlignment="1">
      <alignment vertical="top"/>
    </xf>
    <xf numFmtId="0" fontId="704" fillId="0" borderId="704" xfId="0" applyFont="1" applyBorder="1" applyAlignment="1">
      <alignment vertical="top"/>
    </xf>
    <xf numFmtId="0" fontId="705" fillId="0" borderId="705" xfId="0" applyFont="1" applyBorder="1" applyAlignment="1">
      <alignment vertical="top"/>
    </xf>
    <xf numFmtId="49" fontId="706" fillId="0" borderId="706" xfId="0" applyNumberFormat="1" applyFont="1" applyBorder="1" applyAlignment="1">
      <alignment vertical="top"/>
    </xf>
    <xf numFmtId="0" fontId="707" fillId="0" borderId="707" xfId="0" applyFont="1" applyBorder="1" applyAlignment="1">
      <alignment vertical="top"/>
    </xf>
    <xf numFmtId="0" fontId="708" fillId="0" borderId="708" xfId="0" applyFont="1" applyBorder="1" applyAlignment="1">
      <alignment vertical="top"/>
    </xf>
    <xf numFmtId="49" fontId="709" fillId="0" borderId="709" xfId="0" applyNumberFormat="1" applyFont="1" applyBorder="1" applyAlignment="1">
      <alignment vertical="top"/>
    </xf>
    <xf numFmtId="0" fontId="710" fillId="0" borderId="710" xfId="0" applyFont="1" applyBorder="1" applyAlignment="1">
      <alignment vertical="top"/>
    </xf>
    <xf numFmtId="0" fontId="711" fillId="0" borderId="711" xfId="0" applyFont="1" applyBorder="1" applyAlignment="1">
      <alignment vertical="top"/>
    </xf>
    <xf numFmtId="49" fontId="712" fillId="0" borderId="712" xfId="0" applyNumberFormat="1" applyFont="1" applyBorder="1" applyAlignment="1">
      <alignment vertical="top"/>
    </xf>
    <xf numFmtId="0" fontId="713" fillId="0" borderId="713" xfId="0" applyFont="1" applyBorder="1" applyAlignment="1">
      <alignment vertical="top"/>
    </xf>
    <xf numFmtId="0" fontId="714" fillId="0" borderId="714" xfId="0" applyFont="1" applyBorder="1" applyAlignment="1">
      <alignment vertical="top"/>
    </xf>
    <xf numFmtId="49" fontId="715" fillId="0" borderId="715" xfId="0" applyNumberFormat="1" applyFont="1" applyBorder="1" applyAlignment="1">
      <alignment vertical="top"/>
    </xf>
    <xf numFmtId="0" fontId="716" fillId="0" borderId="716" xfId="0" applyFont="1" applyBorder="1" applyAlignment="1">
      <alignment vertical="top"/>
    </xf>
    <xf numFmtId="0" fontId="717" fillId="0" borderId="717" xfId="0" applyFont="1" applyBorder="1" applyAlignment="1">
      <alignment vertical="top"/>
    </xf>
    <xf numFmtId="49" fontId="718" fillId="0" borderId="718" xfId="0" applyNumberFormat="1" applyFont="1" applyBorder="1" applyAlignment="1">
      <alignment vertical="top"/>
    </xf>
    <xf numFmtId="0" fontId="719" fillId="0" borderId="719" xfId="0" applyFont="1" applyBorder="1" applyAlignment="1">
      <alignment vertical="top"/>
    </xf>
    <xf numFmtId="0" fontId="720" fillId="0" borderId="720" xfId="0" applyFont="1" applyBorder="1" applyAlignment="1">
      <alignment vertical="top"/>
    </xf>
    <xf numFmtId="49" fontId="721" fillId="0" borderId="721" xfId="0" applyNumberFormat="1" applyFont="1" applyBorder="1" applyAlignment="1">
      <alignment vertical="top"/>
    </xf>
    <xf numFmtId="0" fontId="722" fillId="0" borderId="722" xfId="0" applyFont="1" applyBorder="1" applyAlignment="1">
      <alignment vertical="top"/>
    </xf>
    <xf numFmtId="0" fontId="723" fillId="0" borderId="723" xfId="0" applyFont="1" applyBorder="1" applyAlignment="1">
      <alignment vertical="top"/>
    </xf>
    <xf numFmtId="49" fontId="724" fillId="0" borderId="724" xfId="0" applyNumberFormat="1" applyFont="1" applyBorder="1" applyAlignment="1">
      <alignment vertical="top"/>
    </xf>
    <xf numFmtId="0" fontId="725" fillId="0" borderId="725" xfId="0" applyFont="1" applyBorder="1" applyAlignment="1">
      <alignment vertical="top"/>
    </xf>
    <xf numFmtId="0" fontId="726" fillId="0" borderId="726" xfId="0" applyFont="1" applyBorder="1" applyAlignment="1">
      <alignment vertical="top"/>
    </xf>
    <xf numFmtId="49" fontId="727" fillId="0" borderId="727" xfId="0" applyNumberFormat="1" applyFont="1" applyBorder="1" applyAlignment="1">
      <alignment vertical="top"/>
    </xf>
    <xf numFmtId="0" fontId="728" fillId="0" borderId="728" xfId="0" applyFont="1" applyBorder="1" applyAlignment="1">
      <alignment vertical="top"/>
    </xf>
    <xf numFmtId="0" fontId="729" fillId="0" borderId="729" xfId="0" applyFont="1" applyBorder="1" applyAlignment="1">
      <alignment vertical="top"/>
    </xf>
    <xf numFmtId="49" fontId="730" fillId="0" borderId="730" xfId="0" applyNumberFormat="1" applyFont="1" applyBorder="1" applyAlignment="1">
      <alignment vertical="top"/>
    </xf>
    <xf numFmtId="0" fontId="731" fillId="0" borderId="731" xfId="0" applyFont="1" applyBorder="1" applyAlignment="1">
      <alignment vertical="top"/>
    </xf>
    <xf numFmtId="0" fontId="732" fillId="0" borderId="732" xfId="0" applyFont="1" applyBorder="1" applyAlignment="1">
      <alignment vertical="top"/>
    </xf>
    <xf numFmtId="49" fontId="733" fillId="0" borderId="733" xfId="0" applyNumberFormat="1" applyFont="1" applyBorder="1" applyAlignment="1">
      <alignment vertical="top"/>
    </xf>
    <xf numFmtId="0" fontId="734" fillId="0" borderId="734" xfId="0" applyFont="1" applyBorder="1" applyAlignment="1">
      <alignment vertical="top"/>
    </xf>
    <xf numFmtId="0" fontId="735" fillId="0" borderId="735" xfId="0" applyFont="1" applyBorder="1" applyAlignment="1">
      <alignment vertical="top"/>
    </xf>
    <xf numFmtId="49" fontId="736" fillId="0" borderId="736" xfId="0" applyNumberFormat="1" applyFont="1" applyBorder="1" applyAlignment="1">
      <alignment vertical="top"/>
    </xf>
    <xf numFmtId="0" fontId="737" fillId="0" borderId="737" xfId="0" applyFont="1" applyBorder="1" applyAlignment="1">
      <alignment vertical="top"/>
    </xf>
    <xf numFmtId="0" fontId="738" fillId="0" borderId="738" xfId="0" applyFont="1" applyBorder="1" applyAlignment="1">
      <alignment vertical="top"/>
    </xf>
    <xf numFmtId="49" fontId="739" fillId="0" borderId="739" xfId="0" applyNumberFormat="1" applyFont="1" applyBorder="1" applyAlignment="1">
      <alignment vertical="top"/>
    </xf>
    <xf numFmtId="0" fontId="740" fillId="0" borderId="740" xfId="0" applyFont="1" applyBorder="1" applyAlignment="1">
      <alignment vertical="top"/>
    </xf>
    <xf numFmtId="0" fontId="741" fillId="0" borderId="741" xfId="0" applyFont="1" applyBorder="1" applyAlignment="1">
      <alignment vertical="top"/>
    </xf>
    <xf numFmtId="49" fontId="742" fillId="0" borderId="742" xfId="0" applyNumberFormat="1" applyFont="1" applyBorder="1" applyAlignment="1">
      <alignment vertical="top"/>
    </xf>
    <xf numFmtId="0" fontId="743" fillId="0" borderId="743" xfId="0" applyFont="1" applyBorder="1" applyAlignment="1">
      <alignment vertical="top"/>
    </xf>
    <xf numFmtId="0" fontId="744" fillId="0" borderId="744" xfId="0" applyFont="1" applyBorder="1" applyAlignment="1">
      <alignment vertical="top"/>
    </xf>
    <xf numFmtId="49" fontId="745" fillId="0" borderId="745" xfId="0" applyNumberFormat="1" applyFont="1" applyBorder="1" applyAlignment="1">
      <alignment vertical="top"/>
    </xf>
    <xf numFmtId="0" fontId="746" fillId="0" borderId="746" xfId="0" applyFont="1" applyBorder="1" applyAlignment="1">
      <alignment vertical="top"/>
    </xf>
    <xf numFmtId="0" fontId="747" fillId="0" borderId="747" xfId="0" applyFont="1" applyBorder="1" applyAlignment="1">
      <alignment vertical="top"/>
    </xf>
    <xf numFmtId="49" fontId="748" fillId="0" borderId="748" xfId="0" applyNumberFormat="1" applyFont="1" applyBorder="1" applyAlignment="1">
      <alignment vertical="top"/>
    </xf>
    <xf numFmtId="0" fontId="749" fillId="0" borderId="749" xfId="0" applyFont="1" applyBorder="1" applyAlignment="1">
      <alignment vertical="top"/>
    </xf>
    <xf numFmtId="0" fontId="750" fillId="0" borderId="750" xfId="0" applyFont="1" applyBorder="1" applyAlignment="1">
      <alignment vertical="top"/>
    </xf>
    <xf numFmtId="49" fontId="751" fillId="0" borderId="751" xfId="0" applyNumberFormat="1" applyFont="1" applyBorder="1" applyAlignment="1">
      <alignment vertical="top"/>
    </xf>
    <xf numFmtId="0" fontId="752" fillId="0" borderId="752" xfId="0" applyFont="1" applyBorder="1" applyAlignment="1">
      <alignment vertical="top"/>
    </xf>
    <xf numFmtId="0" fontId="753" fillId="0" borderId="753" xfId="0" applyFont="1" applyBorder="1" applyAlignment="1">
      <alignment vertical="top"/>
    </xf>
    <xf numFmtId="49" fontId="754" fillId="0" borderId="754" xfId="0" applyNumberFormat="1" applyFont="1" applyBorder="1" applyAlignment="1">
      <alignment vertical="top"/>
    </xf>
    <xf numFmtId="0" fontId="755" fillId="0" borderId="755" xfId="0" applyFont="1" applyBorder="1" applyAlignment="1">
      <alignment vertical="top"/>
    </xf>
    <xf numFmtId="0" fontId="756" fillId="0" borderId="756" xfId="0" applyFont="1" applyBorder="1" applyAlignment="1">
      <alignment vertical="top"/>
    </xf>
    <xf numFmtId="49" fontId="757" fillId="0" borderId="757" xfId="0" applyNumberFormat="1" applyFont="1" applyBorder="1" applyAlignment="1">
      <alignment vertical="top"/>
    </xf>
    <xf numFmtId="0" fontId="758" fillId="0" borderId="758" xfId="0" applyFont="1" applyBorder="1" applyAlignment="1">
      <alignment vertical="top"/>
    </xf>
    <xf numFmtId="0" fontId="759" fillId="0" borderId="759" xfId="0" applyFont="1" applyBorder="1" applyAlignment="1">
      <alignment vertical="top"/>
    </xf>
    <xf numFmtId="49" fontId="760" fillId="0" borderId="760" xfId="0" applyNumberFormat="1" applyFont="1" applyBorder="1" applyAlignment="1">
      <alignment vertical="top"/>
    </xf>
    <xf numFmtId="0" fontId="761" fillId="0" borderId="761" xfId="0" applyFont="1" applyBorder="1" applyAlignment="1">
      <alignment vertical="top"/>
    </xf>
    <xf numFmtId="0" fontId="762" fillId="0" borderId="762" xfId="0" applyFont="1" applyBorder="1" applyAlignment="1">
      <alignment vertical="top"/>
    </xf>
    <xf numFmtId="49" fontId="763" fillId="0" borderId="763" xfId="0" applyNumberFormat="1" applyFont="1" applyBorder="1" applyAlignment="1">
      <alignment vertical="top"/>
    </xf>
    <xf numFmtId="0" fontId="764" fillId="0" borderId="764" xfId="0" applyFont="1" applyBorder="1" applyAlignment="1">
      <alignment vertical="top"/>
    </xf>
    <xf numFmtId="0" fontId="765" fillId="0" borderId="765" xfId="0" applyFont="1" applyBorder="1" applyAlignment="1">
      <alignment vertical="top"/>
    </xf>
    <xf numFmtId="49" fontId="766" fillId="0" borderId="766" xfId="0" applyNumberFormat="1" applyFont="1" applyBorder="1" applyAlignment="1">
      <alignment vertical="top"/>
    </xf>
    <xf numFmtId="0" fontId="767" fillId="0" borderId="767" xfId="0" applyFont="1" applyBorder="1" applyAlignment="1">
      <alignment vertical="top"/>
    </xf>
    <xf numFmtId="0" fontId="768" fillId="0" borderId="768" xfId="0" applyFont="1" applyBorder="1" applyAlignment="1">
      <alignment vertical="top"/>
    </xf>
    <xf numFmtId="49" fontId="769" fillId="0" borderId="769" xfId="0" applyNumberFormat="1" applyFont="1" applyBorder="1" applyAlignment="1">
      <alignment vertical="top"/>
    </xf>
    <xf numFmtId="0" fontId="770" fillId="0" borderId="770" xfId="0" applyFont="1" applyBorder="1" applyAlignment="1">
      <alignment vertical="top"/>
    </xf>
    <xf numFmtId="0" fontId="771" fillId="0" borderId="771" xfId="0" applyFont="1" applyBorder="1" applyAlignment="1">
      <alignment vertical="top"/>
    </xf>
    <xf numFmtId="49" fontId="772" fillId="0" borderId="772" xfId="0" applyNumberFormat="1" applyFont="1" applyBorder="1" applyAlignment="1">
      <alignment vertical="top"/>
    </xf>
    <xf numFmtId="0" fontId="773" fillId="0" borderId="773" xfId="0" applyFont="1" applyBorder="1" applyAlignment="1">
      <alignment vertical="top"/>
    </xf>
    <xf numFmtId="0" fontId="774" fillId="0" borderId="774" xfId="0" applyFont="1" applyBorder="1" applyAlignment="1">
      <alignment vertical="top"/>
    </xf>
    <xf numFmtId="49" fontId="775" fillId="0" borderId="775" xfId="0" applyNumberFormat="1" applyFont="1" applyBorder="1" applyAlignment="1">
      <alignment vertical="top"/>
    </xf>
    <xf numFmtId="0" fontId="776" fillId="0" borderId="776" xfId="0" applyFont="1" applyBorder="1" applyAlignment="1">
      <alignment vertical="top"/>
    </xf>
    <xf numFmtId="0" fontId="777" fillId="0" borderId="777" xfId="0" applyFont="1" applyBorder="1" applyAlignment="1">
      <alignment vertical="top"/>
    </xf>
    <xf numFmtId="49" fontId="778" fillId="0" borderId="778" xfId="0" applyNumberFormat="1" applyFont="1" applyBorder="1" applyAlignment="1">
      <alignment vertical="top"/>
    </xf>
    <xf numFmtId="0" fontId="779" fillId="0" borderId="779" xfId="0" applyFont="1" applyBorder="1" applyAlignment="1">
      <alignment vertical="top"/>
    </xf>
    <xf numFmtId="0" fontId="780" fillId="0" borderId="780" xfId="0" applyFont="1" applyBorder="1" applyAlignment="1">
      <alignment vertical="top"/>
    </xf>
    <xf numFmtId="49" fontId="781" fillId="0" borderId="781" xfId="0" applyNumberFormat="1" applyFont="1" applyBorder="1" applyAlignment="1">
      <alignment vertical="top"/>
    </xf>
    <xf numFmtId="0" fontId="782" fillId="0" borderId="782" xfId="0" applyFont="1" applyBorder="1" applyAlignment="1">
      <alignment vertical="top"/>
    </xf>
    <xf numFmtId="0" fontId="783" fillId="0" borderId="783" xfId="0" applyFont="1" applyBorder="1" applyAlignment="1">
      <alignment vertical="top"/>
    </xf>
    <xf numFmtId="49" fontId="784" fillId="0" borderId="784" xfId="0" applyNumberFormat="1" applyFont="1" applyBorder="1" applyAlignment="1">
      <alignment vertical="top"/>
    </xf>
    <xf numFmtId="0" fontId="785" fillId="0" borderId="785" xfId="0" applyFont="1" applyBorder="1" applyAlignment="1">
      <alignment vertical="top"/>
    </xf>
    <xf numFmtId="0" fontId="786" fillId="0" borderId="786" xfId="0" applyFont="1" applyBorder="1" applyAlignment="1">
      <alignment vertical="top"/>
    </xf>
    <xf numFmtId="49" fontId="787" fillId="0" borderId="787" xfId="0" applyNumberFormat="1" applyFont="1" applyBorder="1" applyAlignment="1">
      <alignment vertical="top"/>
    </xf>
    <xf numFmtId="0" fontId="788" fillId="0" borderId="788" xfId="0" applyFont="1" applyBorder="1" applyAlignment="1">
      <alignment vertical="top"/>
    </xf>
    <xf numFmtId="0" fontId="789" fillId="0" borderId="789" xfId="0" applyFont="1" applyBorder="1" applyAlignment="1">
      <alignment vertical="top"/>
    </xf>
    <xf numFmtId="49" fontId="790" fillId="0" borderId="790" xfId="0" applyNumberFormat="1" applyFont="1" applyBorder="1" applyAlignment="1">
      <alignment vertical="top"/>
    </xf>
    <xf numFmtId="0" fontId="791" fillId="0" borderId="791" xfId="0" applyFont="1" applyBorder="1" applyAlignment="1">
      <alignment vertical="top"/>
    </xf>
    <xf numFmtId="0" fontId="792" fillId="0" borderId="792" xfId="0" applyFont="1" applyBorder="1" applyAlignment="1">
      <alignment vertical="top"/>
    </xf>
    <xf numFmtId="49" fontId="793" fillId="0" borderId="793" xfId="0" applyNumberFormat="1" applyFont="1" applyBorder="1" applyAlignment="1">
      <alignment vertical="top"/>
    </xf>
    <xf numFmtId="0" fontId="794" fillId="0" borderId="794" xfId="0" applyFont="1" applyBorder="1" applyAlignment="1">
      <alignment vertical="top"/>
    </xf>
    <xf numFmtId="0" fontId="795" fillId="0" borderId="795" xfId="0" applyFont="1" applyBorder="1" applyAlignment="1">
      <alignment vertical="top"/>
    </xf>
    <xf numFmtId="49" fontId="796" fillId="0" borderId="796" xfId="0" applyNumberFormat="1" applyFont="1" applyBorder="1" applyAlignment="1">
      <alignment vertical="top"/>
    </xf>
    <xf numFmtId="0" fontId="797" fillId="0" borderId="797" xfId="0" applyFont="1" applyBorder="1" applyAlignment="1">
      <alignment vertical="top"/>
    </xf>
    <xf numFmtId="0" fontId="798" fillId="0" borderId="798" xfId="0" applyFont="1" applyBorder="1" applyAlignment="1">
      <alignment vertical="top"/>
    </xf>
    <xf numFmtId="49" fontId="799" fillId="0" borderId="799" xfId="0" applyNumberFormat="1" applyFont="1" applyBorder="1" applyAlignment="1">
      <alignment vertical="top"/>
    </xf>
    <xf numFmtId="0" fontId="800" fillId="0" borderId="800" xfId="0" applyFont="1" applyBorder="1" applyAlignment="1">
      <alignment vertical="top"/>
    </xf>
    <xf numFmtId="0" fontId="801" fillId="0" borderId="801" xfId="0" applyFont="1" applyBorder="1" applyAlignment="1">
      <alignment vertical="top"/>
    </xf>
    <xf numFmtId="49" fontId="802" fillId="0" borderId="802" xfId="0" applyNumberFormat="1" applyFont="1" applyBorder="1" applyAlignment="1">
      <alignment vertical="top"/>
    </xf>
    <xf numFmtId="0" fontId="803" fillId="0" borderId="803" xfId="0" applyFont="1" applyBorder="1" applyAlignment="1">
      <alignment vertical="top"/>
    </xf>
    <xf numFmtId="0" fontId="804" fillId="0" borderId="804" xfId="0" applyFont="1" applyBorder="1" applyAlignment="1">
      <alignment vertical="top"/>
    </xf>
    <xf numFmtId="49" fontId="805" fillId="0" borderId="805" xfId="0" applyNumberFormat="1" applyFont="1" applyBorder="1" applyAlignment="1">
      <alignment vertical="top"/>
    </xf>
    <xf numFmtId="0" fontId="806" fillId="0" borderId="806" xfId="0" applyFont="1" applyBorder="1" applyAlignment="1">
      <alignment vertical="top"/>
    </xf>
    <xf numFmtId="0" fontId="807" fillId="0" borderId="807" xfId="0" applyFont="1" applyBorder="1" applyAlignment="1">
      <alignment vertical="top"/>
    </xf>
    <xf numFmtId="49" fontId="808" fillId="0" borderId="808" xfId="0" applyNumberFormat="1" applyFont="1" applyBorder="1" applyAlignment="1">
      <alignment vertical="top"/>
    </xf>
    <xf numFmtId="0" fontId="809" fillId="0" borderId="809" xfId="0" applyFont="1" applyBorder="1" applyAlignment="1">
      <alignment vertical="top"/>
    </xf>
    <xf numFmtId="0" fontId="810" fillId="0" borderId="810" xfId="0" applyFont="1" applyBorder="1" applyAlignment="1">
      <alignment vertical="top"/>
    </xf>
    <xf numFmtId="49" fontId="811" fillId="0" borderId="811" xfId="0" applyNumberFormat="1" applyFont="1" applyBorder="1" applyAlignment="1">
      <alignment vertical="top"/>
    </xf>
    <xf numFmtId="0" fontId="812" fillId="0" borderId="812" xfId="0" applyFont="1" applyBorder="1" applyAlignment="1">
      <alignment vertical="top"/>
    </xf>
    <xf numFmtId="0" fontId="813" fillId="0" borderId="813" xfId="0" applyFont="1" applyBorder="1" applyAlignment="1">
      <alignment vertical="top"/>
    </xf>
    <xf numFmtId="49" fontId="814" fillId="0" borderId="814" xfId="0" applyNumberFormat="1" applyFont="1" applyBorder="1" applyAlignment="1">
      <alignment vertical="top"/>
    </xf>
    <xf numFmtId="0" fontId="815" fillId="0" borderId="815" xfId="0" applyFont="1" applyBorder="1" applyAlignment="1">
      <alignment vertical="top"/>
    </xf>
    <xf numFmtId="0" fontId="816" fillId="0" borderId="816" xfId="0" applyFont="1" applyBorder="1" applyAlignment="1">
      <alignment vertical="top"/>
    </xf>
    <xf numFmtId="49" fontId="817" fillId="0" borderId="817" xfId="0" applyNumberFormat="1" applyFont="1" applyBorder="1" applyAlignment="1">
      <alignment vertical="top"/>
    </xf>
    <xf numFmtId="0" fontId="818" fillId="0" borderId="818" xfId="0" applyFont="1" applyBorder="1" applyAlignment="1">
      <alignment vertical="top"/>
    </xf>
    <xf numFmtId="0" fontId="819" fillId="0" borderId="819" xfId="0" applyFont="1" applyBorder="1" applyAlignment="1">
      <alignment vertical="top"/>
    </xf>
    <xf numFmtId="49" fontId="820" fillId="0" borderId="820" xfId="0" applyNumberFormat="1" applyFont="1" applyBorder="1" applyAlignment="1">
      <alignment vertical="top"/>
    </xf>
    <xf numFmtId="0" fontId="821" fillId="0" borderId="821" xfId="0" applyFont="1" applyBorder="1" applyAlignment="1">
      <alignment vertical="top"/>
    </xf>
    <xf numFmtId="0" fontId="822" fillId="0" borderId="822" xfId="0" applyFont="1" applyBorder="1" applyAlignment="1">
      <alignment vertical="top"/>
    </xf>
    <xf numFmtId="49" fontId="823" fillId="0" borderId="823" xfId="0" applyNumberFormat="1" applyFont="1" applyBorder="1" applyAlignment="1">
      <alignment vertical="top"/>
    </xf>
    <xf numFmtId="0" fontId="824" fillId="0" borderId="824" xfId="0" applyFont="1" applyBorder="1" applyAlignment="1">
      <alignment vertical="top"/>
    </xf>
    <xf numFmtId="0" fontId="825" fillId="0" borderId="825" xfId="0" applyFont="1" applyBorder="1" applyAlignment="1">
      <alignment vertical="top"/>
    </xf>
    <xf numFmtId="49" fontId="826" fillId="0" borderId="826" xfId="0" applyNumberFormat="1" applyFont="1" applyBorder="1" applyAlignment="1">
      <alignment vertical="top"/>
    </xf>
    <xf numFmtId="0" fontId="827" fillId="0" borderId="827" xfId="0" applyFont="1" applyBorder="1" applyAlignment="1">
      <alignment vertical="top"/>
    </xf>
    <xf numFmtId="0" fontId="828" fillId="0" borderId="828" xfId="0" applyFont="1" applyBorder="1" applyAlignment="1">
      <alignment vertical="top"/>
    </xf>
    <xf numFmtId="49" fontId="829" fillId="0" borderId="829" xfId="0" applyNumberFormat="1" applyFont="1" applyBorder="1" applyAlignment="1">
      <alignment vertical="top"/>
    </xf>
    <xf numFmtId="0" fontId="830" fillId="0" borderId="830" xfId="0" applyFont="1" applyBorder="1" applyAlignment="1">
      <alignment vertical="top"/>
    </xf>
    <xf numFmtId="0" fontId="831" fillId="0" borderId="831" xfId="0" applyFont="1" applyBorder="1" applyAlignment="1">
      <alignment vertical="top"/>
    </xf>
    <xf numFmtId="49" fontId="832" fillId="0" borderId="832" xfId="0" applyNumberFormat="1" applyFont="1" applyBorder="1" applyAlignment="1">
      <alignment vertical="top"/>
    </xf>
    <xf numFmtId="0" fontId="833" fillId="0" borderId="833" xfId="0" applyFont="1" applyBorder="1" applyAlignment="1">
      <alignment vertical="top"/>
    </xf>
    <xf numFmtId="0" fontId="834" fillId="0" borderId="834" xfId="0" applyFont="1" applyBorder="1" applyAlignment="1">
      <alignment vertical="top"/>
    </xf>
    <xf numFmtId="49" fontId="835" fillId="0" borderId="835" xfId="0" applyNumberFormat="1" applyFont="1" applyBorder="1" applyAlignment="1">
      <alignment vertical="top"/>
    </xf>
    <xf numFmtId="0" fontId="836" fillId="0" borderId="836" xfId="0" applyFont="1" applyBorder="1" applyAlignment="1">
      <alignment vertical="top"/>
    </xf>
    <xf numFmtId="0" fontId="837" fillId="0" borderId="837" xfId="0" applyFont="1" applyBorder="1" applyAlignment="1">
      <alignment vertical="top"/>
    </xf>
    <xf numFmtId="49" fontId="838" fillId="0" borderId="838" xfId="0" applyNumberFormat="1" applyFont="1" applyBorder="1" applyAlignment="1">
      <alignment vertical="top"/>
    </xf>
    <xf numFmtId="0" fontId="839" fillId="0" borderId="839" xfId="0" applyFont="1" applyBorder="1" applyAlignment="1">
      <alignment vertical="top"/>
    </xf>
    <xf numFmtId="0" fontId="840" fillId="0" borderId="840" xfId="0" applyFont="1" applyBorder="1" applyAlignment="1">
      <alignment vertical="top"/>
    </xf>
    <xf numFmtId="49" fontId="841" fillId="0" borderId="841" xfId="0" applyNumberFormat="1" applyFont="1" applyBorder="1" applyAlignment="1">
      <alignment vertical="top"/>
    </xf>
    <xf numFmtId="0" fontId="842" fillId="0" borderId="842" xfId="0" applyFont="1" applyBorder="1" applyAlignment="1">
      <alignment vertical="top"/>
    </xf>
    <xf numFmtId="0" fontId="843" fillId="0" borderId="843" xfId="0" applyFont="1" applyBorder="1" applyAlignment="1">
      <alignment vertical="top"/>
    </xf>
    <xf numFmtId="49" fontId="844" fillId="0" borderId="844" xfId="0" applyNumberFormat="1" applyFont="1" applyBorder="1" applyAlignment="1">
      <alignment vertical="top"/>
    </xf>
    <xf numFmtId="0" fontId="845" fillId="0" borderId="845" xfId="0" applyFont="1" applyBorder="1" applyAlignment="1">
      <alignment vertical="top"/>
    </xf>
    <xf numFmtId="0" fontId="846" fillId="0" borderId="846" xfId="0" applyFont="1" applyBorder="1" applyAlignment="1">
      <alignment vertical="top"/>
    </xf>
    <xf numFmtId="49" fontId="847" fillId="0" borderId="847" xfId="0" applyNumberFormat="1" applyFont="1" applyBorder="1" applyAlignment="1">
      <alignment vertical="top"/>
    </xf>
    <xf numFmtId="0" fontId="848" fillId="0" borderId="848" xfId="0" applyFont="1" applyBorder="1" applyAlignment="1">
      <alignment vertical="top"/>
    </xf>
    <xf numFmtId="0" fontId="849" fillId="0" borderId="849" xfId="0" applyFont="1" applyBorder="1" applyAlignment="1">
      <alignment vertical="top"/>
    </xf>
    <xf numFmtId="49" fontId="850" fillId="0" borderId="850" xfId="0" applyNumberFormat="1" applyFont="1" applyBorder="1" applyAlignment="1">
      <alignment vertical="top"/>
    </xf>
    <xf numFmtId="0" fontId="851" fillId="0" borderId="851" xfId="0" applyFont="1" applyBorder="1" applyAlignment="1">
      <alignment vertical="top"/>
    </xf>
    <xf numFmtId="0" fontId="852" fillId="0" borderId="852" xfId="0" applyFont="1" applyBorder="1" applyAlignment="1">
      <alignment vertical="top"/>
    </xf>
    <xf numFmtId="49" fontId="853" fillId="0" borderId="853" xfId="0" applyNumberFormat="1" applyFont="1" applyBorder="1" applyAlignment="1">
      <alignment vertical="top"/>
    </xf>
    <xf numFmtId="0" fontId="854" fillId="0" borderId="854" xfId="0" applyFont="1" applyBorder="1" applyAlignment="1">
      <alignment vertical="top"/>
    </xf>
    <xf numFmtId="0" fontId="855" fillId="0" borderId="855" xfId="0" applyFont="1" applyBorder="1" applyAlignment="1">
      <alignment vertical="top"/>
    </xf>
    <xf numFmtId="49" fontId="856" fillId="0" borderId="856" xfId="0" applyNumberFormat="1" applyFont="1" applyBorder="1" applyAlignment="1">
      <alignment vertical="top"/>
    </xf>
    <xf numFmtId="0" fontId="857" fillId="0" borderId="857" xfId="0" applyFont="1" applyBorder="1" applyAlignment="1">
      <alignment vertical="top"/>
    </xf>
    <xf numFmtId="0" fontId="858" fillId="0" borderId="858" xfId="0" applyFont="1" applyBorder="1" applyAlignment="1">
      <alignment vertical="top"/>
    </xf>
    <xf numFmtId="49" fontId="859" fillId="0" borderId="859" xfId="0" applyNumberFormat="1" applyFont="1" applyBorder="1" applyAlignment="1">
      <alignment vertical="top"/>
    </xf>
    <xf numFmtId="0" fontId="860" fillId="0" borderId="860" xfId="0" applyFont="1" applyBorder="1" applyAlignment="1">
      <alignment vertical="top"/>
    </xf>
    <xf numFmtId="0" fontId="861" fillId="0" borderId="861" xfId="0" applyFont="1" applyBorder="1" applyAlignment="1">
      <alignment vertical="top"/>
    </xf>
    <xf numFmtId="49" fontId="862" fillId="0" borderId="862" xfId="0" applyNumberFormat="1" applyFont="1" applyBorder="1" applyAlignment="1">
      <alignment vertical="top"/>
    </xf>
    <xf numFmtId="0" fontId="863" fillId="0" borderId="863" xfId="0" applyFont="1" applyBorder="1" applyAlignment="1">
      <alignment vertical="top"/>
    </xf>
    <xf numFmtId="0" fontId="864" fillId="0" borderId="864" xfId="0" applyFont="1" applyBorder="1" applyAlignment="1">
      <alignment vertical="top"/>
    </xf>
    <xf numFmtId="49" fontId="865" fillId="0" borderId="865" xfId="0" applyNumberFormat="1" applyFont="1" applyBorder="1" applyAlignment="1">
      <alignment vertical="top"/>
    </xf>
    <xf numFmtId="0" fontId="866" fillId="0" borderId="866" xfId="0" applyFont="1" applyBorder="1" applyAlignment="1">
      <alignment vertical="top"/>
    </xf>
    <xf numFmtId="0" fontId="867" fillId="0" borderId="867" xfId="0" applyFont="1" applyBorder="1" applyAlignment="1">
      <alignment vertical="top"/>
    </xf>
    <xf numFmtId="49" fontId="868" fillId="0" borderId="868" xfId="0" applyNumberFormat="1" applyFont="1" applyBorder="1" applyAlignment="1">
      <alignment vertical="top"/>
    </xf>
    <xf numFmtId="0" fontId="869" fillId="0" borderId="869" xfId="0" applyFont="1" applyBorder="1" applyAlignment="1">
      <alignment vertical="top"/>
    </xf>
    <xf numFmtId="0" fontId="870" fillId="0" borderId="870" xfId="0" applyFont="1" applyBorder="1" applyAlignment="1">
      <alignment vertical="top"/>
    </xf>
    <xf numFmtId="49" fontId="871" fillId="0" borderId="871" xfId="0" applyNumberFormat="1" applyFont="1" applyBorder="1" applyAlignment="1">
      <alignment vertical="top"/>
    </xf>
    <xf numFmtId="0" fontId="872" fillId="0" borderId="872" xfId="0" applyFont="1" applyBorder="1" applyAlignment="1">
      <alignment vertical="top"/>
    </xf>
    <xf numFmtId="0" fontId="873" fillId="0" borderId="873" xfId="0" applyFont="1" applyBorder="1" applyAlignment="1">
      <alignment vertical="top"/>
    </xf>
    <xf numFmtId="49" fontId="874" fillId="0" borderId="874" xfId="0" applyNumberFormat="1" applyFont="1" applyBorder="1" applyAlignment="1">
      <alignment vertical="top"/>
    </xf>
    <xf numFmtId="0" fontId="875" fillId="0" borderId="875" xfId="0" applyFont="1" applyBorder="1" applyAlignment="1">
      <alignment vertical="top"/>
    </xf>
    <xf numFmtId="0" fontId="876" fillId="0" borderId="876" xfId="0" applyFont="1" applyBorder="1" applyAlignment="1">
      <alignment vertical="top"/>
    </xf>
    <xf numFmtId="49" fontId="877" fillId="0" borderId="877" xfId="0" applyNumberFormat="1" applyFont="1" applyBorder="1" applyAlignment="1">
      <alignment vertical="top"/>
    </xf>
    <xf numFmtId="0" fontId="878" fillId="0" borderId="878" xfId="0" applyFont="1" applyBorder="1" applyAlignment="1">
      <alignment vertical="top"/>
    </xf>
    <xf numFmtId="0" fontId="879" fillId="0" borderId="879" xfId="0" applyFont="1" applyBorder="1" applyAlignment="1">
      <alignment vertical="top"/>
    </xf>
    <xf numFmtId="49" fontId="880" fillId="0" borderId="880" xfId="0" applyNumberFormat="1" applyFont="1" applyBorder="1" applyAlignment="1">
      <alignment vertical="top"/>
    </xf>
    <xf numFmtId="0" fontId="881" fillId="0" borderId="881" xfId="0" applyFont="1" applyBorder="1" applyAlignment="1">
      <alignment vertical="top"/>
    </xf>
    <xf numFmtId="0" fontId="882" fillId="0" borderId="882" xfId="0" applyFont="1" applyBorder="1" applyAlignment="1">
      <alignment vertical="top"/>
    </xf>
    <xf numFmtId="49" fontId="883" fillId="0" borderId="883" xfId="0" applyNumberFormat="1" applyFont="1" applyBorder="1" applyAlignment="1">
      <alignment vertical="top"/>
    </xf>
    <xf numFmtId="0" fontId="884" fillId="0" borderId="884" xfId="0" applyFont="1" applyBorder="1" applyAlignment="1">
      <alignment vertical="top"/>
    </xf>
    <xf numFmtId="0" fontId="885" fillId="0" borderId="885" xfId="0" applyFont="1" applyBorder="1" applyAlignment="1">
      <alignment vertical="top"/>
    </xf>
    <xf numFmtId="49" fontId="886" fillId="0" borderId="886" xfId="0" applyNumberFormat="1" applyFont="1" applyBorder="1" applyAlignment="1">
      <alignment vertical="top"/>
    </xf>
    <xf numFmtId="0" fontId="887" fillId="0" borderId="887" xfId="0" applyFont="1" applyBorder="1" applyAlignment="1">
      <alignment vertical="top"/>
    </xf>
    <xf numFmtId="0" fontId="888" fillId="0" borderId="888" xfId="0" applyFont="1" applyBorder="1" applyAlignment="1">
      <alignment vertical="top"/>
    </xf>
    <xf numFmtId="49" fontId="889" fillId="0" borderId="889" xfId="0" applyNumberFormat="1" applyFont="1" applyBorder="1" applyAlignment="1">
      <alignment vertical="top"/>
    </xf>
    <xf numFmtId="0" fontId="890" fillId="0" borderId="890" xfId="0" applyFont="1" applyBorder="1" applyAlignment="1">
      <alignment vertical="top"/>
    </xf>
    <xf numFmtId="0" fontId="891" fillId="0" borderId="891" xfId="0" applyFont="1" applyBorder="1" applyAlignment="1">
      <alignment vertical="top"/>
    </xf>
    <xf numFmtId="49" fontId="892" fillId="0" borderId="892" xfId="0" applyNumberFormat="1" applyFont="1" applyBorder="1" applyAlignment="1">
      <alignment vertical="top"/>
    </xf>
    <xf numFmtId="0" fontId="893" fillId="0" borderId="893" xfId="0" applyFont="1" applyBorder="1" applyAlignment="1">
      <alignment vertical="top"/>
    </xf>
    <xf numFmtId="0" fontId="894" fillId="0" borderId="894" xfId="0" applyFont="1" applyBorder="1" applyAlignment="1">
      <alignment vertical="top"/>
    </xf>
    <xf numFmtId="49" fontId="895" fillId="0" borderId="895" xfId="0" applyNumberFormat="1" applyFont="1" applyBorder="1" applyAlignment="1">
      <alignment vertical="top"/>
    </xf>
    <xf numFmtId="0" fontId="896" fillId="0" borderId="896" xfId="0" applyFont="1" applyBorder="1" applyAlignment="1">
      <alignment vertical="top"/>
    </xf>
    <xf numFmtId="0" fontId="897" fillId="0" borderId="897" xfId="0" applyFont="1" applyBorder="1" applyAlignment="1">
      <alignment vertical="top"/>
    </xf>
    <xf numFmtId="49" fontId="898" fillId="0" borderId="898" xfId="0" applyNumberFormat="1" applyFont="1" applyBorder="1" applyAlignment="1">
      <alignment vertical="top"/>
    </xf>
    <xf numFmtId="0" fontId="899" fillId="0" borderId="899" xfId="0" applyFont="1" applyBorder="1" applyAlignment="1">
      <alignment vertical="top"/>
    </xf>
    <xf numFmtId="0" fontId="900" fillId="0" borderId="900" xfId="0" applyFont="1" applyBorder="1" applyAlignment="1">
      <alignment vertical="top"/>
    </xf>
    <xf numFmtId="49" fontId="901" fillId="0" borderId="901" xfId="0" applyNumberFormat="1" applyFont="1" applyBorder="1" applyAlignment="1">
      <alignment vertical="top"/>
    </xf>
    <xf numFmtId="0" fontId="902" fillId="0" borderId="902" xfId="0" applyFont="1" applyBorder="1" applyAlignment="1">
      <alignment vertical="top"/>
    </xf>
    <xf numFmtId="0" fontId="903" fillId="0" borderId="903" xfId="0" applyFont="1" applyBorder="1" applyAlignment="1">
      <alignment vertical="top"/>
    </xf>
    <xf numFmtId="49" fontId="904" fillId="0" borderId="904" xfId="0" applyNumberFormat="1" applyFont="1" applyBorder="1" applyAlignment="1">
      <alignment vertical="top"/>
    </xf>
    <xf numFmtId="0" fontId="905" fillId="0" borderId="905" xfId="0" applyFont="1" applyBorder="1" applyAlignment="1">
      <alignment vertical="top"/>
    </xf>
    <xf numFmtId="0" fontId="906" fillId="0" borderId="906" xfId="0" applyFont="1" applyBorder="1" applyAlignment="1">
      <alignment vertical="top"/>
    </xf>
    <xf numFmtId="49" fontId="907" fillId="0" borderId="907" xfId="0" applyNumberFormat="1" applyFont="1" applyBorder="1" applyAlignment="1">
      <alignment vertical="top"/>
    </xf>
    <xf numFmtId="0" fontId="908" fillId="0" borderId="908" xfId="0" applyFont="1" applyBorder="1" applyAlignment="1">
      <alignment vertical="top"/>
    </xf>
    <xf numFmtId="0" fontId="909" fillId="0" borderId="909" xfId="0" applyFont="1" applyBorder="1" applyAlignment="1">
      <alignment vertical="top"/>
    </xf>
    <xf numFmtId="49" fontId="910" fillId="0" borderId="910" xfId="0" applyNumberFormat="1" applyFont="1" applyBorder="1" applyAlignment="1">
      <alignment vertical="top"/>
    </xf>
    <xf numFmtId="0" fontId="911" fillId="0" borderId="911" xfId="0" applyFont="1" applyBorder="1" applyAlignment="1">
      <alignment vertical="top"/>
    </xf>
    <xf numFmtId="0" fontId="912" fillId="0" borderId="912" xfId="0" applyFont="1" applyBorder="1" applyAlignment="1">
      <alignment vertical="top"/>
    </xf>
    <xf numFmtId="49" fontId="913" fillId="0" borderId="913" xfId="0" applyNumberFormat="1" applyFont="1" applyBorder="1" applyAlignment="1">
      <alignment vertical="top"/>
    </xf>
    <xf numFmtId="0" fontId="914" fillId="0" borderId="914" xfId="0" applyFont="1" applyBorder="1" applyAlignment="1">
      <alignment vertical="top"/>
    </xf>
    <xf numFmtId="0" fontId="915" fillId="0" borderId="915" xfId="0" applyFont="1" applyBorder="1" applyAlignment="1">
      <alignment vertical="top"/>
    </xf>
    <xf numFmtId="49" fontId="916" fillId="0" borderId="916" xfId="0" applyNumberFormat="1" applyFont="1" applyBorder="1" applyAlignment="1">
      <alignment vertical="top"/>
    </xf>
    <xf numFmtId="0" fontId="917" fillId="0" borderId="917" xfId="0" applyFont="1" applyBorder="1" applyAlignment="1">
      <alignment vertical="top"/>
    </xf>
    <xf numFmtId="0" fontId="918" fillId="0" borderId="918" xfId="0" applyFont="1" applyBorder="1" applyAlignment="1">
      <alignment vertical="top"/>
    </xf>
    <xf numFmtId="49" fontId="919" fillId="0" borderId="919" xfId="0" applyNumberFormat="1" applyFont="1" applyBorder="1" applyAlignment="1">
      <alignment vertical="top"/>
    </xf>
    <xf numFmtId="0" fontId="920" fillId="0" borderId="920" xfId="0" applyFont="1" applyBorder="1" applyAlignment="1">
      <alignment vertical="top"/>
    </xf>
    <xf numFmtId="0" fontId="921" fillId="0" borderId="921" xfId="0" applyFont="1" applyBorder="1" applyAlignment="1">
      <alignment vertical="top"/>
    </xf>
    <xf numFmtId="49" fontId="922" fillId="0" borderId="922" xfId="0" applyNumberFormat="1" applyFont="1" applyBorder="1" applyAlignment="1">
      <alignment vertical="top"/>
    </xf>
    <xf numFmtId="0" fontId="923" fillId="0" borderId="923" xfId="0" applyFont="1" applyBorder="1" applyAlignment="1">
      <alignment vertical="top"/>
    </xf>
    <xf numFmtId="0" fontId="924" fillId="0" borderId="924" xfId="0" applyFont="1" applyBorder="1" applyAlignment="1">
      <alignment vertical="top"/>
    </xf>
    <xf numFmtId="49" fontId="925" fillId="0" borderId="925" xfId="0" applyNumberFormat="1" applyFont="1" applyBorder="1" applyAlignment="1">
      <alignment vertical="top"/>
    </xf>
    <xf numFmtId="0" fontId="926" fillId="0" borderId="926" xfId="0" applyFont="1" applyBorder="1" applyAlignment="1">
      <alignment vertical="top"/>
    </xf>
    <xf numFmtId="0" fontId="927" fillId="0" borderId="927" xfId="0" applyFont="1" applyBorder="1" applyAlignment="1">
      <alignment vertical="top"/>
    </xf>
    <xf numFmtId="49" fontId="928" fillId="0" borderId="928" xfId="0" applyNumberFormat="1" applyFont="1" applyBorder="1" applyAlignment="1">
      <alignment vertical="top"/>
    </xf>
    <xf numFmtId="0" fontId="929" fillId="0" borderId="929" xfId="0" applyFont="1" applyBorder="1" applyAlignment="1">
      <alignment vertical="top"/>
    </xf>
    <xf numFmtId="0" fontId="930" fillId="0" borderId="930" xfId="0" applyFont="1" applyBorder="1" applyAlignment="1">
      <alignment vertical="top"/>
    </xf>
    <xf numFmtId="49" fontId="931" fillId="0" borderId="931" xfId="0" applyNumberFormat="1" applyFont="1" applyBorder="1" applyAlignment="1">
      <alignment vertical="top"/>
    </xf>
    <xf numFmtId="0" fontId="932" fillId="0" borderId="932" xfId="0" applyFont="1" applyBorder="1" applyAlignment="1">
      <alignment vertical="top"/>
    </xf>
    <xf numFmtId="0" fontId="933" fillId="0" borderId="933" xfId="0" applyFont="1" applyBorder="1" applyAlignment="1">
      <alignment vertical="top"/>
    </xf>
    <xf numFmtId="49" fontId="934" fillId="0" borderId="934" xfId="0" applyNumberFormat="1" applyFont="1" applyBorder="1" applyAlignment="1">
      <alignment vertical="top"/>
    </xf>
    <xf numFmtId="0" fontId="935" fillId="0" borderId="935" xfId="0" applyFont="1" applyBorder="1" applyAlignment="1">
      <alignment vertical="top"/>
    </xf>
    <xf numFmtId="0" fontId="936" fillId="0" borderId="936" xfId="0" applyFont="1" applyBorder="1" applyAlignment="1">
      <alignment vertical="top"/>
    </xf>
    <xf numFmtId="49" fontId="937" fillId="0" borderId="937" xfId="0" applyNumberFormat="1" applyFont="1" applyBorder="1" applyAlignment="1">
      <alignment vertical="top"/>
    </xf>
    <xf numFmtId="0" fontId="938" fillId="0" borderId="938" xfId="0" applyFont="1" applyBorder="1" applyAlignment="1">
      <alignment vertical="top"/>
    </xf>
    <xf numFmtId="0" fontId="939" fillId="0" borderId="939" xfId="0" applyFont="1" applyBorder="1" applyAlignment="1">
      <alignment vertical="top"/>
    </xf>
    <xf numFmtId="49" fontId="940" fillId="0" borderId="940" xfId="0" applyNumberFormat="1" applyFont="1" applyBorder="1" applyAlignment="1">
      <alignment vertical="top"/>
    </xf>
    <xf numFmtId="0" fontId="941" fillId="0" borderId="941" xfId="0" applyFont="1" applyBorder="1" applyAlignment="1">
      <alignment vertical="top"/>
    </xf>
    <xf numFmtId="0" fontId="942" fillId="0" borderId="942" xfId="0" applyFont="1" applyBorder="1" applyAlignment="1">
      <alignment vertical="top"/>
    </xf>
    <xf numFmtId="49" fontId="943" fillId="0" borderId="943" xfId="0" applyNumberFormat="1" applyFont="1" applyBorder="1" applyAlignment="1">
      <alignment vertical="top"/>
    </xf>
    <xf numFmtId="0" fontId="944" fillId="0" borderId="944" xfId="0" applyFont="1" applyBorder="1" applyAlignment="1">
      <alignment vertical="top"/>
    </xf>
    <xf numFmtId="0" fontId="945" fillId="0" borderId="945" xfId="0" applyFont="1" applyBorder="1" applyAlignment="1">
      <alignment vertical="top"/>
    </xf>
    <xf numFmtId="49" fontId="946" fillId="0" borderId="946" xfId="0" applyNumberFormat="1" applyFont="1" applyBorder="1" applyAlignment="1">
      <alignment vertical="top"/>
    </xf>
    <xf numFmtId="0" fontId="947" fillId="0" borderId="947" xfId="0" applyFont="1" applyBorder="1" applyAlignment="1">
      <alignment vertical="top"/>
    </xf>
    <xf numFmtId="0" fontId="948" fillId="0" borderId="948" xfId="0" applyFont="1" applyBorder="1" applyAlignment="1">
      <alignment vertical="top"/>
    </xf>
    <xf numFmtId="49" fontId="949" fillId="0" borderId="949" xfId="0" applyNumberFormat="1" applyFont="1" applyBorder="1" applyAlignment="1">
      <alignment vertical="top"/>
    </xf>
    <xf numFmtId="0" fontId="950" fillId="0" borderId="950" xfId="0" applyFont="1" applyBorder="1" applyAlignment="1">
      <alignment vertical="top"/>
    </xf>
    <xf numFmtId="0" fontId="951" fillId="0" borderId="951" xfId="0" applyFont="1" applyBorder="1" applyAlignment="1">
      <alignment vertical="top"/>
    </xf>
    <xf numFmtId="49" fontId="952" fillId="0" borderId="952" xfId="0" applyNumberFormat="1" applyFont="1" applyBorder="1" applyAlignment="1">
      <alignment vertical="top"/>
    </xf>
    <xf numFmtId="0" fontId="953" fillId="0" borderId="953" xfId="0" applyFont="1" applyBorder="1" applyAlignment="1">
      <alignment vertical="top"/>
    </xf>
    <xf numFmtId="0" fontId="954" fillId="0" borderId="954" xfId="0" applyFont="1" applyBorder="1" applyAlignment="1">
      <alignment vertical="top"/>
    </xf>
    <xf numFmtId="49" fontId="955" fillId="0" borderId="955" xfId="0" applyNumberFormat="1" applyFont="1" applyBorder="1" applyAlignment="1">
      <alignment vertical="top"/>
    </xf>
    <xf numFmtId="0" fontId="956" fillId="0" borderId="956" xfId="0" applyFont="1" applyBorder="1" applyAlignment="1">
      <alignment vertical="top"/>
    </xf>
    <xf numFmtId="0" fontId="957" fillId="0" borderId="957" xfId="0" applyFont="1" applyBorder="1" applyAlignment="1">
      <alignment vertical="top"/>
    </xf>
    <xf numFmtId="49" fontId="958" fillId="0" borderId="958" xfId="0" applyNumberFormat="1" applyFont="1" applyBorder="1" applyAlignment="1">
      <alignment vertical="top"/>
    </xf>
    <xf numFmtId="0" fontId="959" fillId="0" borderId="959" xfId="0" applyFont="1" applyBorder="1" applyAlignment="1">
      <alignment vertical="top"/>
    </xf>
    <xf numFmtId="0" fontId="960" fillId="0" borderId="960" xfId="0" applyFont="1" applyBorder="1" applyAlignment="1">
      <alignment vertical="top"/>
    </xf>
    <xf numFmtId="49" fontId="961" fillId="0" borderId="961" xfId="0" applyNumberFormat="1" applyFont="1" applyBorder="1" applyAlignment="1">
      <alignment vertical="top"/>
    </xf>
    <xf numFmtId="0" fontId="962" fillId="0" borderId="962" xfId="0" applyFont="1" applyBorder="1" applyAlignment="1">
      <alignment vertical="top"/>
    </xf>
    <xf numFmtId="0" fontId="963" fillId="0" borderId="963" xfId="0" applyFont="1" applyBorder="1" applyAlignment="1">
      <alignment vertical="top"/>
    </xf>
    <xf numFmtId="49" fontId="964" fillId="0" borderId="964" xfId="0" applyNumberFormat="1" applyFont="1" applyBorder="1" applyAlignment="1">
      <alignment vertical="top"/>
    </xf>
    <xf numFmtId="0" fontId="965" fillId="0" borderId="965" xfId="0" applyFont="1" applyBorder="1" applyAlignment="1">
      <alignment vertical="top"/>
    </xf>
    <xf numFmtId="0" fontId="966" fillId="0" borderId="966" xfId="0" applyFont="1" applyBorder="1" applyAlignment="1">
      <alignment vertical="top"/>
    </xf>
    <xf numFmtId="49" fontId="967" fillId="0" borderId="967" xfId="0" applyNumberFormat="1" applyFont="1" applyBorder="1" applyAlignment="1">
      <alignment vertical="top"/>
    </xf>
    <xf numFmtId="0" fontId="968" fillId="0" borderId="968" xfId="0" applyFont="1" applyBorder="1" applyAlignment="1">
      <alignment vertical="top"/>
    </xf>
    <xf numFmtId="0" fontId="969" fillId="0" borderId="969" xfId="0" applyFont="1" applyBorder="1" applyAlignment="1">
      <alignment vertical="top"/>
    </xf>
    <xf numFmtId="49" fontId="970" fillId="0" borderId="970" xfId="0" applyNumberFormat="1" applyFont="1" applyBorder="1" applyAlignment="1">
      <alignment vertical="top"/>
    </xf>
    <xf numFmtId="0" fontId="971" fillId="0" borderId="971" xfId="0" applyFont="1" applyBorder="1" applyAlignment="1">
      <alignment vertical="top"/>
    </xf>
    <xf numFmtId="0" fontId="972" fillId="0" borderId="972" xfId="0" applyFont="1" applyBorder="1" applyAlignment="1">
      <alignment vertical="top"/>
    </xf>
    <xf numFmtId="49" fontId="973" fillId="0" borderId="973" xfId="0" applyNumberFormat="1" applyFont="1" applyBorder="1" applyAlignment="1">
      <alignment vertical="top"/>
    </xf>
    <xf numFmtId="0" fontId="974" fillId="0" borderId="974" xfId="0" applyFont="1" applyBorder="1" applyAlignment="1">
      <alignment vertical="top"/>
    </xf>
    <xf numFmtId="0" fontId="975" fillId="0" borderId="975" xfId="0" applyFont="1" applyBorder="1" applyAlignment="1">
      <alignment vertical="top"/>
    </xf>
    <xf numFmtId="49" fontId="976" fillId="0" borderId="976" xfId="0" applyNumberFormat="1" applyFont="1" applyBorder="1" applyAlignment="1">
      <alignment vertical="top"/>
    </xf>
    <xf numFmtId="0" fontId="977" fillId="0" borderId="977" xfId="0" applyFont="1" applyBorder="1" applyAlignment="1">
      <alignment vertical="top"/>
    </xf>
    <xf numFmtId="0" fontId="978" fillId="0" borderId="978" xfId="0" applyFont="1" applyBorder="1" applyAlignment="1">
      <alignment vertical="top"/>
    </xf>
    <xf numFmtId="49" fontId="979" fillId="0" borderId="979" xfId="0" applyNumberFormat="1" applyFont="1" applyBorder="1" applyAlignment="1">
      <alignment vertical="top"/>
    </xf>
    <xf numFmtId="0" fontId="980" fillId="0" borderId="980" xfId="0" applyFont="1" applyBorder="1" applyAlignment="1">
      <alignment vertical="top"/>
    </xf>
    <xf numFmtId="0" fontId="981" fillId="0" borderId="981" xfId="0" applyFont="1" applyBorder="1" applyAlignment="1">
      <alignment vertical="top"/>
    </xf>
    <xf numFmtId="49" fontId="982" fillId="0" borderId="982" xfId="0" applyNumberFormat="1" applyFont="1" applyBorder="1" applyAlignment="1">
      <alignment vertical="top"/>
    </xf>
    <xf numFmtId="0" fontId="983" fillId="0" borderId="983" xfId="0" applyFont="1" applyBorder="1" applyAlignment="1">
      <alignment vertical="top"/>
    </xf>
    <xf numFmtId="0" fontId="984" fillId="0" borderId="984" xfId="0" applyFont="1" applyBorder="1" applyAlignment="1">
      <alignment vertical="top"/>
    </xf>
    <xf numFmtId="49" fontId="985" fillId="0" borderId="985" xfId="0" applyNumberFormat="1" applyFont="1" applyBorder="1" applyAlignment="1">
      <alignment vertical="top"/>
    </xf>
    <xf numFmtId="0" fontId="986" fillId="0" borderId="986" xfId="0" applyFont="1" applyBorder="1" applyAlignment="1">
      <alignment vertical="top"/>
    </xf>
    <xf numFmtId="0" fontId="987" fillId="0" borderId="987" xfId="0" applyFont="1" applyBorder="1" applyAlignment="1">
      <alignment vertical="top"/>
    </xf>
    <xf numFmtId="49" fontId="988" fillId="0" borderId="988" xfId="0" applyNumberFormat="1" applyFont="1" applyBorder="1" applyAlignment="1">
      <alignment vertical="top"/>
    </xf>
    <xf numFmtId="0" fontId="989" fillId="0" borderId="989" xfId="0" applyFont="1" applyBorder="1" applyAlignment="1">
      <alignment vertical="top"/>
    </xf>
    <xf numFmtId="0" fontId="990" fillId="0" borderId="990" xfId="0" applyFont="1" applyBorder="1" applyAlignment="1">
      <alignment vertical="top"/>
    </xf>
    <xf numFmtId="49" fontId="991" fillId="0" borderId="991" xfId="0" applyNumberFormat="1" applyFont="1" applyBorder="1" applyAlignment="1">
      <alignment vertical="top"/>
    </xf>
    <xf numFmtId="0" fontId="992" fillId="0" borderId="992" xfId="0" applyFont="1" applyBorder="1" applyAlignment="1">
      <alignment vertical="top"/>
    </xf>
    <xf numFmtId="0" fontId="993" fillId="0" borderId="993" xfId="0" applyFont="1" applyBorder="1" applyAlignment="1">
      <alignment vertical="top"/>
    </xf>
    <xf numFmtId="49" fontId="994" fillId="0" borderId="994" xfId="0" applyNumberFormat="1" applyFont="1" applyBorder="1" applyAlignment="1">
      <alignment vertical="top"/>
    </xf>
    <xf numFmtId="0" fontId="995" fillId="0" borderId="995" xfId="0" applyFont="1" applyBorder="1" applyAlignment="1">
      <alignment vertical="top"/>
    </xf>
    <xf numFmtId="0" fontId="996" fillId="0" borderId="996" xfId="0" applyFont="1" applyBorder="1" applyAlignment="1">
      <alignment vertical="top"/>
    </xf>
    <xf numFmtId="49" fontId="997" fillId="0" borderId="997" xfId="0" applyNumberFormat="1" applyFont="1" applyBorder="1" applyAlignment="1">
      <alignment vertical="top"/>
    </xf>
    <xf numFmtId="0" fontId="998" fillId="0" borderId="998" xfId="0" applyFont="1" applyBorder="1" applyAlignment="1">
      <alignment vertical="top"/>
    </xf>
    <xf numFmtId="0" fontId="999" fillId="0" borderId="999" xfId="0" applyFont="1" applyBorder="1" applyAlignment="1">
      <alignment vertical="top"/>
    </xf>
    <xf numFmtId="49" fontId="1000" fillId="0" borderId="1000" xfId="0" applyNumberFormat="1" applyFont="1" applyBorder="1" applyAlignment="1">
      <alignment vertical="top"/>
    </xf>
    <xf numFmtId="0" fontId="1001" fillId="0" borderId="1001" xfId="0" applyFont="1" applyBorder="1" applyAlignment="1">
      <alignment vertical="top"/>
    </xf>
    <xf numFmtId="0" fontId="1002" fillId="0" borderId="1002" xfId="0" applyFont="1" applyBorder="1" applyAlignment="1">
      <alignment vertical="top"/>
    </xf>
    <xf numFmtId="49" fontId="1003" fillId="0" borderId="1003" xfId="0" applyNumberFormat="1" applyFont="1" applyBorder="1" applyAlignment="1">
      <alignment vertical="top"/>
    </xf>
    <xf numFmtId="0" fontId="1004" fillId="0" borderId="1004" xfId="0" applyFont="1" applyBorder="1" applyAlignment="1">
      <alignment vertical="top"/>
    </xf>
    <xf numFmtId="0" fontId="1005" fillId="0" borderId="1005" xfId="0" applyFont="1" applyBorder="1" applyAlignment="1">
      <alignment vertical="top"/>
    </xf>
    <xf numFmtId="49" fontId="1006" fillId="0" borderId="1006" xfId="0" applyNumberFormat="1" applyFont="1" applyBorder="1" applyAlignment="1">
      <alignment vertical="top"/>
    </xf>
    <xf numFmtId="0" fontId="1007" fillId="0" borderId="1007" xfId="0" applyFont="1" applyBorder="1" applyAlignment="1">
      <alignment vertical="top"/>
    </xf>
    <xf numFmtId="0" fontId="1008" fillId="0" borderId="1008" xfId="0" applyFont="1" applyBorder="1" applyAlignment="1">
      <alignment vertical="top"/>
    </xf>
    <xf numFmtId="49" fontId="1009" fillId="0" borderId="1009" xfId="0" applyNumberFormat="1" applyFont="1" applyBorder="1" applyAlignment="1">
      <alignment vertical="top"/>
    </xf>
    <xf numFmtId="0" fontId="1010" fillId="0" borderId="1010" xfId="0" applyFont="1" applyBorder="1" applyAlignment="1">
      <alignment vertical="top"/>
    </xf>
    <xf numFmtId="0" fontId="1011" fillId="0" borderId="1011" xfId="0" applyFont="1" applyBorder="1" applyAlignment="1">
      <alignment vertical="top"/>
    </xf>
    <xf numFmtId="49" fontId="1012" fillId="0" borderId="1012" xfId="0" applyNumberFormat="1" applyFont="1" applyBorder="1" applyAlignment="1">
      <alignment vertical="top"/>
    </xf>
    <xf numFmtId="0" fontId="1013" fillId="0" borderId="1013" xfId="0" applyFont="1" applyBorder="1" applyAlignment="1">
      <alignment vertical="top"/>
    </xf>
    <xf numFmtId="0" fontId="1014" fillId="0" borderId="1014" xfId="0" applyFont="1" applyBorder="1" applyAlignment="1">
      <alignment vertical="top"/>
    </xf>
    <xf numFmtId="49" fontId="1015" fillId="0" borderId="1015" xfId="0" applyNumberFormat="1" applyFont="1" applyBorder="1" applyAlignment="1">
      <alignment vertical="top"/>
    </xf>
    <xf numFmtId="0" fontId="1016" fillId="0" borderId="1016" xfId="0" applyFont="1" applyBorder="1" applyAlignment="1">
      <alignment vertical="top"/>
    </xf>
    <xf numFmtId="0" fontId="1017" fillId="0" borderId="1017" xfId="0" applyFont="1" applyBorder="1" applyAlignment="1">
      <alignment vertical="top"/>
    </xf>
    <xf numFmtId="49" fontId="1018" fillId="0" borderId="1018" xfId="0" applyNumberFormat="1" applyFont="1" applyBorder="1" applyAlignment="1">
      <alignment vertical="top"/>
    </xf>
    <xf numFmtId="0" fontId="1019" fillId="0" borderId="1019" xfId="0" applyFont="1" applyBorder="1" applyAlignment="1">
      <alignment vertical="top"/>
    </xf>
    <xf numFmtId="0" fontId="1020" fillId="0" borderId="1020" xfId="0" applyFont="1" applyBorder="1" applyAlignment="1">
      <alignment vertical="top"/>
    </xf>
    <xf numFmtId="49" fontId="1021" fillId="0" borderId="1021" xfId="0" applyNumberFormat="1" applyFont="1" applyBorder="1" applyAlignment="1">
      <alignment vertical="top"/>
    </xf>
    <xf numFmtId="0" fontId="1022" fillId="0" borderId="1022" xfId="0" applyFont="1" applyBorder="1" applyAlignment="1">
      <alignment vertical="top"/>
    </xf>
    <xf numFmtId="0" fontId="1023" fillId="0" borderId="1023" xfId="0" applyFont="1" applyBorder="1" applyAlignment="1">
      <alignment vertical="top"/>
    </xf>
    <xf numFmtId="49" fontId="1024" fillId="0" borderId="1024" xfId="0" applyNumberFormat="1" applyFont="1" applyBorder="1" applyAlignment="1">
      <alignment vertical="top"/>
    </xf>
    <xf numFmtId="0" fontId="1025" fillId="0" borderId="1025" xfId="0" applyFont="1" applyBorder="1" applyAlignment="1">
      <alignment vertical="top"/>
    </xf>
    <xf numFmtId="0" fontId="1026" fillId="0" borderId="1026" xfId="0" applyFont="1" applyBorder="1" applyAlignment="1">
      <alignment vertical="top"/>
    </xf>
    <xf numFmtId="49" fontId="1027" fillId="0" borderId="1027" xfId="0" applyNumberFormat="1" applyFont="1" applyBorder="1" applyAlignment="1">
      <alignment vertical="top"/>
    </xf>
    <xf numFmtId="0" fontId="1028" fillId="0" borderId="1028" xfId="0" applyFont="1" applyBorder="1" applyAlignment="1">
      <alignment vertical="top"/>
    </xf>
    <xf numFmtId="0" fontId="1029" fillId="0" borderId="1029" xfId="0" applyFont="1" applyBorder="1" applyAlignment="1">
      <alignment vertical="top"/>
    </xf>
    <xf numFmtId="49" fontId="1030" fillId="0" borderId="1030" xfId="0" applyNumberFormat="1" applyFont="1" applyBorder="1" applyAlignment="1">
      <alignment vertical="top"/>
    </xf>
    <xf numFmtId="0" fontId="1031" fillId="0" borderId="1031" xfId="0" applyFont="1" applyBorder="1" applyAlignment="1">
      <alignment vertical="top"/>
    </xf>
    <xf numFmtId="0" fontId="1032" fillId="0" borderId="1032" xfId="0" applyFont="1" applyBorder="1" applyAlignment="1">
      <alignment vertical="top"/>
    </xf>
    <xf numFmtId="49" fontId="1033" fillId="0" borderId="1033" xfId="0" applyNumberFormat="1" applyFont="1" applyBorder="1" applyAlignment="1">
      <alignment vertical="top"/>
    </xf>
    <xf numFmtId="0" fontId="1034" fillId="0" borderId="1034" xfId="0" applyFont="1" applyBorder="1" applyAlignment="1">
      <alignment vertical="top"/>
    </xf>
    <xf numFmtId="0" fontId="1035" fillId="0" borderId="1035" xfId="0" applyFont="1" applyBorder="1" applyAlignment="1">
      <alignment vertical="top"/>
    </xf>
    <xf numFmtId="49" fontId="1036" fillId="0" borderId="1036" xfId="0" applyNumberFormat="1" applyFont="1" applyBorder="1" applyAlignment="1">
      <alignment vertical="top"/>
    </xf>
    <xf numFmtId="0" fontId="1037" fillId="0" borderId="1037" xfId="0" applyFont="1" applyBorder="1" applyAlignment="1">
      <alignment vertical="top"/>
    </xf>
    <xf numFmtId="0" fontId="1038" fillId="0" borderId="1038" xfId="0" applyFont="1" applyBorder="1" applyAlignment="1">
      <alignment vertical="top"/>
    </xf>
    <xf numFmtId="49" fontId="1039" fillId="0" borderId="1039" xfId="0" applyNumberFormat="1" applyFont="1" applyBorder="1" applyAlignment="1">
      <alignment vertical="top"/>
    </xf>
    <xf numFmtId="0" fontId="1040" fillId="0" borderId="1040" xfId="0" applyFont="1" applyBorder="1" applyAlignment="1">
      <alignment vertical="top"/>
    </xf>
    <xf numFmtId="0" fontId="1041" fillId="0" borderId="1041" xfId="0" applyFont="1" applyBorder="1" applyAlignment="1">
      <alignment vertical="top"/>
    </xf>
    <xf numFmtId="49" fontId="1042" fillId="0" borderId="1042" xfId="0" applyNumberFormat="1" applyFont="1" applyBorder="1" applyAlignment="1">
      <alignment vertical="top"/>
    </xf>
    <xf numFmtId="0" fontId="1043" fillId="0" borderId="1043" xfId="0" applyFont="1" applyBorder="1" applyAlignment="1">
      <alignment vertical="top"/>
    </xf>
    <xf numFmtId="0" fontId="1044" fillId="0" borderId="1044" xfId="0" applyFont="1" applyBorder="1" applyAlignment="1">
      <alignment vertical="top"/>
    </xf>
    <xf numFmtId="49" fontId="1045" fillId="0" borderId="1045" xfId="0" applyNumberFormat="1" applyFont="1" applyBorder="1" applyAlignment="1">
      <alignment vertical="top"/>
    </xf>
    <xf numFmtId="0" fontId="1046" fillId="0" borderId="1046" xfId="0" applyFont="1" applyBorder="1" applyAlignment="1">
      <alignment vertical="top"/>
    </xf>
    <xf numFmtId="0" fontId="1047" fillId="0" borderId="1047" xfId="0" applyFont="1" applyBorder="1" applyAlignment="1">
      <alignment vertical="top"/>
    </xf>
    <xf numFmtId="49" fontId="1048" fillId="0" borderId="1048" xfId="0" applyNumberFormat="1" applyFont="1" applyBorder="1" applyAlignment="1">
      <alignment vertical="top"/>
    </xf>
    <xf numFmtId="0" fontId="1049" fillId="0" borderId="1049" xfId="0" applyFont="1" applyBorder="1" applyAlignment="1">
      <alignment vertical="top"/>
    </xf>
    <xf numFmtId="0" fontId="1050" fillId="0" borderId="1050" xfId="0" applyFont="1" applyBorder="1" applyAlignment="1">
      <alignment vertical="top"/>
    </xf>
    <xf numFmtId="49" fontId="1051" fillId="0" borderId="1051" xfId="0" applyNumberFormat="1" applyFont="1" applyBorder="1" applyAlignment="1">
      <alignment vertical="top"/>
    </xf>
    <xf numFmtId="0" fontId="1052" fillId="0" borderId="1052" xfId="0" applyFont="1" applyBorder="1" applyAlignment="1">
      <alignment vertical="top"/>
    </xf>
    <xf numFmtId="0" fontId="1053" fillId="0" borderId="1053" xfId="0" applyFont="1" applyBorder="1" applyAlignment="1">
      <alignment vertical="top"/>
    </xf>
    <xf numFmtId="49" fontId="1054" fillId="0" borderId="1054" xfId="0" applyNumberFormat="1" applyFont="1" applyBorder="1" applyAlignment="1">
      <alignment vertical="top"/>
    </xf>
    <xf numFmtId="0" fontId="1055" fillId="0" borderId="1055" xfId="0" applyFont="1" applyBorder="1" applyAlignment="1">
      <alignment vertical="top"/>
    </xf>
    <xf numFmtId="0" fontId="1056" fillId="0" borderId="1056" xfId="0" applyFont="1" applyBorder="1" applyAlignment="1">
      <alignment vertical="top"/>
    </xf>
    <xf numFmtId="49" fontId="1057" fillId="0" borderId="1057" xfId="0" applyNumberFormat="1" applyFont="1" applyBorder="1" applyAlignment="1">
      <alignment vertical="top"/>
    </xf>
    <xf numFmtId="0" fontId="1058" fillId="0" borderId="1058" xfId="0" applyFont="1" applyBorder="1" applyAlignment="1">
      <alignment vertical="top"/>
    </xf>
    <xf numFmtId="0" fontId="1059" fillId="0" borderId="1059" xfId="0" applyFont="1" applyBorder="1" applyAlignment="1">
      <alignment vertical="top"/>
    </xf>
    <xf numFmtId="49" fontId="1060" fillId="0" borderId="1060" xfId="0" applyNumberFormat="1" applyFont="1" applyBorder="1" applyAlignment="1">
      <alignment vertical="top"/>
    </xf>
    <xf numFmtId="0" fontId="1061" fillId="0" borderId="1061" xfId="0" applyFont="1" applyBorder="1" applyAlignment="1">
      <alignment vertical="top"/>
    </xf>
    <xf numFmtId="0" fontId="1062" fillId="0" borderId="1062" xfId="0" applyFont="1" applyBorder="1" applyAlignment="1">
      <alignment vertical="top"/>
    </xf>
    <xf numFmtId="49" fontId="1063" fillId="0" borderId="1063" xfId="0" applyNumberFormat="1" applyFont="1" applyBorder="1" applyAlignment="1">
      <alignment vertical="top"/>
    </xf>
    <xf numFmtId="0" fontId="1064" fillId="0" borderId="1064" xfId="0" applyFont="1" applyBorder="1" applyAlignment="1">
      <alignment vertical="top"/>
    </xf>
    <xf numFmtId="0" fontId="1065" fillId="0" borderId="1065" xfId="0" applyFont="1" applyBorder="1" applyAlignment="1">
      <alignment vertical="top"/>
    </xf>
    <xf numFmtId="49" fontId="1066" fillId="0" borderId="1066" xfId="0" applyNumberFormat="1" applyFont="1" applyBorder="1" applyAlignment="1">
      <alignment vertical="top"/>
    </xf>
    <xf numFmtId="0" fontId="1067" fillId="0" borderId="1067" xfId="0" applyFont="1" applyBorder="1" applyAlignment="1">
      <alignment vertical="top"/>
    </xf>
    <xf numFmtId="0" fontId="1068" fillId="0" borderId="1068" xfId="0" applyFont="1" applyBorder="1" applyAlignment="1">
      <alignment vertical="top"/>
    </xf>
    <xf numFmtId="49" fontId="1069" fillId="0" borderId="1069" xfId="0" applyNumberFormat="1" applyFont="1" applyBorder="1" applyAlignment="1">
      <alignment vertical="top"/>
    </xf>
    <xf numFmtId="0" fontId="1070" fillId="0" borderId="1070" xfId="0" applyFont="1" applyBorder="1" applyAlignment="1">
      <alignment vertical="top"/>
    </xf>
    <xf numFmtId="0" fontId="1071" fillId="0" borderId="1071" xfId="0" applyFont="1" applyBorder="1" applyAlignment="1">
      <alignment vertical="top"/>
    </xf>
    <xf numFmtId="49" fontId="1072" fillId="0" borderId="1072" xfId="0" applyNumberFormat="1" applyFont="1" applyBorder="1" applyAlignment="1">
      <alignment vertical="top"/>
    </xf>
    <xf numFmtId="0" fontId="1073" fillId="0" borderId="1073" xfId="0" applyFont="1" applyBorder="1" applyAlignment="1">
      <alignment vertical="top"/>
    </xf>
    <xf numFmtId="0" fontId="1074" fillId="0" borderId="1074" xfId="0" applyFont="1" applyBorder="1" applyAlignment="1">
      <alignment vertical="top"/>
    </xf>
    <xf numFmtId="49" fontId="1075" fillId="0" borderId="1075" xfId="0" applyNumberFormat="1" applyFont="1" applyBorder="1" applyAlignment="1">
      <alignment vertical="top"/>
    </xf>
    <xf numFmtId="0" fontId="1076" fillId="0" borderId="1076" xfId="0" applyFont="1" applyBorder="1" applyAlignment="1">
      <alignment vertical="top"/>
    </xf>
    <xf numFmtId="0" fontId="1077" fillId="0" borderId="1077" xfId="0" applyFont="1" applyBorder="1" applyAlignment="1">
      <alignment vertical="top"/>
    </xf>
    <xf numFmtId="49" fontId="1078" fillId="0" borderId="1078" xfId="0" applyNumberFormat="1" applyFont="1" applyBorder="1" applyAlignment="1">
      <alignment vertical="top"/>
    </xf>
    <xf numFmtId="0" fontId="1079" fillId="0" borderId="1079" xfId="0" applyFont="1" applyBorder="1" applyAlignment="1">
      <alignment vertical="top"/>
    </xf>
    <xf numFmtId="0" fontId="1080" fillId="0" borderId="1080" xfId="0" applyFont="1" applyBorder="1" applyAlignment="1">
      <alignment vertical="top"/>
    </xf>
    <xf numFmtId="49" fontId="1081" fillId="0" borderId="1081" xfId="0" applyNumberFormat="1" applyFont="1" applyBorder="1" applyAlignment="1">
      <alignment vertical="top"/>
    </xf>
    <xf numFmtId="0" fontId="1082" fillId="0" borderId="1082" xfId="0" applyFont="1" applyBorder="1" applyAlignment="1">
      <alignment vertical="top"/>
    </xf>
    <xf numFmtId="0" fontId="1083" fillId="0" borderId="1083" xfId="0" applyFont="1" applyBorder="1" applyAlignment="1">
      <alignment vertical="top"/>
    </xf>
    <xf numFmtId="49" fontId="1084" fillId="0" borderId="1084" xfId="0" applyNumberFormat="1" applyFont="1" applyBorder="1" applyAlignment="1">
      <alignment vertical="top"/>
    </xf>
    <xf numFmtId="0" fontId="1085" fillId="0" borderId="1085" xfId="0" applyFont="1" applyBorder="1" applyAlignment="1">
      <alignment vertical="top"/>
    </xf>
    <xf numFmtId="0" fontId="1086" fillId="0" borderId="1086" xfId="0" applyFont="1" applyBorder="1" applyAlignment="1">
      <alignment vertical="top"/>
    </xf>
    <xf numFmtId="49" fontId="1087" fillId="0" borderId="1087" xfId="0" applyNumberFormat="1" applyFont="1" applyBorder="1" applyAlignment="1">
      <alignment vertical="top"/>
    </xf>
    <xf numFmtId="0" fontId="1088" fillId="0" borderId="1088" xfId="0" applyFont="1" applyBorder="1" applyAlignment="1">
      <alignment vertical="top"/>
    </xf>
    <xf numFmtId="0" fontId="1089" fillId="0" borderId="1089" xfId="0" applyFont="1" applyBorder="1" applyAlignment="1">
      <alignment vertical="top"/>
    </xf>
    <xf numFmtId="49" fontId="1090" fillId="0" borderId="1090" xfId="0" applyNumberFormat="1" applyFont="1" applyBorder="1" applyAlignment="1">
      <alignment vertical="top"/>
    </xf>
    <xf numFmtId="0" fontId="1091" fillId="0" borderId="1091" xfId="0" applyFont="1" applyBorder="1" applyAlignment="1">
      <alignment vertical="top"/>
    </xf>
    <xf numFmtId="0" fontId="1092" fillId="0" borderId="1092" xfId="0" applyFont="1" applyBorder="1" applyAlignment="1">
      <alignment vertical="top"/>
    </xf>
    <xf numFmtId="49" fontId="1093" fillId="0" borderId="1093" xfId="0" applyNumberFormat="1" applyFont="1" applyBorder="1" applyAlignment="1">
      <alignment vertical="top"/>
    </xf>
    <xf numFmtId="0" fontId="1094" fillId="0" borderId="1094" xfId="0" applyFont="1" applyBorder="1" applyAlignment="1">
      <alignment vertical="top"/>
    </xf>
    <xf numFmtId="0" fontId="1095" fillId="0" borderId="1095" xfId="0" applyFont="1" applyBorder="1" applyAlignment="1">
      <alignment vertical="top"/>
    </xf>
    <xf numFmtId="49" fontId="1096" fillId="0" borderId="1096" xfId="0" applyNumberFormat="1" applyFont="1" applyBorder="1" applyAlignment="1">
      <alignment vertical="top"/>
    </xf>
    <xf numFmtId="0" fontId="1097" fillId="0" borderId="1097" xfId="0" applyFont="1" applyBorder="1" applyAlignment="1">
      <alignment vertical="top"/>
    </xf>
    <xf numFmtId="0" fontId="1098" fillId="0" borderId="1098" xfId="0" applyFont="1" applyBorder="1" applyAlignment="1">
      <alignment vertical="top"/>
    </xf>
    <xf numFmtId="49" fontId="1099" fillId="0" borderId="1099" xfId="0" applyNumberFormat="1" applyFont="1" applyBorder="1" applyAlignment="1">
      <alignment vertical="top"/>
    </xf>
    <xf numFmtId="0" fontId="1100" fillId="0" borderId="1100" xfId="0" applyFont="1" applyBorder="1" applyAlignment="1">
      <alignment vertical="top"/>
    </xf>
    <xf numFmtId="0" fontId="1101" fillId="0" borderId="1101" xfId="0" applyFont="1" applyBorder="1" applyAlignment="1">
      <alignment vertical="top"/>
    </xf>
    <xf numFmtId="49" fontId="1102" fillId="0" borderId="1102" xfId="0" applyNumberFormat="1" applyFont="1" applyBorder="1" applyAlignment="1">
      <alignment vertical="top"/>
    </xf>
    <xf numFmtId="0" fontId="1103" fillId="0" borderId="1103" xfId="0" applyFont="1" applyBorder="1" applyAlignment="1">
      <alignment vertical="top"/>
    </xf>
    <xf numFmtId="0" fontId="1104" fillId="0" borderId="1104" xfId="0" applyFont="1" applyBorder="1" applyAlignment="1">
      <alignment vertical="top"/>
    </xf>
    <xf numFmtId="49" fontId="1105" fillId="0" borderId="1105" xfId="0" applyNumberFormat="1" applyFont="1" applyBorder="1" applyAlignment="1">
      <alignment vertical="top"/>
    </xf>
    <xf numFmtId="0" fontId="1106" fillId="0" borderId="1106" xfId="0" applyFont="1" applyBorder="1" applyAlignment="1">
      <alignment vertical="top"/>
    </xf>
    <xf numFmtId="0" fontId="1107" fillId="0" borderId="1107" xfId="0" applyFont="1" applyBorder="1" applyAlignment="1">
      <alignment vertical="top"/>
    </xf>
    <xf numFmtId="49" fontId="1108" fillId="0" borderId="1108" xfId="0" applyNumberFormat="1" applyFont="1" applyBorder="1" applyAlignment="1">
      <alignment vertical="top"/>
    </xf>
    <xf numFmtId="0" fontId="1109" fillId="0" borderId="1109" xfId="0" applyFont="1" applyBorder="1" applyAlignment="1">
      <alignment vertical="top"/>
    </xf>
    <xf numFmtId="0" fontId="1110" fillId="0" borderId="1110" xfId="0" applyFont="1" applyBorder="1" applyAlignment="1">
      <alignment vertical="top"/>
    </xf>
    <xf numFmtId="49" fontId="1111" fillId="0" borderId="1111" xfId="0" applyNumberFormat="1" applyFont="1" applyBorder="1" applyAlignment="1">
      <alignment vertical="top"/>
    </xf>
    <xf numFmtId="0" fontId="1112" fillId="0" borderId="1112" xfId="0" applyFont="1" applyBorder="1" applyAlignment="1">
      <alignment vertical="top"/>
    </xf>
    <xf numFmtId="0" fontId="1113" fillId="0" borderId="1113" xfId="0" applyFont="1" applyBorder="1" applyAlignment="1">
      <alignment vertical="top"/>
    </xf>
    <xf numFmtId="49" fontId="1114" fillId="0" borderId="1114" xfId="0" applyNumberFormat="1" applyFont="1" applyBorder="1" applyAlignment="1">
      <alignment vertical="top"/>
    </xf>
    <xf numFmtId="0" fontId="1115" fillId="0" borderId="1115" xfId="0" applyFont="1" applyBorder="1" applyAlignment="1">
      <alignment vertical="top"/>
    </xf>
    <xf numFmtId="0" fontId="1116" fillId="0" borderId="1116" xfId="0" applyFont="1" applyBorder="1" applyAlignment="1">
      <alignment vertical="top"/>
    </xf>
    <xf numFmtId="49" fontId="1117" fillId="0" borderId="1117" xfId="0" applyNumberFormat="1" applyFont="1" applyBorder="1" applyAlignment="1">
      <alignment vertical="top"/>
    </xf>
    <xf numFmtId="0" fontId="1118" fillId="0" borderId="1118" xfId="0" applyFont="1" applyBorder="1" applyAlignment="1">
      <alignment vertical="top"/>
    </xf>
    <xf numFmtId="0" fontId="1119" fillId="0" borderId="1119" xfId="0" applyFont="1" applyBorder="1" applyAlignment="1">
      <alignment vertical="top"/>
    </xf>
    <xf numFmtId="49" fontId="1120" fillId="0" borderId="1120" xfId="0" applyNumberFormat="1" applyFont="1" applyBorder="1" applyAlignment="1">
      <alignment vertical="top"/>
    </xf>
    <xf numFmtId="0" fontId="1121" fillId="0" borderId="1121" xfId="0" applyFont="1" applyBorder="1" applyAlignment="1">
      <alignment vertical="top"/>
    </xf>
    <xf numFmtId="0" fontId="1122" fillId="0" borderId="1122" xfId="0" applyFont="1" applyBorder="1" applyAlignment="1">
      <alignment vertical="top"/>
    </xf>
    <xf numFmtId="49" fontId="1123" fillId="0" borderId="1123" xfId="0" applyNumberFormat="1" applyFont="1" applyBorder="1" applyAlignment="1">
      <alignment vertical="top"/>
    </xf>
    <xf numFmtId="0" fontId="1124" fillId="0" borderId="1124" xfId="0" applyFont="1" applyBorder="1" applyAlignment="1">
      <alignment vertical="top"/>
    </xf>
    <xf numFmtId="0" fontId="1125" fillId="0" borderId="1125" xfId="0" applyFont="1" applyBorder="1" applyAlignment="1">
      <alignment vertical="top"/>
    </xf>
    <xf numFmtId="49" fontId="1126" fillId="0" borderId="1126" xfId="0" applyNumberFormat="1" applyFont="1" applyBorder="1" applyAlignment="1">
      <alignment vertical="top"/>
    </xf>
    <xf numFmtId="0" fontId="1127" fillId="0" borderId="1127" xfId="0" applyFont="1" applyBorder="1" applyAlignment="1">
      <alignment vertical="top"/>
    </xf>
    <xf numFmtId="0" fontId="1128" fillId="0" borderId="1128" xfId="0" applyFont="1" applyBorder="1" applyAlignment="1">
      <alignment vertical="top"/>
    </xf>
    <xf numFmtId="49" fontId="1129" fillId="0" borderId="1129" xfId="0" applyNumberFormat="1" applyFont="1" applyBorder="1" applyAlignment="1">
      <alignment vertical="top"/>
    </xf>
    <xf numFmtId="0" fontId="1130" fillId="0" borderId="1130" xfId="0" applyFont="1" applyBorder="1" applyAlignment="1">
      <alignment vertical="top"/>
    </xf>
    <xf numFmtId="0" fontId="1131" fillId="0" borderId="1131" xfId="0" applyFont="1" applyBorder="1" applyAlignment="1">
      <alignment vertical="top"/>
    </xf>
    <xf numFmtId="49" fontId="1132" fillId="0" borderId="1132" xfId="0" applyNumberFormat="1" applyFont="1" applyBorder="1" applyAlignment="1">
      <alignment vertical="top"/>
    </xf>
    <xf numFmtId="0" fontId="1133" fillId="0" borderId="1133" xfId="0" applyFont="1" applyBorder="1" applyAlignment="1">
      <alignment vertical="top"/>
    </xf>
    <xf numFmtId="0" fontId="1134" fillId="0" borderId="1134" xfId="0" applyFont="1" applyBorder="1" applyAlignment="1">
      <alignment vertical="top"/>
    </xf>
    <xf numFmtId="49" fontId="1135" fillId="0" borderId="1135" xfId="0" applyNumberFormat="1" applyFont="1" applyBorder="1" applyAlignment="1">
      <alignment vertical="top"/>
    </xf>
    <xf numFmtId="0" fontId="1136" fillId="0" borderId="1136" xfId="0" applyFont="1" applyBorder="1" applyAlignment="1">
      <alignment vertical="top"/>
    </xf>
    <xf numFmtId="0" fontId="1137" fillId="0" borderId="1137" xfId="0" applyFont="1" applyBorder="1" applyAlignment="1">
      <alignment vertical="top"/>
    </xf>
    <xf numFmtId="49" fontId="1138" fillId="0" borderId="1138" xfId="0" applyNumberFormat="1" applyFont="1" applyBorder="1" applyAlignment="1">
      <alignment vertical="top"/>
    </xf>
    <xf numFmtId="0" fontId="1139" fillId="0" borderId="1139" xfId="0" applyFont="1" applyBorder="1" applyAlignment="1">
      <alignment vertical="top"/>
    </xf>
    <xf numFmtId="0" fontId="1140" fillId="0" borderId="1140" xfId="0" applyFont="1" applyBorder="1" applyAlignment="1">
      <alignment vertical="top"/>
    </xf>
    <xf numFmtId="49" fontId="1141" fillId="0" borderId="1141" xfId="0" applyNumberFormat="1" applyFont="1" applyBorder="1" applyAlignment="1">
      <alignment vertical="top"/>
    </xf>
    <xf numFmtId="0" fontId="1142" fillId="0" borderId="1142" xfId="0" applyFont="1" applyBorder="1" applyAlignment="1">
      <alignment vertical="top"/>
    </xf>
    <xf numFmtId="0" fontId="1143" fillId="0" borderId="1143" xfId="0" applyFont="1" applyBorder="1" applyAlignment="1">
      <alignment vertical="top"/>
    </xf>
    <xf numFmtId="49" fontId="1144" fillId="0" borderId="1144" xfId="0" applyNumberFormat="1" applyFont="1" applyBorder="1" applyAlignment="1">
      <alignment vertical="top"/>
    </xf>
    <xf numFmtId="0" fontId="1145" fillId="0" borderId="1145" xfId="0" applyFont="1" applyBorder="1" applyAlignment="1">
      <alignment vertical="top"/>
    </xf>
    <xf numFmtId="0" fontId="1146" fillId="0" borderId="1146" xfId="0" applyFont="1" applyBorder="1" applyAlignment="1">
      <alignment vertical="top"/>
    </xf>
    <xf numFmtId="49" fontId="1147" fillId="0" borderId="1147" xfId="0" applyNumberFormat="1" applyFont="1" applyBorder="1" applyAlignment="1">
      <alignment vertical="top"/>
    </xf>
    <xf numFmtId="0" fontId="1148" fillId="0" borderId="1148" xfId="0" applyFont="1" applyBorder="1" applyAlignment="1">
      <alignment vertical="top"/>
    </xf>
    <xf numFmtId="0" fontId="1149" fillId="0" borderId="1149" xfId="0" applyFont="1" applyBorder="1" applyAlignment="1">
      <alignment vertical="top"/>
    </xf>
    <xf numFmtId="49" fontId="1150" fillId="0" borderId="1150" xfId="0" applyNumberFormat="1" applyFont="1" applyBorder="1" applyAlignment="1">
      <alignment vertical="top"/>
    </xf>
    <xf numFmtId="0" fontId="1151" fillId="0" borderId="1151" xfId="0" applyFont="1" applyBorder="1" applyAlignment="1">
      <alignment vertical="top"/>
    </xf>
    <xf numFmtId="0" fontId="1152" fillId="0" borderId="1152" xfId="0" applyFont="1" applyBorder="1" applyAlignment="1">
      <alignment vertical="top"/>
    </xf>
    <xf numFmtId="49" fontId="1153" fillId="0" borderId="1153" xfId="0" applyNumberFormat="1" applyFont="1" applyBorder="1" applyAlignment="1">
      <alignment vertical="top"/>
    </xf>
    <xf numFmtId="0" fontId="1154" fillId="0" borderId="1154" xfId="0" applyFont="1" applyBorder="1" applyAlignment="1">
      <alignment vertical="top"/>
    </xf>
    <xf numFmtId="0" fontId="1155" fillId="0" borderId="1155" xfId="0" applyFont="1" applyBorder="1" applyAlignment="1">
      <alignment vertical="top"/>
    </xf>
    <xf numFmtId="49" fontId="1156" fillId="0" borderId="1156" xfId="0" applyNumberFormat="1" applyFont="1" applyBorder="1" applyAlignment="1">
      <alignment vertical="top"/>
    </xf>
    <xf numFmtId="0" fontId="1157" fillId="0" borderId="1157" xfId="0" applyFont="1" applyBorder="1" applyAlignment="1">
      <alignment vertical="top"/>
    </xf>
    <xf numFmtId="0" fontId="1158" fillId="0" borderId="1158" xfId="0" applyFont="1" applyBorder="1" applyAlignment="1">
      <alignment vertical="top"/>
    </xf>
    <xf numFmtId="49" fontId="1159" fillId="0" borderId="1159" xfId="0" applyNumberFormat="1" applyFont="1" applyBorder="1" applyAlignment="1">
      <alignment vertical="top"/>
    </xf>
    <xf numFmtId="0" fontId="1160" fillId="0" borderId="1160" xfId="0" applyFont="1" applyBorder="1" applyAlignment="1">
      <alignment vertical="top"/>
    </xf>
    <xf numFmtId="0" fontId="1161" fillId="0" borderId="1161" xfId="0" applyFont="1" applyBorder="1" applyAlignment="1">
      <alignment vertical="top"/>
    </xf>
    <xf numFmtId="49" fontId="1162" fillId="0" borderId="1162" xfId="0" applyNumberFormat="1" applyFont="1" applyBorder="1" applyAlignment="1">
      <alignment vertical="top"/>
    </xf>
    <xf numFmtId="0" fontId="1163" fillId="0" borderId="1163" xfId="0" applyFont="1" applyBorder="1" applyAlignment="1">
      <alignment vertical="top"/>
    </xf>
    <xf numFmtId="0" fontId="1164" fillId="0" borderId="1164" xfId="0" applyFont="1" applyBorder="1" applyAlignment="1">
      <alignment vertical="top"/>
    </xf>
    <xf numFmtId="49" fontId="1165" fillId="0" borderId="1165" xfId="0" applyNumberFormat="1" applyFont="1" applyBorder="1" applyAlignment="1">
      <alignment vertical="top"/>
    </xf>
    <xf numFmtId="0" fontId="1166" fillId="0" borderId="1166" xfId="0" applyFont="1" applyBorder="1" applyAlignment="1">
      <alignment vertical="top"/>
    </xf>
    <xf numFmtId="0" fontId="1167" fillId="0" borderId="1167" xfId="0" applyFont="1" applyBorder="1" applyAlignment="1">
      <alignment vertical="top"/>
    </xf>
    <xf numFmtId="49" fontId="1168" fillId="0" borderId="1168" xfId="0" applyNumberFormat="1" applyFont="1" applyBorder="1" applyAlignment="1">
      <alignment vertical="top"/>
    </xf>
    <xf numFmtId="0" fontId="1169" fillId="0" borderId="1169" xfId="0" applyFont="1" applyBorder="1" applyAlignment="1">
      <alignment vertical="top"/>
    </xf>
    <xf numFmtId="0" fontId="1170" fillId="0" borderId="1170" xfId="0" applyFont="1" applyBorder="1" applyAlignment="1">
      <alignment vertical="top"/>
    </xf>
    <xf numFmtId="49" fontId="1171" fillId="0" borderId="1171" xfId="0" applyNumberFormat="1" applyFont="1" applyBorder="1" applyAlignment="1">
      <alignment vertical="top"/>
    </xf>
    <xf numFmtId="0" fontId="1172" fillId="0" borderId="1172" xfId="0" applyFont="1" applyBorder="1" applyAlignment="1">
      <alignment vertical="top"/>
    </xf>
    <xf numFmtId="0" fontId="1173" fillId="0" borderId="1173" xfId="0" applyFont="1" applyBorder="1" applyAlignment="1">
      <alignment vertical="top"/>
    </xf>
    <xf numFmtId="49" fontId="1174" fillId="0" borderId="1174" xfId="0" applyNumberFormat="1" applyFont="1" applyBorder="1" applyAlignment="1">
      <alignment vertical="top"/>
    </xf>
    <xf numFmtId="0" fontId="1175" fillId="0" borderId="1175" xfId="0" applyFont="1" applyBorder="1" applyAlignment="1">
      <alignment vertical="top"/>
    </xf>
    <xf numFmtId="0" fontId="1176" fillId="0" borderId="1176" xfId="0" applyFont="1" applyBorder="1" applyAlignment="1">
      <alignment vertical="top"/>
    </xf>
    <xf numFmtId="49" fontId="1177" fillId="0" borderId="1177" xfId="0" applyNumberFormat="1" applyFont="1" applyBorder="1" applyAlignment="1">
      <alignment vertical="top"/>
    </xf>
    <xf numFmtId="0" fontId="1178" fillId="0" borderId="1178" xfId="0" applyFont="1" applyBorder="1" applyAlignment="1">
      <alignment vertical="top"/>
    </xf>
    <xf numFmtId="0" fontId="1179" fillId="0" borderId="1179" xfId="0" applyFont="1" applyBorder="1" applyAlignment="1">
      <alignment vertical="top"/>
    </xf>
    <xf numFmtId="49" fontId="1180" fillId="0" borderId="1180" xfId="0" applyNumberFormat="1" applyFont="1" applyBorder="1" applyAlignment="1">
      <alignment vertical="top"/>
    </xf>
    <xf numFmtId="0" fontId="1181" fillId="0" borderId="1181" xfId="0" applyFont="1" applyBorder="1" applyAlignment="1">
      <alignment vertical="top"/>
    </xf>
    <xf numFmtId="0" fontId="1182" fillId="0" borderId="1182" xfId="0" applyFont="1" applyBorder="1" applyAlignment="1">
      <alignment vertical="top"/>
    </xf>
    <xf numFmtId="49" fontId="1183" fillId="0" borderId="1183" xfId="0" applyNumberFormat="1" applyFont="1" applyBorder="1" applyAlignment="1">
      <alignment vertical="top"/>
    </xf>
    <xf numFmtId="0" fontId="1184" fillId="0" borderId="1184" xfId="0" applyFont="1" applyBorder="1" applyAlignment="1">
      <alignment vertical="top"/>
    </xf>
    <xf numFmtId="0" fontId="1185" fillId="0" borderId="1185" xfId="0" applyFont="1" applyBorder="1" applyAlignment="1">
      <alignment vertical="top"/>
    </xf>
    <xf numFmtId="49" fontId="1186" fillId="0" borderId="1186" xfId="0" applyNumberFormat="1" applyFont="1" applyBorder="1" applyAlignment="1">
      <alignment vertical="top"/>
    </xf>
    <xf numFmtId="0" fontId="1187" fillId="0" borderId="1187" xfId="0" applyFont="1" applyBorder="1" applyAlignment="1">
      <alignment vertical="top"/>
    </xf>
    <xf numFmtId="0" fontId="1188" fillId="0" borderId="1188" xfId="0" applyFont="1" applyBorder="1" applyAlignment="1">
      <alignment vertical="top"/>
    </xf>
    <xf numFmtId="49" fontId="1189" fillId="0" borderId="1189" xfId="0" applyNumberFormat="1" applyFont="1" applyBorder="1" applyAlignment="1">
      <alignment vertical="top"/>
    </xf>
    <xf numFmtId="0" fontId="1190" fillId="0" borderId="1190" xfId="0" applyFont="1" applyBorder="1" applyAlignment="1">
      <alignment vertical="top"/>
    </xf>
    <xf numFmtId="0" fontId="1191" fillId="0" borderId="1191" xfId="0" applyFont="1" applyBorder="1" applyAlignment="1">
      <alignment vertical="top"/>
    </xf>
    <xf numFmtId="49" fontId="1192" fillId="0" borderId="1192" xfId="0" applyNumberFormat="1" applyFont="1" applyBorder="1" applyAlignment="1">
      <alignment vertical="top"/>
    </xf>
    <xf numFmtId="0" fontId="1193" fillId="0" borderId="1193" xfId="0" applyFont="1" applyBorder="1" applyAlignment="1">
      <alignment vertical="top"/>
    </xf>
    <xf numFmtId="0" fontId="1194" fillId="0" borderId="1194" xfId="0" applyFont="1" applyBorder="1" applyAlignment="1">
      <alignment vertical="top"/>
    </xf>
    <xf numFmtId="49" fontId="1195" fillId="0" borderId="1195" xfId="0" applyNumberFormat="1" applyFont="1" applyBorder="1" applyAlignment="1">
      <alignment vertical="top"/>
    </xf>
    <xf numFmtId="0" fontId="1196" fillId="0" borderId="1196" xfId="0" applyFont="1" applyBorder="1" applyAlignment="1">
      <alignment vertical="top"/>
    </xf>
    <xf numFmtId="0" fontId="1197" fillId="0" borderId="1197" xfId="0" applyFont="1" applyBorder="1" applyAlignment="1">
      <alignment vertical="top"/>
    </xf>
    <xf numFmtId="49" fontId="1198" fillId="0" borderId="1198" xfId="0" applyNumberFormat="1" applyFont="1" applyBorder="1" applyAlignment="1">
      <alignment vertical="top"/>
    </xf>
    <xf numFmtId="0" fontId="1199" fillId="0" borderId="1199" xfId="0" applyFont="1" applyBorder="1" applyAlignment="1">
      <alignment vertical="top"/>
    </xf>
    <xf numFmtId="0" fontId="1200" fillId="0" borderId="1200" xfId="0" applyFont="1" applyBorder="1" applyAlignment="1">
      <alignment vertical="top"/>
    </xf>
    <xf numFmtId="49" fontId="1201" fillId="0" borderId="1201" xfId="0" applyNumberFormat="1" applyFont="1" applyBorder="1" applyAlignment="1">
      <alignment vertical="top"/>
    </xf>
    <xf numFmtId="0" fontId="1202" fillId="0" borderId="1202" xfId="0" applyFont="1" applyBorder="1" applyAlignment="1">
      <alignment vertical="top"/>
    </xf>
    <xf numFmtId="0" fontId="1203" fillId="0" borderId="1203" xfId="0" applyFont="1" applyBorder="1" applyAlignment="1">
      <alignment vertical="top"/>
    </xf>
    <xf numFmtId="49" fontId="1204" fillId="0" borderId="1204" xfId="0" applyNumberFormat="1" applyFont="1" applyBorder="1" applyAlignment="1">
      <alignment vertical="top"/>
    </xf>
    <xf numFmtId="0" fontId="1205" fillId="0" borderId="1205" xfId="0" applyFont="1" applyBorder="1" applyAlignment="1">
      <alignment vertical="top"/>
    </xf>
    <xf numFmtId="0" fontId="1206" fillId="0" borderId="1206" xfId="0" applyFont="1" applyBorder="1" applyAlignment="1">
      <alignment vertical="top"/>
    </xf>
    <xf numFmtId="49" fontId="1207" fillId="0" borderId="1207" xfId="0" applyNumberFormat="1" applyFont="1" applyBorder="1" applyAlignment="1">
      <alignment vertical="top"/>
    </xf>
    <xf numFmtId="0" fontId="1208" fillId="0" borderId="1208" xfId="0" applyFont="1" applyBorder="1" applyAlignment="1">
      <alignment vertical="top"/>
    </xf>
    <xf numFmtId="0" fontId="1209" fillId="0" borderId="1209" xfId="0" applyFont="1" applyBorder="1" applyAlignment="1">
      <alignment vertical="top"/>
    </xf>
    <xf numFmtId="49" fontId="1210" fillId="0" borderId="1210" xfId="0" applyNumberFormat="1" applyFont="1" applyBorder="1" applyAlignment="1">
      <alignment vertical="top"/>
    </xf>
    <xf numFmtId="0" fontId="1211" fillId="0" borderId="1211" xfId="0" applyFont="1" applyBorder="1" applyAlignment="1">
      <alignment vertical="top"/>
    </xf>
    <xf numFmtId="0" fontId="1212" fillId="0" borderId="1212" xfId="0" applyFont="1" applyBorder="1" applyAlignment="1">
      <alignment vertical="top"/>
    </xf>
    <xf numFmtId="49" fontId="1213" fillId="0" borderId="1213" xfId="0" applyNumberFormat="1" applyFont="1" applyBorder="1" applyAlignment="1">
      <alignment vertical="top"/>
    </xf>
    <xf numFmtId="0" fontId="1214" fillId="0" borderId="1214" xfId="0" applyFont="1" applyBorder="1" applyAlignment="1">
      <alignment vertical="top"/>
    </xf>
    <xf numFmtId="0" fontId="1215" fillId="0" borderId="1215" xfId="0" applyFont="1" applyBorder="1" applyAlignment="1">
      <alignment vertical="top"/>
    </xf>
    <xf numFmtId="49" fontId="1216" fillId="0" borderId="1216" xfId="0" applyNumberFormat="1" applyFont="1" applyBorder="1" applyAlignment="1">
      <alignment vertical="top"/>
    </xf>
    <xf numFmtId="0" fontId="1217" fillId="0" borderId="1217" xfId="0" applyFont="1" applyBorder="1" applyAlignment="1">
      <alignment vertical="top"/>
    </xf>
    <xf numFmtId="0" fontId="1218" fillId="0" borderId="1218" xfId="0" applyFont="1" applyBorder="1" applyAlignment="1">
      <alignment vertical="top"/>
    </xf>
    <xf numFmtId="49" fontId="1219" fillId="0" borderId="1219" xfId="0" applyNumberFormat="1" applyFont="1" applyBorder="1" applyAlignment="1">
      <alignment vertical="top"/>
    </xf>
    <xf numFmtId="0" fontId="1220" fillId="0" borderId="1220" xfId="0" applyFont="1" applyBorder="1" applyAlignment="1">
      <alignment vertical="top"/>
    </xf>
    <xf numFmtId="0" fontId="1221" fillId="0" borderId="1221" xfId="0" applyFont="1" applyBorder="1" applyAlignment="1">
      <alignment vertical="top"/>
    </xf>
    <xf numFmtId="49" fontId="1222" fillId="0" borderId="1222" xfId="0" applyNumberFormat="1" applyFont="1" applyBorder="1" applyAlignment="1">
      <alignment vertical="top"/>
    </xf>
    <xf numFmtId="0" fontId="1223" fillId="0" borderId="1223" xfId="0" applyFont="1" applyBorder="1" applyAlignment="1">
      <alignment vertical="top"/>
    </xf>
    <xf numFmtId="0" fontId="1224" fillId="0" borderId="1224" xfId="0" applyFont="1" applyBorder="1" applyAlignment="1">
      <alignment vertical="top"/>
    </xf>
    <xf numFmtId="49" fontId="1225" fillId="0" borderId="1225" xfId="0" applyNumberFormat="1" applyFont="1" applyBorder="1" applyAlignment="1">
      <alignment vertical="top"/>
    </xf>
    <xf numFmtId="0" fontId="1226" fillId="0" borderId="1226" xfId="0" applyFont="1" applyBorder="1" applyAlignment="1">
      <alignment vertical="top"/>
    </xf>
    <xf numFmtId="0" fontId="1227" fillId="0" borderId="1227" xfId="0" applyFont="1" applyBorder="1" applyAlignment="1">
      <alignment vertical="top"/>
    </xf>
    <xf numFmtId="49" fontId="1228" fillId="0" borderId="1228" xfId="0" applyNumberFormat="1" applyFont="1" applyBorder="1" applyAlignment="1">
      <alignment vertical="top"/>
    </xf>
    <xf numFmtId="0" fontId="1229" fillId="0" borderId="1229" xfId="0" applyFont="1" applyBorder="1" applyAlignment="1">
      <alignment vertical="top"/>
    </xf>
    <xf numFmtId="0" fontId="1230" fillId="0" borderId="1230" xfId="0" applyFont="1" applyBorder="1" applyAlignment="1">
      <alignment vertical="top"/>
    </xf>
    <xf numFmtId="49" fontId="1231" fillId="0" borderId="1231" xfId="0" applyNumberFormat="1" applyFont="1" applyBorder="1" applyAlignment="1">
      <alignment vertical="top"/>
    </xf>
    <xf numFmtId="0" fontId="1232" fillId="0" borderId="1232" xfId="0" applyFont="1" applyBorder="1" applyAlignment="1">
      <alignment vertical="top"/>
    </xf>
    <xf numFmtId="0" fontId="1233" fillId="0" borderId="1233" xfId="0" applyFont="1" applyBorder="1" applyAlignment="1">
      <alignment vertical="top"/>
    </xf>
    <xf numFmtId="49" fontId="1234" fillId="0" borderId="1234" xfId="0" applyNumberFormat="1" applyFont="1" applyBorder="1" applyAlignment="1">
      <alignment vertical="top"/>
    </xf>
    <xf numFmtId="0" fontId="1235" fillId="0" borderId="1235" xfId="0" applyFont="1" applyBorder="1" applyAlignment="1">
      <alignment vertical="top"/>
    </xf>
    <xf numFmtId="0" fontId="1236" fillId="0" borderId="1236" xfId="0" applyFont="1" applyBorder="1" applyAlignment="1">
      <alignment vertical="top"/>
    </xf>
    <xf numFmtId="49" fontId="1237" fillId="0" borderId="1237" xfId="0" applyNumberFormat="1" applyFont="1" applyBorder="1" applyAlignment="1">
      <alignment vertical="top"/>
    </xf>
    <xf numFmtId="0" fontId="1238" fillId="0" borderId="1238" xfId="0" applyFont="1" applyBorder="1" applyAlignment="1">
      <alignment vertical="top"/>
    </xf>
    <xf numFmtId="0" fontId="1239" fillId="0" borderId="1239" xfId="0" applyFont="1" applyBorder="1" applyAlignment="1">
      <alignment vertical="top"/>
    </xf>
    <xf numFmtId="49" fontId="1240" fillId="0" borderId="1240" xfId="0" applyNumberFormat="1" applyFont="1" applyBorder="1" applyAlignment="1">
      <alignment vertical="top"/>
    </xf>
    <xf numFmtId="0" fontId="1241" fillId="0" borderId="1241" xfId="0" applyFont="1" applyBorder="1" applyAlignment="1">
      <alignment vertical="top"/>
    </xf>
    <xf numFmtId="0" fontId="1242" fillId="0" borderId="1242" xfId="0" applyFont="1" applyBorder="1" applyAlignment="1">
      <alignment vertical="top"/>
    </xf>
    <xf numFmtId="49" fontId="1243" fillId="0" borderId="1243" xfId="0" applyNumberFormat="1" applyFont="1" applyBorder="1" applyAlignment="1">
      <alignment vertical="top"/>
    </xf>
    <xf numFmtId="0" fontId="1244" fillId="0" borderId="1244" xfId="0" applyFont="1" applyBorder="1" applyAlignment="1">
      <alignment vertical="top"/>
    </xf>
    <xf numFmtId="0" fontId="1245" fillId="0" borderId="1245" xfId="0" applyFont="1" applyBorder="1" applyAlignment="1">
      <alignment vertical="top"/>
    </xf>
    <xf numFmtId="49" fontId="1246" fillId="0" borderId="1246" xfId="0" applyNumberFormat="1" applyFont="1" applyBorder="1" applyAlignment="1">
      <alignment vertical="top"/>
    </xf>
    <xf numFmtId="0" fontId="1247" fillId="0" borderId="1247" xfId="0" applyFont="1" applyBorder="1" applyAlignment="1">
      <alignment vertical="top"/>
    </xf>
    <xf numFmtId="0" fontId="1248" fillId="0" borderId="1248" xfId="0" applyFont="1" applyBorder="1" applyAlignment="1">
      <alignment vertical="top"/>
    </xf>
    <xf numFmtId="49" fontId="1249" fillId="0" borderId="1249" xfId="0" applyNumberFormat="1" applyFont="1" applyBorder="1" applyAlignment="1">
      <alignment vertical="top"/>
    </xf>
    <xf numFmtId="0" fontId="1250" fillId="0" borderId="1250" xfId="0" applyFont="1" applyBorder="1" applyAlignment="1">
      <alignment vertical="top"/>
    </xf>
    <xf numFmtId="0" fontId="1251" fillId="0" borderId="1251" xfId="0" applyFont="1" applyBorder="1" applyAlignment="1">
      <alignment vertical="top"/>
    </xf>
    <xf numFmtId="49" fontId="1252" fillId="0" borderId="1252" xfId="0" applyNumberFormat="1" applyFont="1" applyBorder="1" applyAlignment="1">
      <alignment vertical="top"/>
    </xf>
    <xf numFmtId="0" fontId="1253" fillId="0" borderId="1253" xfId="0" applyFont="1" applyBorder="1" applyAlignment="1">
      <alignment vertical="top"/>
    </xf>
    <xf numFmtId="0" fontId="1254" fillId="0" borderId="1254" xfId="0" applyFont="1" applyBorder="1" applyAlignment="1">
      <alignment vertical="top"/>
    </xf>
    <xf numFmtId="49" fontId="1255" fillId="0" borderId="1255" xfId="0" applyNumberFormat="1" applyFont="1" applyBorder="1" applyAlignment="1">
      <alignment vertical="top"/>
    </xf>
    <xf numFmtId="0" fontId="1256" fillId="0" borderId="1256" xfId="0" applyFont="1" applyBorder="1" applyAlignment="1">
      <alignment vertical="top"/>
    </xf>
    <xf numFmtId="0" fontId="1257" fillId="0" borderId="1257" xfId="0" applyFont="1" applyBorder="1" applyAlignment="1">
      <alignment vertical="top"/>
    </xf>
    <xf numFmtId="49" fontId="1258" fillId="0" borderId="1258" xfId="0" applyNumberFormat="1" applyFont="1" applyBorder="1" applyAlignment="1">
      <alignment vertical="top"/>
    </xf>
    <xf numFmtId="0" fontId="1259" fillId="0" borderId="1259" xfId="0" applyFont="1" applyBorder="1" applyAlignment="1">
      <alignment vertical="top"/>
    </xf>
    <xf numFmtId="0" fontId="1260" fillId="0" borderId="1260" xfId="0" applyFont="1" applyBorder="1" applyAlignment="1">
      <alignment vertical="top"/>
    </xf>
    <xf numFmtId="49" fontId="1261" fillId="0" borderId="1261" xfId="0" applyNumberFormat="1" applyFont="1" applyBorder="1" applyAlignment="1">
      <alignment vertical="top"/>
    </xf>
    <xf numFmtId="0" fontId="1262" fillId="0" borderId="1262" xfId="0" applyFont="1" applyBorder="1" applyAlignment="1">
      <alignment vertical="top"/>
    </xf>
    <xf numFmtId="0" fontId="1263" fillId="0" borderId="1263" xfId="0" applyFont="1" applyBorder="1" applyAlignment="1">
      <alignment vertical="top"/>
    </xf>
    <xf numFmtId="49" fontId="1264" fillId="0" borderId="1264" xfId="0" applyNumberFormat="1" applyFont="1" applyBorder="1" applyAlignment="1">
      <alignment vertical="top"/>
    </xf>
    <xf numFmtId="0" fontId="1265" fillId="0" borderId="1265" xfId="0" applyFont="1" applyBorder="1" applyAlignment="1">
      <alignment vertical="top"/>
    </xf>
    <xf numFmtId="0" fontId="1266" fillId="0" borderId="1266" xfId="0" applyFont="1" applyBorder="1" applyAlignment="1">
      <alignment vertical="top"/>
    </xf>
    <xf numFmtId="49" fontId="1267" fillId="0" borderId="1267" xfId="0" applyNumberFormat="1" applyFont="1" applyBorder="1" applyAlignment="1">
      <alignment vertical="top"/>
    </xf>
    <xf numFmtId="0" fontId="1268" fillId="0" borderId="1268" xfId="0" applyFont="1" applyBorder="1" applyAlignment="1">
      <alignment vertical="top"/>
    </xf>
    <xf numFmtId="0" fontId="1269" fillId="0" borderId="1269" xfId="0" applyFont="1" applyBorder="1" applyAlignment="1">
      <alignment vertical="top"/>
    </xf>
    <xf numFmtId="49" fontId="1270" fillId="0" borderId="1270" xfId="0" applyNumberFormat="1" applyFont="1" applyBorder="1" applyAlignment="1">
      <alignment vertical="top"/>
    </xf>
    <xf numFmtId="0" fontId="1271" fillId="0" borderId="1271" xfId="0" applyFont="1" applyBorder="1" applyAlignment="1">
      <alignment vertical="top"/>
    </xf>
    <xf numFmtId="0" fontId="1272" fillId="0" borderId="1272" xfId="0" applyFont="1" applyBorder="1" applyAlignment="1">
      <alignment vertical="top"/>
    </xf>
    <xf numFmtId="49" fontId="1273" fillId="0" borderId="1273" xfId="0" applyNumberFormat="1" applyFont="1" applyBorder="1" applyAlignment="1">
      <alignment vertical="top"/>
    </xf>
    <xf numFmtId="0" fontId="1274" fillId="0" borderId="1274" xfId="0" applyFont="1" applyBorder="1" applyAlignment="1">
      <alignment vertical="top"/>
    </xf>
    <xf numFmtId="0" fontId="1275" fillId="0" borderId="1275" xfId="0" applyFont="1" applyBorder="1" applyAlignment="1">
      <alignment vertical="top"/>
    </xf>
    <xf numFmtId="49" fontId="1276" fillId="0" borderId="1276" xfId="0" applyNumberFormat="1" applyFont="1" applyBorder="1" applyAlignment="1">
      <alignment vertical="top"/>
    </xf>
    <xf numFmtId="0" fontId="1277" fillId="0" borderId="1277" xfId="0" applyFont="1" applyBorder="1" applyAlignment="1">
      <alignment vertical="top"/>
    </xf>
    <xf numFmtId="0" fontId="1278" fillId="0" borderId="1278" xfId="0" applyFont="1" applyBorder="1" applyAlignment="1">
      <alignment vertical="top"/>
    </xf>
    <xf numFmtId="49" fontId="1279" fillId="0" borderId="1279" xfId="0" applyNumberFormat="1" applyFont="1" applyBorder="1" applyAlignment="1">
      <alignment vertical="top"/>
    </xf>
    <xf numFmtId="0" fontId="1280" fillId="0" borderId="1280" xfId="0" applyFont="1" applyBorder="1" applyAlignment="1">
      <alignment vertical="top"/>
    </xf>
    <xf numFmtId="0" fontId="1281" fillId="0" borderId="1281" xfId="0" applyFont="1" applyBorder="1" applyAlignment="1">
      <alignment vertical="top"/>
    </xf>
    <xf numFmtId="49" fontId="1282" fillId="0" borderId="1282" xfId="0" applyNumberFormat="1" applyFont="1" applyBorder="1" applyAlignment="1">
      <alignment vertical="top"/>
    </xf>
    <xf numFmtId="0" fontId="1283" fillId="0" borderId="1283" xfId="0" applyFont="1" applyBorder="1" applyAlignment="1">
      <alignment vertical="top"/>
    </xf>
    <xf numFmtId="0" fontId="1284" fillId="0" borderId="1284" xfId="0" applyFont="1" applyBorder="1" applyAlignment="1">
      <alignment vertical="top"/>
    </xf>
    <xf numFmtId="49" fontId="1285" fillId="0" borderId="1285" xfId="0" applyNumberFormat="1" applyFont="1" applyBorder="1" applyAlignment="1">
      <alignment vertical="top"/>
    </xf>
    <xf numFmtId="0" fontId="1286" fillId="0" borderId="1286" xfId="0" applyFont="1" applyBorder="1" applyAlignment="1">
      <alignment vertical="top"/>
    </xf>
    <xf numFmtId="0" fontId="1287" fillId="0" borderId="1287" xfId="0" applyFont="1" applyBorder="1" applyAlignment="1">
      <alignment vertical="top"/>
    </xf>
    <xf numFmtId="49" fontId="1288" fillId="0" borderId="1288" xfId="0" applyNumberFormat="1" applyFont="1" applyBorder="1" applyAlignment="1">
      <alignment vertical="top"/>
    </xf>
    <xf numFmtId="0" fontId="1289" fillId="0" borderId="1289" xfId="0" applyFont="1" applyBorder="1" applyAlignment="1">
      <alignment vertical="top"/>
    </xf>
    <xf numFmtId="0" fontId="1290" fillId="0" borderId="1290" xfId="0" applyFont="1" applyBorder="1" applyAlignment="1">
      <alignment vertical="top"/>
    </xf>
    <xf numFmtId="49" fontId="1291" fillId="0" borderId="1291" xfId="0" applyNumberFormat="1" applyFont="1" applyBorder="1" applyAlignment="1">
      <alignment vertical="top"/>
    </xf>
    <xf numFmtId="0" fontId="1292" fillId="0" borderId="1292" xfId="0" applyFont="1" applyBorder="1" applyAlignment="1">
      <alignment vertical="top"/>
    </xf>
    <xf numFmtId="0" fontId="1293" fillId="0" borderId="1293" xfId="0" applyFont="1" applyBorder="1" applyAlignment="1">
      <alignment vertical="top"/>
    </xf>
    <xf numFmtId="49" fontId="1294" fillId="0" borderId="1294" xfId="0" applyNumberFormat="1" applyFont="1" applyBorder="1" applyAlignment="1">
      <alignment vertical="top"/>
    </xf>
    <xf numFmtId="0" fontId="1295" fillId="0" borderId="1295" xfId="0" applyFont="1" applyBorder="1" applyAlignment="1">
      <alignment vertical="top"/>
    </xf>
    <xf numFmtId="0" fontId="1296" fillId="0" borderId="1296" xfId="0" applyFont="1" applyBorder="1" applyAlignment="1">
      <alignment vertical="top"/>
    </xf>
    <xf numFmtId="49" fontId="1297" fillId="0" borderId="1297" xfId="0" applyNumberFormat="1" applyFont="1" applyBorder="1" applyAlignment="1">
      <alignment vertical="top"/>
    </xf>
    <xf numFmtId="0" fontId="1298" fillId="0" borderId="1298" xfId="0" applyFont="1" applyBorder="1" applyAlignment="1">
      <alignment vertical="top"/>
    </xf>
    <xf numFmtId="0" fontId="1299" fillId="0" borderId="1299" xfId="0" applyFont="1" applyBorder="1" applyAlignment="1">
      <alignment vertical="top"/>
    </xf>
    <xf numFmtId="49" fontId="1300" fillId="0" borderId="1300" xfId="0" applyNumberFormat="1" applyFont="1" applyBorder="1" applyAlignment="1">
      <alignment vertical="top"/>
    </xf>
    <xf numFmtId="0" fontId="1301" fillId="0" borderId="1301" xfId="0" applyFont="1" applyBorder="1" applyAlignment="1">
      <alignment vertical="top"/>
    </xf>
    <xf numFmtId="0" fontId="1302" fillId="0" borderId="1302" xfId="0" applyFont="1" applyBorder="1" applyAlignment="1">
      <alignment vertical="top"/>
    </xf>
    <xf numFmtId="49" fontId="1303" fillId="0" borderId="1303" xfId="0" applyNumberFormat="1" applyFont="1" applyBorder="1" applyAlignment="1">
      <alignment vertical="top"/>
    </xf>
    <xf numFmtId="0" fontId="1304" fillId="0" borderId="1304" xfId="0" applyFont="1" applyBorder="1" applyAlignment="1">
      <alignment vertical="top"/>
    </xf>
    <xf numFmtId="0" fontId="1305" fillId="0" borderId="1305" xfId="0" applyFont="1" applyBorder="1" applyAlignment="1">
      <alignment vertical="top"/>
    </xf>
    <xf numFmtId="49" fontId="1306" fillId="0" borderId="1306" xfId="0" applyNumberFormat="1" applyFont="1" applyBorder="1" applyAlignment="1">
      <alignment vertical="top"/>
    </xf>
    <xf numFmtId="0" fontId="1307" fillId="0" borderId="1307" xfId="0" applyFont="1" applyBorder="1" applyAlignment="1">
      <alignment vertical="top"/>
    </xf>
    <xf numFmtId="0" fontId="1308" fillId="0" borderId="1308" xfId="0" applyFont="1" applyBorder="1" applyAlignment="1">
      <alignment vertical="top"/>
    </xf>
    <xf numFmtId="49" fontId="1309" fillId="0" borderId="1309" xfId="0" applyNumberFormat="1" applyFont="1" applyBorder="1" applyAlignment="1">
      <alignment vertical="top"/>
    </xf>
    <xf numFmtId="0" fontId="1310" fillId="0" borderId="1310" xfId="0" applyFont="1" applyBorder="1" applyAlignment="1">
      <alignment vertical="top"/>
    </xf>
    <xf numFmtId="0" fontId="1311" fillId="0" borderId="1311" xfId="0" applyFont="1" applyBorder="1" applyAlignment="1">
      <alignment vertical="top"/>
    </xf>
    <xf numFmtId="49" fontId="1312" fillId="0" borderId="1312" xfId="0" applyNumberFormat="1" applyFont="1" applyBorder="1" applyAlignment="1">
      <alignment vertical="top"/>
    </xf>
    <xf numFmtId="0" fontId="1313" fillId="0" borderId="1313" xfId="0" applyFont="1" applyBorder="1" applyAlignment="1">
      <alignment vertical="top"/>
    </xf>
    <xf numFmtId="0" fontId="1314" fillId="0" borderId="1314" xfId="0" applyFont="1" applyBorder="1" applyAlignment="1">
      <alignment vertical="top"/>
    </xf>
    <xf numFmtId="49" fontId="1315" fillId="0" borderId="1315" xfId="0" applyNumberFormat="1" applyFont="1" applyBorder="1" applyAlignment="1">
      <alignment vertical="top"/>
    </xf>
    <xf numFmtId="0" fontId="1316" fillId="0" borderId="1316" xfId="0" applyFont="1" applyBorder="1" applyAlignment="1">
      <alignment vertical="top"/>
    </xf>
    <xf numFmtId="0" fontId="1317" fillId="0" borderId="1317" xfId="0" applyFont="1" applyBorder="1" applyAlignment="1">
      <alignment vertical="top"/>
    </xf>
    <xf numFmtId="49" fontId="1318" fillId="0" borderId="1318" xfId="0" applyNumberFormat="1" applyFont="1" applyBorder="1" applyAlignment="1">
      <alignment vertical="top"/>
    </xf>
    <xf numFmtId="0" fontId="1319" fillId="0" borderId="1319" xfId="0" applyFont="1" applyBorder="1" applyAlignment="1">
      <alignment vertical="top"/>
    </xf>
    <xf numFmtId="0" fontId="1320" fillId="0" borderId="1320" xfId="0" applyFont="1" applyBorder="1" applyAlignment="1">
      <alignment vertical="top"/>
    </xf>
    <xf numFmtId="49" fontId="1321" fillId="0" borderId="1321" xfId="0" applyNumberFormat="1" applyFont="1" applyBorder="1" applyAlignment="1">
      <alignment vertical="top"/>
    </xf>
    <xf numFmtId="0" fontId="1322" fillId="0" borderId="1322" xfId="0" applyFont="1" applyBorder="1" applyAlignment="1">
      <alignment vertical="top"/>
    </xf>
    <xf numFmtId="0" fontId="1323" fillId="0" borderId="1323" xfId="0" applyFont="1" applyBorder="1" applyAlignment="1">
      <alignment vertical="top"/>
    </xf>
    <xf numFmtId="49" fontId="1324" fillId="0" borderId="1324" xfId="0" applyNumberFormat="1" applyFont="1" applyBorder="1" applyAlignment="1">
      <alignment vertical="top"/>
    </xf>
    <xf numFmtId="0" fontId="1325" fillId="0" borderId="1325" xfId="0" applyFont="1" applyBorder="1" applyAlignment="1">
      <alignment vertical="top"/>
    </xf>
    <xf numFmtId="0" fontId="1326" fillId="0" borderId="1326" xfId="0" applyFont="1" applyBorder="1" applyAlignment="1">
      <alignment vertical="top"/>
    </xf>
    <xf numFmtId="49" fontId="1327" fillId="0" borderId="1327" xfId="0" applyNumberFormat="1" applyFont="1" applyBorder="1" applyAlignment="1">
      <alignment vertical="top"/>
    </xf>
    <xf numFmtId="0" fontId="1328" fillId="0" borderId="1328" xfId="0" applyFont="1" applyBorder="1" applyAlignment="1">
      <alignment vertical="top"/>
    </xf>
    <xf numFmtId="0" fontId="1329" fillId="0" borderId="1329" xfId="0" applyFont="1" applyBorder="1" applyAlignment="1">
      <alignment vertical="top"/>
    </xf>
    <xf numFmtId="49" fontId="1330" fillId="0" borderId="1330" xfId="0" applyNumberFormat="1" applyFont="1" applyBorder="1" applyAlignment="1">
      <alignment vertical="top"/>
    </xf>
    <xf numFmtId="0" fontId="1331" fillId="0" borderId="1331" xfId="0" applyFont="1" applyBorder="1" applyAlignment="1">
      <alignment vertical="top"/>
    </xf>
    <xf numFmtId="0" fontId="1332" fillId="0" borderId="1332" xfId="0" applyFont="1" applyBorder="1" applyAlignment="1">
      <alignment vertical="top"/>
    </xf>
    <xf numFmtId="49" fontId="1333" fillId="0" borderId="1333" xfId="0" applyNumberFormat="1" applyFont="1" applyBorder="1" applyAlignment="1">
      <alignment vertical="top"/>
    </xf>
    <xf numFmtId="0" fontId="1334" fillId="0" borderId="1334" xfId="0" applyFont="1" applyBorder="1" applyAlignment="1">
      <alignment vertical="top"/>
    </xf>
    <xf numFmtId="0" fontId="1335" fillId="0" borderId="1335" xfId="0" applyFont="1" applyBorder="1" applyAlignment="1">
      <alignment vertical="top"/>
    </xf>
    <xf numFmtId="49" fontId="1336" fillId="0" borderId="1336" xfId="0" applyNumberFormat="1" applyFont="1" applyBorder="1" applyAlignment="1">
      <alignment vertical="top"/>
    </xf>
    <xf numFmtId="0" fontId="1337" fillId="0" borderId="1337" xfId="0" applyFont="1" applyBorder="1" applyAlignment="1">
      <alignment vertical="top"/>
    </xf>
    <xf numFmtId="0" fontId="1338" fillId="0" borderId="1338" xfId="0" applyFont="1" applyBorder="1" applyAlignment="1">
      <alignment vertical="top"/>
    </xf>
    <xf numFmtId="49" fontId="1339" fillId="0" borderId="1339" xfId="0" applyNumberFormat="1" applyFont="1" applyBorder="1" applyAlignment="1">
      <alignment vertical="top"/>
    </xf>
    <xf numFmtId="0" fontId="1340" fillId="0" borderId="1340" xfId="0" applyFont="1" applyBorder="1" applyAlignment="1">
      <alignment vertical="top"/>
    </xf>
    <xf numFmtId="0" fontId="1341" fillId="0" borderId="1341" xfId="0" applyFont="1" applyBorder="1" applyAlignment="1">
      <alignment vertical="top"/>
    </xf>
    <xf numFmtId="49" fontId="1342" fillId="0" borderId="1342" xfId="0" applyNumberFormat="1" applyFont="1" applyBorder="1" applyAlignment="1">
      <alignment vertical="top"/>
    </xf>
    <xf numFmtId="0" fontId="1343" fillId="0" borderId="1343" xfId="0" applyFont="1" applyBorder="1" applyAlignment="1">
      <alignment vertical="top"/>
    </xf>
    <xf numFmtId="0" fontId="1344" fillId="0" borderId="1344" xfId="0" applyFont="1" applyBorder="1" applyAlignment="1">
      <alignment vertical="top"/>
    </xf>
    <xf numFmtId="49" fontId="1345" fillId="0" borderId="1345" xfId="0" applyNumberFormat="1" applyFont="1" applyBorder="1" applyAlignment="1">
      <alignment vertical="top"/>
    </xf>
    <xf numFmtId="0" fontId="1346" fillId="0" borderId="1346" xfId="0" applyFont="1" applyBorder="1" applyAlignment="1">
      <alignment vertical="top"/>
    </xf>
    <xf numFmtId="0" fontId="1347" fillId="0" borderId="1347" xfId="0" applyFont="1" applyBorder="1" applyAlignment="1">
      <alignment vertical="top"/>
    </xf>
    <xf numFmtId="49" fontId="1348" fillId="0" borderId="1348" xfId="0" applyNumberFormat="1" applyFont="1" applyBorder="1" applyAlignment="1">
      <alignment vertical="top"/>
    </xf>
    <xf numFmtId="0" fontId="1349" fillId="0" borderId="1349" xfId="0" applyFont="1" applyBorder="1" applyAlignment="1">
      <alignment vertical="top"/>
    </xf>
    <xf numFmtId="0" fontId="1350" fillId="0" borderId="1350" xfId="0" applyFont="1" applyBorder="1" applyAlignment="1">
      <alignment vertical="top"/>
    </xf>
    <xf numFmtId="49" fontId="1351" fillId="0" borderId="1351" xfId="0" applyNumberFormat="1" applyFont="1" applyBorder="1" applyAlignment="1">
      <alignment vertical="top"/>
    </xf>
    <xf numFmtId="0" fontId="1352" fillId="0" borderId="1352" xfId="0" applyFont="1" applyBorder="1" applyAlignment="1">
      <alignment vertical="top"/>
    </xf>
    <xf numFmtId="0" fontId="1353" fillId="0" borderId="1353" xfId="0" applyFont="1" applyBorder="1" applyAlignment="1">
      <alignment vertical="top"/>
    </xf>
    <xf numFmtId="49" fontId="1354" fillId="0" borderId="1354" xfId="0" applyNumberFormat="1" applyFont="1" applyBorder="1" applyAlignment="1">
      <alignment vertical="top"/>
    </xf>
    <xf numFmtId="0" fontId="1355" fillId="0" borderId="1355" xfId="0" applyFont="1" applyBorder="1" applyAlignment="1">
      <alignment vertical="top"/>
    </xf>
    <xf numFmtId="0" fontId="1356" fillId="0" borderId="1356" xfId="0" applyFont="1" applyBorder="1" applyAlignment="1">
      <alignment vertical="top"/>
    </xf>
    <xf numFmtId="49" fontId="1357" fillId="0" borderId="1357" xfId="0" applyNumberFormat="1" applyFont="1" applyBorder="1" applyAlignment="1">
      <alignment vertical="top"/>
    </xf>
    <xf numFmtId="0" fontId="1358" fillId="0" borderId="1358" xfId="0" applyFont="1" applyBorder="1" applyAlignment="1">
      <alignment vertical="top"/>
    </xf>
    <xf numFmtId="0" fontId="1359" fillId="0" borderId="1359" xfId="0" applyFont="1" applyBorder="1" applyAlignment="1">
      <alignment vertical="top"/>
    </xf>
    <xf numFmtId="49" fontId="1360" fillId="0" borderId="1360" xfId="0" applyNumberFormat="1" applyFont="1" applyBorder="1" applyAlignment="1">
      <alignment vertical="top"/>
    </xf>
    <xf numFmtId="0" fontId="1361" fillId="0" borderId="1361" xfId="0" applyFont="1" applyBorder="1" applyAlignment="1">
      <alignment vertical="top"/>
    </xf>
    <xf numFmtId="0" fontId="1362" fillId="0" borderId="1362" xfId="0" applyFont="1" applyBorder="1" applyAlignment="1">
      <alignment vertical="top"/>
    </xf>
    <xf numFmtId="49" fontId="1363" fillId="0" borderId="1363" xfId="0" applyNumberFormat="1" applyFont="1" applyBorder="1" applyAlignment="1">
      <alignment vertical="top"/>
    </xf>
    <xf numFmtId="0" fontId="1364" fillId="0" borderId="1364" xfId="0" applyFont="1" applyBorder="1" applyAlignment="1">
      <alignment vertical="top"/>
    </xf>
    <xf numFmtId="0" fontId="1365" fillId="0" borderId="1365" xfId="0" applyFont="1" applyBorder="1" applyAlignment="1">
      <alignment vertical="top"/>
    </xf>
    <xf numFmtId="49" fontId="1366" fillId="0" borderId="1366" xfId="0" applyNumberFormat="1" applyFont="1" applyBorder="1" applyAlignment="1">
      <alignment vertical="top"/>
    </xf>
    <xf numFmtId="0" fontId="1367" fillId="0" borderId="1367" xfId="0" applyFont="1" applyBorder="1" applyAlignment="1">
      <alignment vertical="top"/>
    </xf>
    <xf numFmtId="0" fontId="1368" fillId="0" borderId="1368" xfId="0" applyFont="1" applyBorder="1" applyAlignment="1">
      <alignment vertical="top"/>
    </xf>
    <xf numFmtId="49" fontId="1369" fillId="0" borderId="1369" xfId="0" applyNumberFormat="1" applyFont="1" applyBorder="1" applyAlignment="1">
      <alignment vertical="top"/>
    </xf>
    <xf numFmtId="0" fontId="1370" fillId="0" borderId="1370" xfId="0" applyFont="1" applyBorder="1" applyAlignment="1">
      <alignment vertical="top"/>
    </xf>
    <xf numFmtId="0" fontId="1371" fillId="0" borderId="1371" xfId="0" applyFont="1" applyBorder="1" applyAlignment="1">
      <alignment vertical="top"/>
    </xf>
    <xf numFmtId="49" fontId="1372" fillId="0" borderId="1372" xfId="0" applyNumberFormat="1" applyFont="1" applyBorder="1" applyAlignment="1">
      <alignment vertical="top"/>
    </xf>
    <xf numFmtId="0" fontId="1373" fillId="0" borderId="1373" xfId="0" applyFont="1" applyBorder="1" applyAlignment="1">
      <alignment vertical="top"/>
    </xf>
    <xf numFmtId="0" fontId="1374" fillId="0" borderId="1374" xfId="0" applyFont="1" applyBorder="1" applyAlignment="1">
      <alignment vertical="top"/>
    </xf>
    <xf numFmtId="49" fontId="1375" fillId="0" borderId="1375" xfId="0" applyNumberFormat="1" applyFont="1" applyBorder="1" applyAlignment="1">
      <alignment vertical="top"/>
    </xf>
    <xf numFmtId="0" fontId="1376" fillId="0" borderId="1376" xfId="0" applyFont="1" applyBorder="1" applyAlignment="1">
      <alignment vertical="top"/>
    </xf>
    <xf numFmtId="0" fontId="1377" fillId="0" borderId="1377" xfId="0" applyFont="1" applyBorder="1" applyAlignment="1">
      <alignment vertical="top"/>
    </xf>
    <xf numFmtId="49" fontId="1378" fillId="0" borderId="1378" xfId="0" applyNumberFormat="1" applyFont="1" applyBorder="1" applyAlignment="1">
      <alignment vertical="top"/>
    </xf>
    <xf numFmtId="0" fontId="1379" fillId="0" borderId="1379" xfId="0" applyFont="1" applyBorder="1" applyAlignment="1">
      <alignment vertical="top"/>
    </xf>
    <xf numFmtId="0" fontId="1380" fillId="0" borderId="1380" xfId="0" applyFont="1" applyBorder="1" applyAlignment="1">
      <alignment vertical="top"/>
    </xf>
    <xf numFmtId="49" fontId="1381" fillId="0" borderId="1381" xfId="0" applyNumberFormat="1" applyFont="1" applyBorder="1" applyAlignment="1">
      <alignment vertical="top"/>
    </xf>
    <xf numFmtId="0" fontId="1382" fillId="0" borderId="1382" xfId="0" applyFont="1" applyBorder="1" applyAlignment="1">
      <alignment vertical="top"/>
    </xf>
    <xf numFmtId="0" fontId="1383" fillId="0" borderId="1383" xfId="0" applyFont="1" applyBorder="1" applyAlignment="1">
      <alignment vertical="top"/>
    </xf>
    <xf numFmtId="49" fontId="1384" fillId="0" borderId="1384" xfId="0" applyNumberFormat="1" applyFont="1" applyBorder="1" applyAlignment="1">
      <alignment vertical="top"/>
    </xf>
    <xf numFmtId="0" fontId="1385" fillId="0" borderId="1385" xfId="0" applyFont="1" applyBorder="1" applyAlignment="1">
      <alignment vertical="top"/>
    </xf>
    <xf numFmtId="0" fontId="1386" fillId="0" borderId="1386" xfId="0" applyFont="1" applyBorder="1" applyAlignment="1">
      <alignment vertical="top"/>
    </xf>
    <xf numFmtId="49" fontId="1387" fillId="0" borderId="1387" xfId="0" applyNumberFormat="1" applyFont="1" applyBorder="1" applyAlignment="1">
      <alignment vertical="top"/>
    </xf>
    <xf numFmtId="0" fontId="1388" fillId="0" borderId="1388" xfId="0" applyFont="1" applyBorder="1" applyAlignment="1">
      <alignment vertical="top"/>
    </xf>
    <xf numFmtId="0" fontId="1389" fillId="0" borderId="1389" xfId="0" applyFont="1" applyBorder="1" applyAlignment="1">
      <alignment vertical="top"/>
    </xf>
    <xf numFmtId="49" fontId="1390" fillId="0" borderId="1390" xfId="0" applyNumberFormat="1" applyFont="1" applyBorder="1" applyAlignment="1">
      <alignment vertical="top"/>
    </xf>
    <xf numFmtId="0" fontId="1391" fillId="0" borderId="1391" xfId="0" applyFont="1" applyBorder="1" applyAlignment="1">
      <alignment vertical="top"/>
    </xf>
    <xf numFmtId="0" fontId="1392" fillId="0" borderId="1392" xfId="0" applyFont="1" applyBorder="1" applyAlignment="1">
      <alignment vertical="top"/>
    </xf>
    <xf numFmtId="49" fontId="1393" fillId="0" borderId="1393" xfId="0" applyNumberFormat="1" applyFont="1" applyBorder="1" applyAlignment="1">
      <alignment vertical="top"/>
    </xf>
    <xf numFmtId="0" fontId="1394" fillId="0" borderId="1394" xfId="0" applyFont="1" applyBorder="1" applyAlignment="1">
      <alignment vertical="top"/>
    </xf>
    <xf numFmtId="0" fontId="1395" fillId="0" borderId="1395" xfId="0" applyFont="1" applyBorder="1" applyAlignment="1">
      <alignment vertical="top"/>
    </xf>
    <xf numFmtId="49" fontId="1396" fillId="0" borderId="1396" xfId="0" applyNumberFormat="1" applyFont="1" applyBorder="1" applyAlignment="1">
      <alignment vertical="top"/>
    </xf>
    <xf numFmtId="0" fontId="1397" fillId="0" borderId="1397" xfId="0" applyFont="1" applyBorder="1" applyAlignment="1">
      <alignment vertical="top"/>
    </xf>
    <xf numFmtId="0" fontId="1398" fillId="0" borderId="1398" xfId="0" applyFont="1" applyBorder="1" applyAlignment="1">
      <alignment vertical="top"/>
    </xf>
    <xf numFmtId="49" fontId="1399" fillId="0" borderId="1399" xfId="0" applyNumberFormat="1" applyFont="1" applyBorder="1" applyAlignment="1">
      <alignment vertical="top"/>
    </xf>
    <xf numFmtId="0" fontId="1400" fillId="0" borderId="1400" xfId="0" applyFont="1" applyBorder="1" applyAlignment="1">
      <alignment vertical="top"/>
    </xf>
    <xf numFmtId="0" fontId="1401" fillId="0" borderId="1401" xfId="0" applyFont="1" applyBorder="1" applyAlignment="1">
      <alignment vertical="top"/>
    </xf>
    <xf numFmtId="49" fontId="1402" fillId="0" borderId="1402" xfId="0" applyNumberFormat="1" applyFont="1" applyBorder="1" applyAlignment="1">
      <alignment vertical="top"/>
    </xf>
    <xf numFmtId="0" fontId="1403" fillId="0" borderId="1403" xfId="0" applyFont="1" applyBorder="1" applyAlignment="1">
      <alignment vertical="top"/>
    </xf>
    <xf numFmtId="0" fontId="1404" fillId="0" borderId="1404" xfId="0" applyFont="1" applyBorder="1" applyAlignment="1">
      <alignment vertical="top"/>
    </xf>
    <xf numFmtId="49" fontId="1405" fillId="0" borderId="1405" xfId="0" applyNumberFormat="1" applyFont="1" applyBorder="1" applyAlignment="1">
      <alignment vertical="top"/>
    </xf>
    <xf numFmtId="0" fontId="1406" fillId="0" borderId="1406" xfId="0" applyFont="1" applyBorder="1" applyAlignment="1">
      <alignment vertical="top"/>
    </xf>
    <xf numFmtId="0" fontId="1407" fillId="0" borderId="1407" xfId="0" applyFont="1" applyBorder="1" applyAlignment="1">
      <alignment vertical="top"/>
    </xf>
    <xf numFmtId="49" fontId="1408" fillId="0" borderId="1408" xfId="0" applyNumberFormat="1" applyFont="1" applyBorder="1" applyAlignment="1">
      <alignment vertical="top"/>
    </xf>
    <xf numFmtId="0" fontId="1409" fillId="0" borderId="1409" xfId="0" applyFont="1" applyBorder="1" applyAlignment="1">
      <alignment vertical="top"/>
    </xf>
    <xf numFmtId="0" fontId="1410" fillId="0" borderId="1410" xfId="0" applyFont="1" applyBorder="1" applyAlignment="1">
      <alignment vertical="top"/>
    </xf>
    <xf numFmtId="49" fontId="1411" fillId="0" borderId="1411" xfId="0" applyNumberFormat="1" applyFont="1" applyBorder="1" applyAlignment="1">
      <alignment vertical="top"/>
    </xf>
    <xf numFmtId="0" fontId="1412" fillId="0" borderId="1412" xfId="0" applyFont="1" applyBorder="1" applyAlignment="1">
      <alignment vertical="top"/>
    </xf>
    <xf numFmtId="0" fontId="1413" fillId="0" borderId="1413" xfId="0" applyFont="1" applyBorder="1" applyAlignment="1">
      <alignment vertical="top"/>
    </xf>
    <xf numFmtId="49" fontId="1414" fillId="0" borderId="1414" xfId="0" applyNumberFormat="1" applyFont="1" applyBorder="1" applyAlignment="1">
      <alignment vertical="top"/>
    </xf>
    <xf numFmtId="0" fontId="1415" fillId="0" borderId="1415" xfId="0" applyFont="1" applyBorder="1" applyAlignment="1">
      <alignment vertical="top"/>
    </xf>
    <xf numFmtId="0" fontId="1416" fillId="0" borderId="1416" xfId="0" applyFont="1" applyBorder="1" applyAlignment="1">
      <alignment vertical="top"/>
    </xf>
    <xf numFmtId="49" fontId="1417" fillId="0" borderId="1417" xfId="0" applyNumberFormat="1" applyFont="1" applyBorder="1" applyAlignment="1">
      <alignment vertical="top"/>
    </xf>
    <xf numFmtId="0" fontId="1418" fillId="0" borderId="1418" xfId="0" applyFont="1" applyBorder="1" applyAlignment="1">
      <alignment vertical="top"/>
    </xf>
    <xf numFmtId="0" fontId="1419" fillId="0" borderId="1419" xfId="0" applyFont="1" applyBorder="1" applyAlignment="1">
      <alignment vertical="top"/>
    </xf>
    <xf numFmtId="49" fontId="1420" fillId="0" borderId="1420" xfId="0" applyNumberFormat="1" applyFont="1" applyBorder="1" applyAlignment="1">
      <alignment vertical="top"/>
    </xf>
    <xf numFmtId="0" fontId="1421" fillId="0" borderId="1421" xfId="0" applyFont="1" applyBorder="1" applyAlignment="1">
      <alignment vertical="top"/>
    </xf>
    <xf numFmtId="0" fontId="1422" fillId="0" borderId="1422" xfId="0" applyFont="1" applyBorder="1" applyAlignment="1">
      <alignment vertical="top"/>
    </xf>
    <xf numFmtId="49" fontId="1423" fillId="0" borderId="1423" xfId="0" applyNumberFormat="1" applyFont="1" applyBorder="1" applyAlignment="1">
      <alignment vertical="top"/>
    </xf>
    <xf numFmtId="0" fontId="1424" fillId="0" borderId="1424" xfId="0" applyFont="1" applyBorder="1" applyAlignment="1">
      <alignment vertical="top"/>
    </xf>
    <xf numFmtId="0" fontId="1425" fillId="0" borderId="1425" xfId="0" applyFont="1" applyBorder="1" applyAlignment="1">
      <alignment vertical="top"/>
    </xf>
    <xf numFmtId="49" fontId="1426" fillId="0" borderId="1426" xfId="0" applyNumberFormat="1" applyFont="1" applyBorder="1" applyAlignment="1">
      <alignment vertical="top"/>
    </xf>
    <xf numFmtId="0" fontId="1427" fillId="0" borderId="1427" xfId="0" applyFont="1" applyBorder="1" applyAlignment="1">
      <alignment vertical="top"/>
    </xf>
    <xf numFmtId="0" fontId="1428" fillId="0" borderId="1428" xfId="0" applyFont="1" applyBorder="1" applyAlignment="1">
      <alignment vertical="top"/>
    </xf>
    <xf numFmtId="49" fontId="1429" fillId="0" borderId="1429" xfId="0" applyNumberFormat="1" applyFont="1" applyBorder="1" applyAlignment="1">
      <alignment vertical="top"/>
    </xf>
    <xf numFmtId="0" fontId="1430" fillId="0" borderId="1430" xfId="0" applyFont="1" applyBorder="1" applyAlignment="1">
      <alignment vertical="top"/>
    </xf>
    <xf numFmtId="0" fontId="1431" fillId="0" borderId="1431" xfId="0" applyFont="1" applyBorder="1" applyAlignment="1">
      <alignment vertical="top"/>
    </xf>
    <xf numFmtId="49" fontId="1432" fillId="0" borderId="1432" xfId="0" applyNumberFormat="1" applyFont="1" applyBorder="1" applyAlignment="1">
      <alignment vertical="top"/>
    </xf>
    <xf numFmtId="0" fontId="1433" fillId="0" borderId="1433" xfId="0" applyFont="1" applyBorder="1" applyAlignment="1">
      <alignment vertical="top"/>
    </xf>
    <xf numFmtId="0" fontId="1434" fillId="0" borderId="1434" xfId="0" applyFont="1" applyBorder="1" applyAlignment="1">
      <alignment vertical="top"/>
    </xf>
    <xf numFmtId="49" fontId="1435" fillId="0" borderId="1435" xfId="0" applyNumberFormat="1" applyFont="1" applyBorder="1" applyAlignment="1">
      <alignment vertical="top"/>
    </xf>
    <xf numFmtId="0" fontId="1436" fillId="0" borderId="1436" xfId="0" applyFont="1" applyBorder="1" applyAlignment="1">
      <alignment vertical="top"/>
    </xf>
    <xf numFmtId="0" fontId="1437" fillId="0" borderId="1437" xfId="0" applyFont="1" applyBorder="1" applyAlignment="1">
      <alignment vertical="top"/>
    </xf>
    <xf numFmtId="49" fontId="1438" fillId="0" borderId="1438" xfId="0" applyNumberFormat="1" applyFont="1" applyBorder="1" applyAlignment="1">
      <alignment vertical="top"/>
    </xf>
    <xf numFmtId="0" fontId="1439" fillId="0" borderId="1439" xfId="0" applyFont="1" applyBorder="1" applyAlignment="1">
      <alignment vertical="top"/>
    </xf>
    <xf numFmtId="0" fontId="1440" fillId="0" borderId="1440" xfId="0" applyFont="1" applyBorder="1" applyAlignment="1">
      <alignment vertical="top"/>
    </xf>
    <xf numFmtId="49" fontId="1441" fillId="0" borderId="1441" xfId="0" applyNumberFormat="1" applyFont="1" applyBorder="1" applyAlignment="1">
      <alignment vertical="top"/>
    </xf>
    <xf numFmtId="0" fontId="1442" fillId="0" borderId="1442" xfId="0" applyFont="1" applyBorder="1" applyAlignment="1">
      <alignment vertical="top"/>
    </xf>
    <xf numFmtId="0" fontId="1443" fillId="0" borderId="1443" xfId="0" applyFont="1" applyBorder="1" applyAlignment="1">
      <alignment vertical="top"/>
    </xf>
    <xf numFmtId="49" fontId="1444" fillId="0" borderId="1444" xfId="0" applyNumberFormat="1" applyFont="1" applyBorder="1" applyAlignment="1">
      <alignment vertical="top"/>
    </xf>
    <xf numFmtId="0" fontId="1445" fillId="0" borderId="1445" xfId="0" applyFont="1" applyBorder="1" applyAlignment="1">
      <alignment vertical="top"/>
    </xf>
    <xf numFmtId="0" fontId="1446" fillId="0" borderId="1446" xfId="0" applyFont="1" applyBorder="1" applyAlignment="1">
      <alignment vertical="top"/>
    </xf>
    <xf numFmtId="49" fontId="1447" fillId="0" borderId="1447" xfId="0" applyNumberFormat="1" applyFont="1" applyBorder="1" applyAlignment="1">
      <alignment vertical="top"/>
    </xf>
    <xf numFmtId="0" fontId="1448" fillId="0" borderId="1448" xfId="0" applyFont="1" applyBorder="1" applyAlignment="1">
      <alignment vertical="top"/>
    </xf>
    <xf numFmtId="0" fontId="1449" fillId="0" borderId="1449" xfId="0" applyFont="1" applyBorder="1" applyAlignment="1">
      <alignment vertical="top"/>
    </xf>
    <xf numFmtId="49" fontId="1450" fillId="0" borderId="1450" xfId="0" applyNumberFormat="1" applyFont="1" applyBorder="1" applyAlignment="1">
      <alignment vertical="top"/>
    </xf>
    <xf numFmtId="0" fontId="1451" fillId="0" borderId="1451" xfId="0" applyFont="1" applyBorder="1" applyAlignment="1">
      <alignment vertical="top"/>
    </xf>
    <xf numFmtId="0" fontId="1452" fillId="0" borderId="1452" xfId="0" applyFont="1" applyBorder="1" applyAlignment="1">
      <alignment vertical="top"/>
    </xf>
    <xf numFmtId="49" fontId="1453" fillId="0" borderId="1453" xfId="0" applyNumberFormat="1" applyFont="1" applyBorder="1" applyAlignment="1">
      <alignment vertical="top"/>
    </xf>
    <xf numFmtId="0" fontId="1454" fillId="0" borderId="1454" xfId="0" applyFont="1" applyBorder="1" applyAlignment="1">
      <alignment vertical="top"/>
    </xf>
    <xf numFmtId="0" fontId="1455" fillId="0" borderId="1455" xfId="0" applyFont="1" applyBorder="1" applyAlignment="1">
      <alignment vertical="top"/>
    </xf>
    <xf numFmtId="49" fontId="1456" fillId="0" borderId="1456" xfId="0" applyNumberFormat="1" applyFont="1" applyBorder="1" applyAlignment="1">
      <alignment vertical="top"/>
    </xf>
    <xf numFmtId="0" fontId="1457" fillId="0" borderId="1457" xfId="0" applyFont="1" applyBorder="1" applyAlignment="1">
      <alignment vertical="top"/>
    </xf>
    <xf numFmtId="0" fontId="1458" fillId="0" borderId="1458" xfId="0" applyFont="1" applyBorder="1" applyAlignment="1">
      <alignment vertical="top"/>
    </xf>
    <xf numFmtId="49" fontId="1459" fillId="0" borderId="1459" xfId="0" applyNumberFormat="1" applyFont="1" applyBorder="1" applyAlignment="1">
      <alignment vertical="top"/>
    </xf>
    <xf numFmtId="0" fontId="1460" fillId="0" borderId="1460" xfId="0" applyFont="1" applyBorder="1" applyAlignment="1">
      <alignment vertical="top"/>
    </xf>
    <xf numFmtId="0" fontId="1461" fillId="0" borderId="1461" xfId="0" applyFont="1" applyBorder="1" applyAlignment="1">
      <alignment vertical="top"/>
    </xf>
    <xf numFmtId="49" fontId="1462" fillId="0" borderId="1462" xfId="0" applyNumberFormat="1" applyFont="1" applyBorder="1" applyAlignment="1">
      <alignment vertical="top"/>
    </xf>
    <xf numFmtId="0" fontId="1463" fillId="0" borderId="1463" xfId="0" applyFont="1" applyBorder="1" applyAlignment="1">
      <alignment vertical="top"/>
    </xf>
    <xf numFmtId="0" fontId="1464" fillId="0" borderId="1464" xfId="0" applyFont="1" applyBorder="1" applyAlignment="1">
      <alignment vertical="top"/>
    </xf>
    <xf numFmtId="49" fontId="1465" fillId="0" borderId="1465" xfId="0" applyNumberFormat="1" applyFont="1" applyBorder="1" applyAlignment="1">
      <alignment vertical="top"/>
    </xf>
    <xf numFmtId="0" fontId="1466" fillId="0" borderId="1466" xfId="0" applyFont="1" applyBorder="1" applyAlignment="1">
      <alignment vertical="top"/>
    </xf>
    <xf numFmtId="0" fontId="1467" fillId="0" borderId="1467" xfId="0" applyFont="1" applyBorder="1" applyAlignment="1">
      <alignment vertical="top"/>
    </xf>
    <xf numFmtId="49" fontId="1468" fillId="0" borderId="1468" xfId="0" applyNumberFormat="1" applyFont="1" applyBorder="1" applyAlignment="1">
      <alignment vertical="top"/>
    </xf>
    <xf numFmtId="0" fontId="1469" fillId="0" borderId="1469" xfId="0" applyFont="1" applyBorder="1" applyAlignment="1">
      <alignment vertical="top"/>
    </xf>
    <xf numFmtId="0" fontId="1470" fillId="0" borderId="1470" xfId="0" applyFont="1" applyBorder="1" applyAlignment="1">
      <alignment vertical="top"/>
    </xf>
    <xf numFmtId="49" fontId="1471" fillId="0" borderId="1471" xfId="0" applyNumberFormat="1" applyFont="1" applyBorder="1" applyAlignment="1">
      <alignment vertical="top"/>
    </xf>
    <xf numFmtId="0" fontId="1472" fillId="0" borderId="1472" xfId="0" applyFont="1" applyBorder="1" applyAlignment="1">
      <alignment vertical="top"/>
    </xf>
    <xf numFmtId="0" fontId="1473" fillId="0" borderId="1473" xfId="0" applyFont="1" applyBorder="1" applyAlignment="1">
      <alignment vertical="top"/>
    </xf>
    <xf numFmtId="49" fontId="1474" fillId="0" borderId="1474" xfId="0" applyNumberFormat="1" applyFont="1" applyBorder="1" applyAlignment="1">
      <alignment vertical="top"/>
    </xf>
    <xf numFmtId="0" fontId="1475" fillId="0" borderId="1475" xfId="0" applyFont="1" applyBorder="1" applyAlignment="1">
      <alignment vertical="top"/>
    </xf>
    <xf numFmtId="0" fontId="1476" fillId="0" borderId="1476" xfId="0" applyFont="1" applyBorder="1" applyAlignment="1">
      <alignment vertical="top"/>
    </xf>
    <xf numFmtId="49" fontId="1477" fillId="0" borderId="1477" xfId="0" applyNumberFormat="1" applyFont="1" applyBorder="1" applyAlignment="1">
      <alignment vertical="top"/>
    </xf>
    <xf numFmtId="0" fontId="1478" fillId="0" borderId="1478" xfId="0" applyFont="1" applyBorder="1" applyAlignment="1">
      <alignment vertical="top"/>
    </xf>
    <xf numFmtId="0" fontId="1479" fillId="0" borderId="1479" xfId="0" applyFont="1" applyBorder="1" applyAlignment="1">
      <alignment vertical="top"/>
    </xf>
    <xf numFmtId="49" fontId="1480" fillId="0" borderId="1480" xfId="0" applyNumberFormat="1" applyFont="1" applyBorder="1" applyAlignment="1">
      <alignment vertical="top"/>
    </xf>
    <xf numFmtId="0" fontId="1481" fillId="0" borderId="1481" xfId="0" applyFont="1" applyBorder="1" applyAlignment="1">
      <alignment vertical="top"/>
    </xf>
    <xf numFmtId="0" fontId="1482" fillId="0" borderId="1482" xfId="0" applyFont="1" applyBorder="1" applyAlignment="1">
      <alignment vertical="top"/>
    </xf>
    <xf numFmtId="49" fontId="1483" fillId="0" borderId="1483" xfId="0" applyNumberFormat="1" applyFont="1" applyBorder="1" applyAlignment="1">
      <alignment vertical="top"/>
    </xf>
    <xf numFmtId="0" fontId="1484" fillId="0" borderId="1484" xfId="0" applyFont="1" applyBorder="1" applyAlignment="1">
      <alignment vertical="top"/>
    </xf>
    <xf numFmtId="0" fontId="1485" fillId="0" borderId="1485" xfId="0" applyFont="1" applyBorder="1" applyAlignment="1">
      <alignment vertical="top"/>
    </xf>
    <xf numFmtId="49" fontId="1486" fillId="0" borderId="1486" xfId="0" applyNumberFormat="1" applyFont="1" applyBorder="1" applyAlignment="1">
      <alignment vertical="top"/>
    </xf>
    <xf numFmtId="0" fontId="1487" fillId="0" borderId="1487" xfId="0" applyFont="1" applyBorder="1" applyAlignment="1">
      <alignment vertical="top"/>
    </xf>
    <xf numFmtId="0" fontId="1488" fillId="0" borderId="1488" xfId="0" applyFont="1" applyBorder="1" applyAlignment="1">
      <alignment vertical="top"/>
    </xf>
    <xf numFmtId="49" fontId="1489" fillId="0" borderId="1489" xfId="0" applyNumberFormat="1" applyFont="1" applyBorder="1" applyAlignment="1">
      <alignment vertical="top"/>
    </xf>
    <xf numFmtId="0" fontId="1490" fillId="0" borderId="1490" xfId="0" applyFont="1" applyBorder="1" applyAlignment="1">
      <alignment vertical="top"/>
    </xf>
    <xf numFmtId="0" fontId="1491" fillId="0" borderId="1491" xfId="0" applyFont="1" applyBorder="1" applyAlignment="1">
      <alignment vertical="top"/>
    </xf>
    <xf numFmtId="49" fontId="1492" fillId="0" borderId="1492" xfId="0" applyNumberFormat="1" applyFont="1" applyBorder="1" applyAlignment="1">
      <alignment vertical="top"/>
    </xf>
    <xf numFmtId="0" fontId="1493" fillId="0" borderId="1493" xfId="0" applyFont="1" applyBorder="1" applyAlignment="1">
      <alignment vertical="top"/>
    </xf>
    <xf numFmtId="0" fontId="1494" fillId="0" borderId="1494" xfId="0" applyFont="1" applyBorder="1" applyAlignment="1">
      <alignment vertical="top"/>
    </xf>
    <xf numFmtId="49" fontId="1495" fillId="0" borderId="1495" xfId="0" applyNumberFormat="1" applyFont="1" applyBorder="1" applyAlignment="1">
      <alignment vertical="top"/>
    </xf>
    <xf numFmtId="0" fontId="1496" fillId="0" borderId="1496" xfId="0" applyFont="1" applyBorder="1" applyAlignment="1">
      <alignment vertical="top"/>
    </xf>
    <xf numFmtId="0" fontId="1497" fillId="0" borderId="1497" xfId="0" applyFont="1" applyBorder="1" applyAlignment="1">
      <alignment vertical="top"/>
    </xf>
    <xf numFmtId="49" fontId="1498" fillId="0" borderId="1498" xfId="0" applyNumberFormat="1" applyFont="1" applyBorder="1" applyAlignment="1">
      <alignment vertical="top"/>
    </xf>
    <xf numFmtId="0" fontId="1499" fillId="0" borderId="1499" xfId="0" applyFont="1" applyBorder="1" applyAlignment="1">
      <alignment vertical="top"/>
    </xf>
    <xf numFmtId="0" fontId="1500" fillId="0" borderId="1500" xfId="0" applyFont="1" applyBorder="1" applyAlignment="1">
      <alignment vertical="top"/>
    </xf>
    <xf numFmtId="49" fontId="1501" fillId="0" borderId="1501" xfId="0" applyNumberFormat="1" applyFont="1" applyBorder="1" applyAlignment="1">
      <alignment vertical="top"/>
    </xf>
    <xf numFmtId="0" fontId="1502" fillId="0" borderId="1502" xfId="0" applyFont="1" applyBorder="1" applyAlignment="1">
      <alignment vertical="top"/>
    </xf>
    <xf numFmtId="0" fontId="1503" fillId="0" borderId="1503" xfId="0" applyFont="1" applyBorder="1" applyAlignment="1">
      <alignment vertical="top"/>
    </xf>
    <xf numFmtId="49" fontId="1504" fillId="0" borderId="1504" xfId="0" applyNumberFormat="1" applyFont="1" applyBorder="1" applyAlignment="1">
      <alignment vertical="top"/>
    </xf>
    <xf numFmtId="0" fontId="1505" fillId="0" borderId="1505" xfId="0" applyFont="1" applyBorder="1" applyAlignment="1">
      <alignment vertical="top"/>
    </xf>
    <xf numFmtId="0" fontId="1506" fillId="0" borderId="1506" xfId="0" applyFont="1" applyBorder="1" applyAlignment="1">
      <alignment vertical="top"/>
    </xf>
    <xf numFmtId="49" fontId="1507" fillId="0" borderId="1507" xfId="0" applyNumberFormat="1" applyFont="1" applyBorder="1" applyAlignment="1">
      <alignment vertical="top"/>
    </xf>
    <xf numFmtId="0" fontId="1508" fillId="0" borderId="1508" xfId="0" applyFont="1" applyBorder="1" applyAlignment="1">
      <alignment vertical="top"/>
    </xf>
    <xf numFmtId="0" fontId="1509" fillId="0" borderId="1509" xfId="0" applyFont="1" applyBorder="1" applyAlignment="1">
      <alignment vertical="top"/>
    </xf>
    <xf numFmtId="49" fontId="1510" fillId="0" borderId="1510" xfId="0" applyNumberFormat="1" applyFont="1" applyBorder="1" applyAlignment="1">
      <alignment vertical="top"/>
    </xf>
    <xf numFmtId="0" fontId="1511" fillId="0" borderId="1511" xfId="0" applyFont="1" applyBorder="1" applyAlignment="1">
      <alignment vertical="top"/>
    </xf>
    <xf numFmtId="0" fontId="1512" fillId="0" borderId="1512" xfId="0" applyFont="1" applyBorder="1" applyAlignment="1">
      <alignment vertical="top"/>
    </xf>
    <xf numFmtId="49" fontId="1513" fillId="0" borderId="1513" xfId="0" applyNumberFormat="1" applyFont="1" applyBorder="1" applyAlignment="1">
      <alignment vertical="top"/>
    </xf>
    <xf numFmtId="0" fontId="1514" fillId="0" borderId="1514" xfId="0" applyFont="1" applyBorder="1" applyAlignment="1">
      <alignment vertical="top"/>
    </xf>
    <xf numFmtId="0" fontId="1515" fillId="0" borderId="1515" xfId="0" applyFont="1" applyBorder="1" applyAlignment="1">
      <alignment vertical="top"/>
    </xf>
    <xf numFmtId="49" fontId="1516" fillId="0" borderId="1516" xfId="0" applyNumberFormat="1" applyFont="1" applyBorder="1" applyAlignment="1">
      <alignment vertical="top"/>
    </xf>
    <xf numFmtId="0" fontId="1517" fillId="0" borderId="1517" xfId="0" applyFont="1" applyBorder="1" applyAlignment="1">
      <alignment vertical="top"/>
    </xf>
    <xf numFmtId="0" fontId="1518" fillId="0" borderId="1518" xfId="0" applyFont="1" applyBorder="1" applyAlignment="1">
      <alignment vertical="top"/>
    </xf>
    <xf numFmtId="49" fontId="1519" fillId="0" borderId="1519" xfId="0" applyNumberFormat="1" applyFont="1" applyBorder="1" applyAlignment="1">
      <alignment vertical="top"/>
    </xf>
    <xf numFmtId="0" fontId="1520" fillId="0" borderId="1520" xfId="0" applyFont="1" applyBorder="1" applyAlignment="1">
      <alignment vertical="top"/>
    </xf>
    <xf numFmtId="0" fontId="1521" fillId="0" borderId="1521" xfId="0" applyFont="1" applyBorder="1" applyAlignment="1">
      <alignment vertical="top"/>
    </xf>
    <xf numFmtId="49" fontId="1522" fillId="0" borderId="1522" xfId="0" applyNumberFormat="1" applyFont="1" applyBorder="1" applyAlignment="1">
      <alignment vertical="top"/>
    </xf>
    <xf numFmtId="0" fontId="1523" fillId="0" borderId="1523" xfId="0" applyFont="1" applyBorder="1" applyAlignment="1">
      <alignment vertical="top"/>
    </xf>
    <xf numFmtId="0" fontId="1524" fillId="0" borderId="1524" xfId="0" applyFont="1" applyBorder="1" applyAlignment="1">
      <alignment vertical="top"/>
    </xf>
    <xf numFmtId="49" fontId="1525" fillId="0" borderId="1525" xfId="0" applyNumberFormat="1" applyFont="1" applyBorder="1" applyAlignment="1">
      <alignment vertical="top"/>
    </xf>
    <xf numFmtId="0" fontId="1526" fillId="0" borderId="1526" xfId="0" applyFont="1" applyBorder="1" applyAlignment="1">
      <alignment vertical="top"/>
    </xf>
    <xf numFmtId="0" fontId="1527" fillId="0" borderId="1527" xfId="0" applyFont="1" applyBorder="1" applyAlignment="1">
      <alignment vertical="top"/>
    </xf>
    <xf numFmtId="49" fontId="1528" fillId="0" borderId="1528" xfId="0" applyNumberFormat="1" applyFont="1" applyBorder="1" applyAlignment="1">
      <alignment vertical="top"/>
    </xf>
    <xf numFmtId="0" fontId="1529" fillId="0" borderId="1529" xfId="0" applyFont="1" applyBorder="1" applyAlignment="1">
      <alignment vertical="top"/>
    </xf>
    <xf numFmtId="0" fontId="1530" fillId="0" borderId="1530" xfId="0" applyFont="1" applyBorder="1" applyAlignment="1">
      <alignment vertical="top"/>
    </xf>
    <xf numFmtId="49" fontId="1531" fillId="0" borderId="1531" xfId="0" applyNumberFormat="1" applyFont="1" applyBorder="1" applyAlignment="1">
      <alignment vertical="top"/>
    </xf>
    <xf numFmtId="0" fontId="1532" fillId="0" borderId="1532" xfId="0" applyFont="1" applyBorder="1" applyAlignment="1">
      <alignment vertical="top"/>
    </xf>
    <xf numFmtId="0" fontId="1533" fillId="0" borderId="1533" xfId="0" applyFont="1" applyBorder="1" applyAlignment="1">
      <alignment vertical="top"/>
    </xf>
    <xf numFmtId="49" fontId="1534" fillId="0" borderId="1534" xfId="0" applyNumberFormat="1" applyFont="1" applyBorder="1" applyAlignment="1">
      <alignment vertical="top"/>
    </xf>
    <xf numFmtId="0" fontId="1535" fillId="0" borderId="1535" xfId="0" applyFont="1" applyBorder="1" applyAlignment="1">
      <alignment vertical="top"/>
    </xf>
    <xf numFmtId="0" fontId="1536" fillId="0" borderId="1536" xfId="0" applyFont="1" applyBorder="1" applyAlignment="1">
      <alignment vertical="top"/>
    </xf>
    <xf numFmtId="49" fontId="1537" fillId="0" borderId="1537" xfId="0" applyNumberFormat="1" applyFont="1" applyBorder="1" applyAlignment="1">
      <alignment vertical="top"/>
    </xf>
    <xf numFmtId="0" fontId="1538" fillId="0" borderId="1538" xfId="0" applyFont="1" applyBorder="1" applyAlignment="1">
      <alignment vertical="top"/>
    </xf>
    <xf numFmtId="0" fontId="1539" fillId="0" borderId="1539" xfId="0" applyFont="1" applyBorder="1" applyAlignment="1">
      <alignment vertical="top"/>
    </xf>
    <xf numFmtId="49" fontId="1540" fillId="0" borderId="1540" xfId="0" applyNumberFormat="1" applyFont="1" applyBorder="1" applyAlignment="1">
      <alignment vertical="top"/>
    </xf>
    <xf numFmtId="0" fontId="1541" fillId="0" borderId="1541" xfId="0" applyFont="1" applyBorder="1" applyAlignment="1">
      <alignment vertical="top"/>
    </xf>
    <xf numFmtId="0" fontId="1542" fillId="0" borderId="1542" xfId="0" applyFont="1" applyBorder="1" applyAlignment="1">
      <alignment vertical="top"/>
    </xf>
    <xf numFmtId="49" fontId="1543" fillId="0" borderId="1543" xfId="0" applyNumberFormat="1" applyFont="1" applyBorder="1" applyAlignment="1">
      <alignment vertical="top"/>
    </xf>
    <xf numFmtId="0" fontId="1544" fillId="0" borderId="1544" xfId="0" applyFont="1" applyBorder="1" applyAlignment="1">
      <alignment vertical="top"/>
    </xf>
    <xf numFmtId="0" fontId="1545" fillId="0" borderId="1545" xfId="0" applyFont="1" applyBorder="1" applyAlignment="1">
      <alignment vertical="top"/>
    </xf>
    <xf numFmtId="49" fontId="1546" fillId="0" borderId="1546" xfId="0" applyNumberFormat="1" applyFont="1" applyBorder="1" applyAlignment="1">
      <alignment vertical="top"/>
    </xf>
    <xf numFmtId="0" fontId="1547" fillId="0" borderId="1547" xfId="0" applyFont="1" applyBorder="1" applyAlignment="1">
      <alignment vertical="top"/>
    </xf>
    <xf numFmtId="0" fontId="1548" fillId="0" borderId="1548" xfId="0" applyFont="1" applyBorder="1" applyAlignment="1">
      <alignment vertical="top"/>
    </xf>
    <xf numFmtId="49" fontId="1549" fillId="0" borderId="1549" xfId="0" applyNumberFormat="1" applyFont="1" applyBorder="1" applyAlignment="1">
      <alignment vertical="top"/>
    </xf>
    <xf numFmtId="0" fontId="1550" fillId="0" borderId="1550" xfId="0" applyFont="1" applyBorder="1" applyAlignment="1">
      <alignment vertical="top"/>
    </xf>
    <xf numFmtId="0" fontId="1551" fillId="0" borderId="1551" xfId="0" applyFont="1" applyBorder="1" applyAlignment="1">
      <alignment vertical="top"/>
    </xf>
    <xf numFmtId="49" fontId="1552" fillId="0" borderId="1552" xfId="0" applyNumberFormat="1" applyFont="1" applyBorder="1" applyAlignment="1">
      <alignment vertical="top"/>
    </xf>
    <xf numFmtId="0" fontId="1553" fillId="0" borderId="1553" xfId="0" applyFont="1" applyBorder="1" applyAlignment="1">
      <alignment vertical="top"/>
    </xf>
    <xf numFmtId="0" fontId="1554" fillId="0" borderId="1554" xfId="0" applyFont="1" applyBorder="1" applyAlignment="1">
      <alignment vertical="top"/>
    </xf>
    <xf numFmtId="49" fontId="1555" fillId="0" borderId="1555" xfId="0" applyNumberFormat="1" applyFont="1" applyBorder="1" applyAlignment="1">
      <alignment vertical="top"/>
    </xf>
    <xf numFmtId="0" fontId="1556" fillId="0" borderId="1556" xfId="0" applyFont="1" applyBorder="1" applyAlignment="1">
      <alignment vertical="top"/>
    </xf>
    <xf numFmtId="0" fontId="1557" fillId="0" borderId="1557" xfId="0" applyFont="1" applyBorder="1" applyAlignment="1">
      <alignment vertical="top"/>
    </xf>
    <xf numFmtId="49" fontId="1558" fillId="0" borderId="1558" xfId="0" applyNumberFormat="1" applyFont="1" applyBorder="1" applyAlignment="1">
      <alignment vertical="top"/>
    </xf>
    <xf numFmtId="0" fontId="1559" fillId="0" borderId="1559" xfId="0" applyFont="1" applyBorder="1" applyAlignment="1">
      <alignment vertical="top"/>
    </xf>
    <xf numFmtId="0" fontId="1560" fillId="0" borderId="1560" xfId="0" applyFont="1" applyBorder="1" applyAlignment="1">
      <alignment vertical="top"/>
    </xf>
    <xf numFmtId="49" fontId="1561" fillId="0" borderId="1561" xfId="0" applyNumberFormat="1" applyFont="1" applyBorder="1" applyAlignment="1">
      <alignment vertical="top"/>
    </xf>
    <xf numFmtId="0" fontId="1562" fillId="0" borderId="1562" xfId="0" applyFont="1" applyBorder="1" applyAlignment="1">
      <alignment vertical="top"/>
    </xf>
    <xf numFmtId="0" fontId="1563" fillId="0" borderId="1563" xfId="0" applyFont="1" applyBorder="1" applyAlignment="1">
      <alignment vertical="top"/>
    </xf>
    <xf numFmtId="49" fontId="1564" fillId="0" borderId="1564" xfId="0" applyNumberFormat="1" applyFont="1" applyBorder="1" applyAlignment="1">
      <alignment vertical="top"/>
    </xf>
    <xf numFmtId="0" fontId="1565" fillId="0" borderId="1565" xfId="0" applyFont="1" applyBorder="1" applyAlignment="1">
      <alignment vertical="top"/>
    </xf>
    <xf numFmtId="0" fontId="1566" fillId="0" borderId="1566" xfId="0" applyFont="1" applyBorder="1" applyAlignment="1">
      <alignment vertical="top"/>
    </xf>
    <xf numFmtId="49" fontId="1567" fillId="0" borderId="1567" xfId="0" applyNumberFormat="1" applyFont="1" applyBorder="1" applyAlignment="1">
      <alignment vertical="top"/>
    </xf>
    <xf numFmtId="0" fontId="1568" fillId="0" borderId="1568" xfId="0" applyFont="1" applyBorder="1" applyAlignment="1">
      <alignment vertical="top"/>
    </xf>
    <xf numFmtId="0" fontId="1569" fillId="0" borderId="1569" xfId="0" applyFont="1" applyBorder="1" applyAlignment="1">
      <alignment vertical="top"/>
    </xf>
    <xf numFmtId="49" fontId="1570" fillId="0" borderId="1570" xfId="0" applyNumberFormat="1" applyFont="1" applyBorder="1" applyAlignment="1">
      <alignment vertical="top"/>
    </xf>
    <xf numFmtId="0" fontId="1571" fillId="0" borderId="1571" xfId="0" applyFont="1" applyBorder="1" applyAlignment="1">
      <alignment vertical="top"/>
    </xf>
    <xf numFmtId="0" fontId="1572" fillId="0" borderId="1572" xfId="0" applyFont="1" applyBorder="1" applyAlignment="1">
      <alignment vertical="top"/>
    </xf>
    <xf numFmtId="49" fontId="1573" fillId="0" borderId="1573" xfId="0" applyNumberFormat="1" applyFont="1" applyBorder="1" applyAlignment="1">
      <alignment vertical="top"/>
    </xf>
    <xf numFmtId="0" fontId="1574" fillId="0" borderId="1574" xfId="0" applyFont="1" applyBorder="1" applyAlignment="1">
      <alignment vertical="top"/>
    </xf>
    <xf numFmtId="0" fontId="1575" fillId="0" borderId="1575" xfId="0" applyFont="1" applyBorder="1" applyAlignment="1">
      <alignment vertical="top"/>
    </xf>
    <xf numFmtId="49" fontId="1576" fillId="0" borderId="1576" xfId="0" applyNumberFormat="1" applyFont="1" applyBorder="1" applyAlignment="1">
      <alignment vertical="top"/>
    </xf>
    <xf numFmtId="0" fontId="1577" fillId="0" borderId="1577" xfId="0" applyFont="1" applyBorder="1" applyAlignment="1">
      <alignment vertical="top"/>
    </xf>
    <xf numFmtId="0" fontId="1578" fillId="0" borderId="1578" xfId="0" applyFont="1" applyBorder="1" applyAlignment="1">
      <alignment vertical="top"/>
    </xf>
    <xf numFmtId="49" fontId="1579" fillId="0" borderId="1579" xfId="0" applyNumberFormat="1" applyFont="1" applyBorder="1" applyAlignment="1">
      <alignment vertical="top"/>
    </xf>
    <xf numFmtId="0" fontId="1580" fillId="0" borderId="1580" xfId="0" applyFont="1" applyBorder="1" applyAlignment="1">
      <alignment vertical="top"/>
    </xf>
    <xf numFmtId="0" fontId="1581" fillId="0" borderId="1581" xfId="0" applyFont="1" applyBorder="1" applyAlignment="1">
      <alignment vertical="top"/>
    </xf>
    <xf numFmtId="49" fontId="1582" fillId="0" borderId="1582" xfId="0" applyNumberFormat="1" applyFont="1" applyBorder="1" applyAlignment="1">
      <alignment vertical="top"/>
    </xf>
    <xf numFmtId="0" fontId="1583" fillId="0" borderId="1583" xfId="0" applyFont="1" applyBorder="1" applyAlignment="1">
      <alignment vertical="top"/>
    </xf>
    <xf numFmtId="0" fontId="1584" fillId="0" borderId="1584" xfId="0" applyFont="1" applyBorder="1" applyAlignment="1">
      <alignment vertical="top"/>
    </xf>
    <xf numFmtId="49" fontId="1585" fillId="0" borderId="1585" xfId="0" applyNumberFormat="1" applyFont="1" applyBorder="1" applyAlignment="1">
      <alignment vertical="top"/>
    </xf>
    <xf numFmtId="0" fontId="1586" fillId="0" borderId="1586" xfId="0" applyFont="1" applyBorder="1" applyAlignment="1">
      <alignment vertical="top"/>
    </xf>
    <xf numFmtId="0" fontId="1587" fillId="0" borderId="1587" xfId="0" applyFont="1" applyBorder="1" applyAlignment="1">
      <alignment vertical="top"/>
    </xf>
    <xf numFmtId="49" fontId="1588" fillId="0" borderId="1588" xfId="0" applyNumberFormat="1" applyFont="1" applyBorder="1" applyAlignment="1">
      <alignment vertical="top"/>
    </xf>
    <xf numFmtId="0" fontId="1589" fillId="0" borderId="1589" xfId="0" applyFont="1" applyBorder="1" applyAlignment="1">
      <alignment vertical="top"/>
    </xf>
    <xf numFmtId="0" fontId="1590" fillId="0" borderId="1590" xfId="0" applyFont="1" applyBorder="1" applyAlignment="1">
      <alignment vertical="top"/>
    </xf>
    <xf numFmtId="49" fontId="1591" fillId="0" borderId="1591" xfId="0" applyNumberFormat="1" applyFont="1" applyBorder="1" applyAlignment="1">
      <alignment vertical="top"/>
    </xf>
    <xf numFmtId="0" fontId="1592" fillId="0" borderId="1592" xfId="0" applyFont="1" applyBorder="1" applyAlignment="1">
      <alignment vertical="top"/>
    </xf>
    <xf numFmtId="0" fontId="1593" fillId="0" borderId="1593" xfId="0" applyFont="1" applyBorder="1" applyAlignment="1">
      <alignment vertical="top"/>
    </xf>
    <xf numFmtId="49" fontId="1594" fillId="0" borderId="1594" xfId="0" applyNumberFormat="1" applyFont="1" applyBorder="1" applyAlignment="1">
      <alignment vertical="top"/>
    </xf>
    <xf numFmtId="0" fontId="1595" fillId="0" borderId="1595" xfId="0" applyFont="1" applyBorder="1" applyAlignment="1">
      <alignment vertical="top"/>
    </xf>
    <xf numFmtId="0" fontId="1596" fillId="0" borderId="1596" xfId="0" applyFont="1" applyBorder="1" applyAlignment="1">
      <alignment vertical="top"/>
    </xf>
    <xf numFmtId="49" fontId="1597" fillId="0" borderId="1597" xfId="0" applyNumberFormat="1" applyFont="1" applyBorder="1" applyAlignment="1">
      <alignment vertical="top"/>
    </xf>
    <xf numFmtId="0" fontId="1598" fillId="0" borderId="1598" xfId="0" applyFont="1" applyBorder="1" applyAlignment="1">
      <alignment vertical="top"/>
    </xf>
    <xf numFmtId="0" fontId="1599" fillId="0" borderId="1599" xfId="0" applyFont="1" applyBorder="1" applyAlignment="1">
      <alignment vertical="top"/>
    </xf>
    <xf numFmtId="49" fontId="1600" fillId="0" borderId="1600" xfId="0" applyNumberFormat="1" applyFont="1" applyBorder="1" applyAlignment="1">
      <alignment vertical="top"/>
    </xf>
    <xf numFmtId="0" fontId="1601" fillId="0" borderId="1601" xfId="0" applyFont="1" applyBorder="1" applyAlignment="1">
      <alignment vertical="top"/>
    </xf>
    <xf numFmtId="0" fontId="1602" fillId="0" borderId="1602" xfId="0" applyFont="1" applyBorder="1" applyAlignment="1">
      <alignment vertical="top"/>
    </xf>
    <xf numFmtId="49" fontId="1603" fillId="0" borderId="1603" xfId="0" applyNumberFormat="1" applyFont="1" applyBorder="1" applyAlignment="1">
      <alignment vertical="top"/>
    </xf>
    <xf numFmtId="0" fontId="1604" fillId="0" borderId="1604" xfId="0" applyFont="1" applyBorder="1" applyAlignment="1">
      <alignment vertical="top"/>
    </xf>
    <xf numFmtId="0" fontId="1605" fillId="0" borderId="1605" xfId="0" applyFont="1" applyBorder="1" applyAlignment="1">
      <alignment vertical="top"/>
    </xf>
    <xf numFmtId="49" fontId="1606" fillId="0" borderId="1606" xfId="0" applyNumberFormat="1" applyFont="1" applyBorder="1" applyAlignment="1">
      <alignment vertical="top"/>
    </xf>
    <xf numFmtId="0" fontId="1607" fillId="0" borderId="1607" xfId="0" applyFont="1" applyBorder="1" applyAlignment="1">
      <alignment vertical="top"/>
    </xf>
    <xf numFmtId="0" fontId="1608" fillId="0" borderId="1608" xfId="0" applyFont="1" applyBorder="1" applyAlignment="1">
      <alignment vertical="top"/>
    </xf>
    <xf numFmtId="49" fontId="1609" fillId="0" borderId="1609" xfId="0" applyNumberFormat="1" applyFont="1" applyBorder="1" applyAlignment="1">
      <alignment vertical="top"/>
    </xf>
    <xf numFmtId="0" fontId="1610" fillId="0" borderId="1610" xfId="0" applyFont="1" applyBorder="1" applyAlignment="1">
      <alignment vertical="top"/>
    </xf>
    <xf numFmtId="0" fontId="1611" fillId="0" borderId="1611" xfId="0" applyFont="1" applyBorder="1" applyAlignment="1">
      <alignment vertical="top"/>
    </xf>
    <xf numFmtId="49" fontId="1612" fillId="0" borderId="1612" xfId="0" applyNumberFormat="1" applyFont="1" applyBorder="1" applyAlignment="1">
      <alignment vertical="top"/>
    </xf>
    <xf numFmtId="0" fontId="1613" fillId="0" borderId="1613" xfId="0" applyFont="1" applyBorder="1" applyAlignment="1">
      <alignment vertical="top"/>
    </xf>
    <xf numFmtId="0" fontId="1614" fillId="0" borderId="1614" xfId="0" applyFont="1" applyBorder="1" applyAlignment="1">
      <alignment vertical="top"/>
    </xf>
    <xf numFmtId="49" fontId="1615" fillId="0" borderId="1615" xfId="0" applyNumberFormat="1" applyFont="1" applyBorder="1" applyAlignment="1">
      <alignment vertical="top"/>
    </xf>
    <xf numFmtId="0" fontId="1616" fillId="0" borderId="1616" xfId="0" applyFont="1" applyBorder="1" applyAlignment="1">
      <alignment vertical="top"/>
    </xf>
    <xf numFmtId="0" fontId="1617" fillId="0" borderId="1617" xfId="0" applyFont="1" applyBorder="1" applyAlignment="1">
      <alignment vertical="top"/>
    </xf>
    <xf numFmtId="49" fontId="1618" fillId="0" borderId="1618" xfId="0" applyNumberFormat="1" applyFont="1" applyBorder="1" applyAlignment="1">
      <alignment vertical="top"/>
    </xf>
    <xf numFmtId="0" fontId="1619" fillId="0" borderId="1619" xfId="0" applyFont="1" applyBorder="1" applyAlignment="1">
      <alignment vertical="top"/>
    </xf>
    <xf numFmtId="0" fontId="1620" fillId="0" borderId="1620" xfId="0" applyFont="1" applyBorder="1" applyAlignment="1">
      <alignment vertical="top"/>
    </xf>
    <xf numFmtId="49" fontId="1621" fillId="0" borderId="1621" xfId="0" applyNumberFormat="1" applyFont="1" applyBorder="1" applyAlignment="1">
      <alignment vertical="top"/>
    </xf>
    <xf numFmtId="0" fontId="1622" fillId="0" borderId="1622" xfId="0" applyFont="1" applyBorder="1" applyAlignment="1">
      <alignment vertical="top"/>
    </xf>
    <xf numFmtId="0" fontId="1623" fillId="0" borderId="1623" xfId="0" applyFont="1" applyBorder="1" applyAlignment="1">
      <alignment vertical="top"/>
    </xf>
    <xf numFmtId="49" fontId="1624" fillId="0" borderId="1624" xfId="0" applyNumberFormat="1" applyFont="1" applyBorder="1" applyAlignment="1">
      <alignment vertical="top"/>
    </xf>
    <xf numFmtId="0" fontId="1625" fillId="0" borderId="1625" xfId="0" applyFont="1" applyBorder="1" applyAlignment="1">
      <alignment vertical="top"/>
    </xf>
    <xf numFmtId="0" fontId="1626" fillId="0" borderId="1626" xfId="0" applyFont="1" applyBorder="1" applyAlignment="1">
      <alignment vertical="top"/>
    </xf>
    <xf numFmtId="49" fontId="1627" fillId="0" borderId="1627" xfId="0" applyNumberFormat="1" applyFont="1" applyBorder="1" applyAlignment="1">
      <alignment vertical="top"/>
    </xf>
    <xf numFmtId="0" fontId="1628" fillId="0" borderId="1628" xfId="0" applyFont="1" applyBorder="1" applyAlignment="1">
      <alignment vertical="top"/>
    </xf>
    <xf numFmtId="0" fontId="1629" fillId="0" borderId="1629" xfId="0" applyFont="1" applyBorder="1" applyAlignment="1">
      <alignment vertical="top"/>
    </xf>
    <xf numFmtId="49" fontId="1630" fillId="0" borderId="1630" xfId="0" applyNumberFormat="1" applyFont="1" applyBorder="1" applyAlignment="1">
      <alignment vertical="top"/>
    </xf>
    <xf numFmtId="0" fontId="1631" fillId="0" borderId="1631" xfId="0" applyFont="1" applyBorder="1" applyAlignment="1">
      <alignment vertical="top"/>
    </xf>
    <xf numFmtId="0" fontId="1632" fillId="0" borderId="1632" xfId="0" applyFont="1" applyBorder="1" applyAlignment="1">
      <alignment vertical="top"/>
    </xf>
    <xf numFmtId="49" fontId="1633" fillId="0" borderId="1633" xfId="0" applyNumberFormat="1" applyFont="1" applyBorder="1" applyAlignment="1">
      <alignment vertical="top"/>
    </xf>
    <xf numFmtId="0" fontId="1634" fillId="0" borderId="1634" xfId="0" applyFont="1" applyBorder="1" applyAlignment="1">
      <alignment vertical="top"/>
    </xf>
    <xf numFmtId="0" fontId="1635" fillId="0" borderId="1635" xfId="0" applyFont="1" applyBorder="1" applyAlignment="1">
      <alignment vertical="top"/>
    </xf>
    <xf numFmtId="49" fontId="1636" fillId="0" borderId="1636" xfId="0" applyNumberFormat="1" applyFont="1" applyBorder="1" applyAlignment="1">
      <alignment vertical="top"/>
    </xf>
    <xf numFmtId="0" fontId="1637" fillId="0" borderId="1637" xfId="0" applyFont="1" applyBorder="1" applyAlignment="1">
      <alignment vertical="top"/>
    </xf>
    <xf numFmtId="0" fontId="1638" fillId="0" borderId="1638" xfId="0" applyFont="1" applyBorder="1" applyAlignment="1">
      <alignment vertical="top"/>
    </xf>
    <xf numFmtId="49" fontId="1639" fillId="0" borderId="1639" xfId="0" applyNumberFormat="1" applyFont="1" applyBorder="1" applyAlignment="1">
      <alignment vertical="top"/>
    </xf>
    <xf numFmtId="0" fontId="1640" fillId="0" borderId="1640" xfId="0" applyFont="1" applyBorder="1" applyAlignment="1">
      <alignment vertical="top"/>
    </xf>
    <xf numFmtId="0" fontId="1641" fillId="0" borderId="1641" xfId="0" applyFont="1" applyBorder="1" applyAlignment="1">
      <alignment vertical="top"/>
    </xf>
    <xf numFmtId="49" fontId="1642" fillId="0" borderId="1642" xfId="0" applyNumberFormat="1" applyFont="1" applyBorder="1" applyAlignment="1">
      <alignment vertical="top"/>
    </xf>
    <xf numFmtId="0" fontId="1643" fillId="0" borderId="1643" xfId="0" applyFont="1" applyBorder="1" applyAlignment="1">
      <alignment vertical="top"/>
    </xf>
    <xf numFmtId="0" fontId="1644" fillId="0" borderId="1644" xfId="0" applyFont="1" applyBorder="1" applyAlignment="1">
      <alignment vertical="top"/>
    </xf>
    <xf numFmtId="49" fontId="1645" fillId="0" borderId="1645" xfId="0" applyNumberFormat="1" applyFont="1" applyBorder="1" applyAlignment="1">
      <alignment vertical="top"/>
    </xf>
    <xf numFmtId="0" fontId="1646" fillId="0" borderId="1646" xfId="0" applyFont="1" applyBorder="1" applyAlignment="1">
      <alignment vertical="top"/>
    </xf>
    <xf numFmtId="0" fontId="1647" fillId="0" borderId="1647" xfId="0" applyFont="1" applyBorder="1" applyAlignment="1">
      <alignment vertical="top"/>
    </xf>
    <xf numFmtId="49" fontId="1648" fillId="0" borderId="1648" xfId="0" applyNumberFormat="1" applyFont="1" applyBorder="1" applyAlignment="1">
      <alignment vertical="top"/>
    </xf>
    <xf numFmtId="0" fontId="1649" fillId="0" borderId="1649" xfId="0" applyFont="1" applyBorder="1" applyAlignment="1">
      <alignment vertical="top"/>
    </xf>
    <xf numFmtId="0" fontId="1650" fillId="0" borderId="1650" xfId="0" applyFont="1" applyBorder="1" applyAlignment="1">
      <alignment vertical="top"/>
    </xf>
    <xf numFmtId="49" fontId="1651" fillId="0" borderId="1651" xfId="0" applyNumberFormat="1" applyFont="1" applyBorder="1" applyAlignment="1">
      <alignment vertical="top"/>
    </xf>
    <xf numFmtId="0" fontId="1652" fillId="0" borderId="1652" xfId="0" applyFont="1" applyBorder="1" applyAlignment="1">
      <alignment vertical="top"/>
    </xf>
    <xf numFmtId="0" fontId="1653" fillId="0" borderId="1653" xfId="0" applyFont="1" applyBorder="1" applyAlignment="1">
      <alignment vertical="top"/>
    </xf>
    <xf numFmtId="49" fontId="1654" fillId="0" borderId="1654" xfId="0" applyNumberFormat="1" applyFont="1" applyBorder="1" applyAlignment="1">
      <alignment vertical="top"/>
    </xf>
    <xf numFmtId="0" fontId="1655" fillId="0" borderId="1655" xfId="0" applyFont="1" applyBorder="1" applyAlignment="1">
      <alignment vertical="top"/>
    </xf>
    <xf numFmtId="0" fontId="1656" fillId="0" borderId="1656" xfId="0" applyFont="1" applyBorder="1" applyAlignment="1">
      <alignment vertical="top"/>
    </xf>
    <xf numFmtId="49" fontId="1657" fillId="0" borderId="1657" xfId="0" applyNumberFormat="1" applyFont="1" applyBorder="1" applyAlignment="1">
      <alignment vertical="top"/>
    </xf>
    <xf numFmtId="0" fontId="1658" fillId="0" borderId="1658" xfId="0" applyFont="1" applyBorder="1" applyAlignment="1">
      <alignment vertical="top"/>
    </xf>
    <xf numFmtId="0" fontId="1659" fillId="0" borderId="1659" xfId="0" applyFont="1" applyBorder="1" applyAlignment="1">
      <alignment vertical="top"/>
    </xf>
    <xf numFmtId="49" fontId="1660" fillId="0" borderId="1660" xfId="0" applyNumberFormat="1" applyFont="1" applyBorder="1" applyAlignment="1">
      <alignment vertical="top"/>
    </xf>
    <xf numFmtId="0" fontId="1661" fillId="0" borderId="1661" xfId="0" applyFont="1" applyBorder="1" applyAlignment="1">
      <alignment vertical="top"/>
    </xf>
    <xf numFmtId="0" fontId="1662" fillId="0" borderId="1662" xfId="0" applyFont="1" applyBorder="1" applyAlignment="1">
      <alignment vertical="top"/>
    </xf>
    <xf numFmtId="49" fontId="1663" fillId="0" borderId="1663" xfId="0" applyNumberFormat="1" applyFont="1" applyBorder="1" applyAlignment="1">
      <alignment vertical="top"/>
    </xf>
    <xf numFmtId="0" fontId="1664" fillId="0" borderId="1664" xfId="0" applyFont="1" applyBorder="1" applyAlignment="1">
      <alignment vertical="top"/>
    </xf>
    <xf numFmtId="0" fontId="1665" fillId="0" borderId="1665" xfId="0" applyFont="1" applyBorder="1" applyAlignment="1">
      <alignment vertical="top"/>
    </xf>
    <xf numFmtId="49" fontId="1666" fillId="0" borderId="1666" xfId="0" applyNumberFormat="1" applyFont="1" applyBorder="1" applyAlignment="1">
      <alignment vertical="top"/>
    </xf>
    <xf numFmtId="0" fontId="1667" fillId="0" borderId="1667" xfId="0" applyFont="1" applyBorder="1" applyAlignment="1">
      <alignment vertical="top"/>
    </xf>
    <xf numFmtId="0" fontId="1668" fillId="0" borderId="1668" xfId="0" applyFont="1" applyBorder="1" applyAlignment="1">
      <alignment vertical="top"/>
    </xf>
    <xf numFmtId="49" fontId="1669" fillId="0" borderId="1669" xfId="0" applyNumberFormat="1" applyFont="1" applyBorder="1" applyAlignment="1">
      <alignment vertical="top"/>
    </xf>
    <xf numFmtId="0" fontId="1670" fillId="0" borderId="1670" xfId="0" applyFont="1" applyBorder="1" applyAlignment="1">
      <alignment vertical="top"/>
    </xf>
    <xf numFmtId="0" fontId="1671" fillId="0" borderId="1671" xfId="0" applyFont="1" applyBorder="1" applyAlignment="1">
      <alignment vertical="top"/>
    </xf>
    <xf numFmtId="49" fontId="1672" fillId="0" borderId="1672" xfId="0" applyNumberFormat="1" applyFont="1" applyBorder="1" applyAlignment="1">
      <alignment vertical="top"/>
    </xf>
    <xf numFmtId="0" fontId="1673" fillId="0" borderId="1673" xfId="0" applyFont="1" applyBorder="1" applyAlignment="1">
      <alignment vertical="top"/>
    </xf>
    <xf numFmtId="0" fontId="1674" fillId="0" borderId="1674" xfId="0" applyFont="1" applyBorder="1" applyAlignment="1">
      <alignment vertical="top"/>
    </xf>
    <xf numFmtId="49" fontId="1675" fillId="0" borderId="1675" xfId="0" applyNumberFormat="1" applyFont="1" applyBorder="1" applyAlignment="1">
      <alignment vertical="top"/>
    </xf>
    <xf numFmtId="0" fontId="1676" fillId="0" borderId="1676" xfId="0" applyFont="1" applyBorder="1" applyAlignment="1">
      <alignment vertical="top"/>
    </xf>
    <xf numFmtId="0" fontId="1677" fillId="0" borderId="1677" xfId="0" applyFont="1" applyBorder="1" applyAlignment="1">
      <alignment vertical="top"/>
    </xf>
    <xf numFmtId="49" fontId="1678" fillId="0" borderId="1678" xfId="0" applyNumberFormat="1" applyFont="1" applyBorder="1" applyAlignment="1">
      <alignment vertical="top"/>
    </xf>
    <xf numFmtId="0" fontId="1679" fillId="0" borderId="1679" xfId="0" applyFont="1" applyBorder="1" applyAlignment="1">
      <alignment vertical="top"/>
    </xf>
    <xf numFmtId="0" fontId="1680" fillId="0" borderId="1680" xfId="0" applyFont="1" applyBorder="1" applyAlignment="1">
      <alignment vertical="top"/>
    </xf>
    <xf numFmtId="49" fontId="1681" fillId="0" borderId="1681" xfId="0" applyNumberFormat="1" applyFont="1" applyBorder="1" applyAlignment="1">
      <alignment vertical="top"/>
    </xf>
    <xf numFmtId="0" fontId="1682" fillId="0" borderId="1682" xfId="0" applyFont="1" applyBorder="1" applyAlignment="1">
      <alignment vertical="top"/>
    </xf>
    <xf numFmtId="0" fontId="1683" fillId="0" borderId="1683" xfId="0" applyFont="1" applyBorder="1" applyAlignment="1">
      <alignment vertical="top"/>
    </xf>
    <xf numFmtId="49" fontId="1684" fillId="0" borderId="1684" xfId="0" applyNumberFormat="1" applyFont="1" applyBorder="1" applyAlignment="1">
      <alignment vertical="top"/>
    </xf>
    <xf numFmtId="0" fontId="1685" fillId="0" borderId="1685" xfId="0" applyFont="1" applyBorder="1" applyAlignment="1">
      <alignment vertical="top"/>
    </xf>
    <xf numFmtId="0" fontId="1686" fillId="0" borderId="1686" xfId="0" applyFont="1" applyBorder="1" applyAlignment="1">
      <alignment vertical="top"/>
    </xf>
    <xf numFmtId="49" fontId="1687" fillId="0" borderId="1687" xfId="0" applyNumberFormat="1" applyFont="1" applyBorder="1" applyAlignment="1">
      <alignment vertical="top"/>
    </xf>
    <xf numFmtId="0" fontId="1688" fillId="0" borderId="1688" xfId="0" applyFont="1" applyBorder="1" applyAlignment="1">
      <alignment vertical="top"/>
    </xf>
    <xf numFmtId="0" fontId="1689" fillId="0" borderId="1689" xfId="0" applyFont="1" applyBorder="1" applyAlignment="1">
      <alignment vertical="top"/>
    </xf>
    <xf numFmtId="49" fontId="1690" fillId="0" borderId="1690" xfId="0" applyNumberFormat="1" applyFont="1" applyBorder="1" applyAlignment="1">
      <alignment vertical="top"/>
    </xf>
    <xf numFmtId="0" fontId="1691" fillId="0" borderId="1691" xfId="0" applyFont="1" applyBorder="1" applyAlignment="1">
      <alignment vertical="top"/>
    </xf>
    <xf numFmtId="0" fontId="1692" fillId="0" borderId="1692" xfId="0" applyFont="1" applyBorder="1" applyAlignment="1">
      <alignment vertical="top"/>
    </xf>
    <xf numFmtId="49" fontId="1693" fillId="0" borderId="1693" xfId="0" applyNumberFormat="1" applyFont="1" applyBorder="1" applyAlignment="1">
      <alignment vertical="top"/>
    </xf>
    <xf numFmtId="0" fontId="1694" fillId="0" borderId="1694" xfId="0" applyFont="1" applyBorder="1" applyAlignment="1">
      <alignment vertical="top"/>
    </xf>
    <xf numFmtId="0" fontId="1695" fillId="0" borderId="1695" xfId="0" applyFont="1" applyBorder="1" applyAlignment="1">
      <alignment vertical="top"/>
    </xf>
    <xf numFmtId="49" fontId="1696" fillId="0" borderId="1696" xfId="0" applyNumberFormat="1" applyFont="1" applyBorder="1" applyAlignment="1">
      <alignment vertical="top"/>
    </xf>
    <xf numFmtId="0" fontId="1697" fillId="0" borderId="1697" xfId="0" applyFont="1" applyBorder="1" applyAlignment="1">
      <alignment vertical="top"/>
    </xf>
    <xf numFmtId="0" fontId="1698" fillId="0" borderId="1698" xfId="0" applyFont="1" applyBorder="1" applyAlignment="1">
      <alignment vertical="top"/>
    </xf>
    <xf numFmtId="49" fontId="1699" fillId="0" borderId="1699" xfId="0" applyNumberFormat="1" applyFont="1" applyBorder="1" applyAlignment="1">
      <alignment vertical="top"/>
    </xf>
    <xf numFmtId="0" fontId="1700" fillId="0" borderId="1700" xfId="0" applyFont="1" applyBorder="1" applyAlignment="1">
      <alignment vertical="top"/>
    </xf>
    <xf numFmtId="0" fontId="1701" fillId="0" borderId="1701" xfId="0" applyFont="1" applyBorder="1" applyAlignment="1">
      <alignment vertical="top"/>
    </xf>
    <xf numFmtId="49" fontId="1702" fillId="0" borderId="1702" xfId="0" applyNumberFormat="1" applyFont="1" applyBorder="1" applyAlignment="1">
      <alignment vertical="top"/>
    </xf>
    <xf numFmtId="0" fontId="1703" fillId="0" borderId="1703" xfId="0" applyFont="1" applyBorder="1" applyAlignment="1">
      <alignment vertical="top"/>
    </xf>
    <xf numFmtId="0" fontId="1704" fillId="0" borderId="1704" xfId="0" applyFont="1" applyBorder="1" applyAlignment="1">
      <alignment vertical="top"/>
    </xf>
    <xf numFmtId="49" fontId="1705" fillId="0" borderId="1705" xfId="0" applyNumberFormat="1" applyFont="1" applyBorder="1" applyAlignment="1">
      <alignment vertical="top"/>
    </xf>
    <xf numFmtId="0" fontId="1706" fillId="0" borderId="1706" xfId="0" applyFont="1" applyBorder="1" applyAlignment="1">
      <alignment vertical="top"/>
    </xf>
    <xf numFmtId="0" fontId="1707" fillId="0" borderId="1707" xfId="0" applyFont="1" applyBorder="1" applyAlignment="1">
      <alignment vertical="top"/>
    </xf>
    <xf numFmtId="49" fontId="1708" fillId="0" borderId="1708" xfId="0" applyNumberFormat="1" applyFont="1" applyBorder="1" applyAlignment="1">
      <alignment vertical="top"/>
    </xf>
    <xf numFmtId="0" fontId="1709" fillId="0" borderId="1709" xfId="0" applyFont="1" applyBorder="1" applyAlignment="1">
      <alignment vertical="top"/>
    </xf>
    <xf numFmtId="0" fontId="1710" fillId="0" borderId="1710" xfId="0" applyFont="1" applyBorder="1" applyAlignment="1">
      <alignment vertical="top"/>
    </xf>
    <xf numFmtId="49" fontId="1711" fillId="0" borderId="1711" xfId="0" applyNumberFormat="1" applyFont="1" applyBorder="1" applyAlignment="1">
      <alignment vertical="top"/>
    </xf>
    <xf numFmtId="0" fontId="1712" fillId="0" borderId="1712" xfId="0" applyFont="1" applyBorder="1" applyAlignment="1">
      <alignment vertical="top"/>
    </xf>
    <xf numFmtId="0" fontId="1713" fillId="0" borderId="1713" xfId="0" applyFont="1" applyBorder="1" applyAlignment="1">
      <alignment vertical="top"/>
    </xf>
    <xf numFmtId="49" fontId="1714" fillId="0" borderId="1714" xfId="0" applyNumberFormat="1" applyFont="1" applyBorder="1" applyAlignment="1">
      <alignment vertical="top"/>
    </xf>
    <xf numFmtId="0" fontId="1715" fillId="0" borderId="1715" xfId="0" applyFont="1" applyBorder="1" applyAlignment="1">
      <alignment vertical="top"/>
    </xf>
    <xf numFmtId="0" fontId="1716" fillId="0" borderId="1716" xfId="0" applyFont="1" applyBorder="1" applyAlignment="1">
      <alignment vertical="top"/>
    </xf>
    <xf numFmtId="49" fontId="1717" fillId="0" borderId="1717" xfId="0" applyNumberFormat="1" applyFont="1" applyBorder="1" applyAlignment="1">
      <alignment vertical="top"/>
    </xf>
    <xf numFmtId="0" fontId="1718" fillId="0" borderId="1718" xfId="0" applyFont="1" applyBorder="1" applyAlignment="1">
      <alignment vertical="top"/>
    </xf>
    <xf numFmtId="0" fontId="1719" fillId="0" borderId="1719" xfId="0" applyFont="1" applyBorder="1" applyAlignment="1">
      <alignment vertical="top"/>
    </xf>
    <xf numFmtId="49" fontId="1720" fillId="0" borderId="1720" xfId="0" applyNumberFormat="1" applyFont="1" applyBorder="1" applyAlignment="1">
      <alignment vertical="top"/>
    </xf>
    <xf numFmtId="0" fontId="1721" fillId="0" borderId="1721" xfId="0" applyFont="1" applyBorder="1" applyAlignment="1">
      <alignment vertical="top"/>
    </xf>
    <xf numFmtId="0" fontId="1722" fillId="0" borderId="1722" xfId="0" applyFont="1" applyBorder="1" applyAlignment="1">
      <alignment vertical="top"/>
    </xf>
    <xf numFmtId="49" fontId="1723" fillId="0" borderId="1723" xfId="0" applyNumberFormat="1" applyFont="1" applyBorder="1" applyAlignment="1">
      <alignment vertical="top"/>
    </xf>
    <xf numFmtId="0" fontId="1724" fillId="0" borderId="1724" xfId="0" applyFont="1" applyBorder="1" applyAlignment="1">
      <alignment vertical="top"/>
    </xf>
    <xf numFmtId="0" fontId="1725" fillId="0" borderId="1725" xfId="0" applyFont="1" applyBorder="1" applyAlignment="1">
      <alignment vertical="top"/>
    </xf>
    <xf numFmtId="49" fontId="1726" fillId="0" borderId="1726" xfId="0" applyNumberFormat="1" applyFont="1" applyBorder="1" applyAlignment="1">
      <alignment vertical="top"/>
    </xf>
    <xf numFmtId="0" fontId="1727" fillId="0" borderId="1727" xfId="0" applyFont="1" applyBorder="1" applyAlignment="1">
      <alignment vertical="top"/>
    </xf>
    <xf numFmtId="0" fontId="1728" fillId="0" borderId="1728" xfId="0" applyFont="1" applyBorder="1" applyAlignment="1">
      <alignment vertical="top"/>
    </xf>
    <xf numFmtId="49" fontId="1729" fillId="0" borderId="1729" xfId="0" applyNumberFormat="1" applyFont="1" applyBorder="1" applyAlignment="1">
      <alignment vertical="top"/>
    </xf>
    <xf numFmtId="0" fontId="1730" fillId="0" borderId="1730" xfId="0" applyFont="1" applyBorder="1" applyAlignment="1">
      <alignment vertical="top"/>
    </xf>
    <xf numFmtId="0" fontId="1731" fillId="0" borderId="1731" xfId="0" applyFont="1" applyBorder="1" applyAlignment="1">
      <alignment vertical="top"/>
    </xf>
    <xf numFmtId="49" fontId="1732" fillId="0" borderId="1732" xfId="0" applyNumberFormat="1" applyFont="1" applyBorder="1" applyAlignment="1">
      <alignment vertical="top"/>
    </xf>
    <xf numFmtId="0" fontId="1733" fillId="0" borderId="1733" xfId="0" applyFont="1" applyBorder="1" applyAlignment="1">
      <alignment vertical="top"/>
    </xf>
    <xf numFmtId="0" fontId="1734" fillId="0" borderId="1734" xfId="0" applyFont="1" applyBorder="1" applyAlignment="1">
      <alignment vertical="top"/>
    </xf>
    <xf numFmtId="49" fontId="1735" fillId="0" borderId="1735" xfId="0" applyNumberFormat="1" applyFont="1" applyBorder="1" applyAlignment="1">
      <alignment vertical="top"/>
    </xf>
    <xf numFmtId="0" fontId="1736" fillId="0" borderId="1736" xfId="0" applyFont="1" applyBorder="1" applyAlignment="1">
      <alignment vertical="top"/>
    </xf>
    <xf numFmtId="0" fontId="1737" fillId="0" borderId="1737" xfId="0" applyFont="1" applyBorder="1" applyAlignment="1">
      <alignment vertical="top"/>
    </xf>
    <xf numFmtId="49" fontId="1738" fillId="0" borderId="1738" xfId="0" applyNumberFormat="1" applyFont="1" applyBorder="1" applyAlignment="1">
      <alignment vertical="top"/>
    </xf>
    <xf numFmtId="0" fontId="1739" fillId="0" borderId="1739" xfId="0" applyFont="1" applyBorder="1" applyAlignment="1">
      <alignment vertical="top"/>
    </xf>
    <xf numFmtId="0" fontId="1740" fillId="0" borderId="1740" xfId="0" applyFont="1" applyBorder="1" applyAlignment="1">
      <alignment vertical="top"/>
    </xf>
    <xf numFmtId="49" fontId="1741" fillId="0" borderId="1741" xfId="0" applyNumberFormat="1" applyFont="1" applyBorder="1" applyAlignment="1">
      <alignment vertical="top"/>
    </xf>
    <xf numFmtId="0" fontId="1742" fillId="0" borderId="1742" xfId="0" applyFont="1" applyBorder="1" applyAlignment="1">
      <alignment vertical="top"/>
    </xf>
    <xf numFmtId="0" fontId="1743" fillId="0" borderId="1743" xfId="0" applyFont="1" applyBorder="1" applyAlignment="1">
      <alignment vertical="top"/>
    </xf>
    <xf numFmtId="49" fontId="1744" fillId="0" borderId="1744" xfId="0" applyNumberFormat="1" applyFont="1" applyBorder="1" applyAlignment="1">
      <alignment vertical="top"/>
    </xf>
    <xf numFmtId="0" fontId="1745" fillId="0" borderId="1745" xfId="0" applyFont="1" applyBorder="1" applyAlignment="1">
      <alignment vertical="top"/>
    </xf>
    <xf numFmtId="0" fontId="1746" fillId="0" borderId="1746" xfId="0" applyFont="1" applyBorder="1" applyAlignment="1">
      <alignment vertical="top"/>
    </xf>
    <xf numFmtId="49" fontId="1747" fillId="0" borderId="1747" xfId="0" applyNumberFormat="1" applyFont="1" applyBorder="1" applyAlignment="1">
      <alignment vertical="top"/>
    </xf>
    <xf numFmtId="0" fontId="1748" fillId="0" borderId="1748" xfId="0" applyFont="1" applyBorder="1" applyAlignment="1">
      <alignment vertical="top"/>
    </xf>
    <xf numFmtId="0" fontId="1749" fillId="0" borderId="1749" xfId="0" applyFont="1" applyBorder="1" applyAlignment="1">
      <alignment vertical="top"/>
    </xf>
    <xf numFmtId="49" fontId="1750" fillId="0" borderId="1750" xfId="0" applyNumberFormat="1" applyFont="1" applyBorder="1" applyAlignment="1">
      <alignment vertical="top"/>
    </xf>
    <xf numFmtId="0" fontId="1751" fillId="0" borderId="1751" xfId="0" applyFont="1" applyBorder="1" applyAlignment="1">
      <alignment vertical="top"/>
    </xf>
    <xf numFmtId="0" fontId="1752" fillId="0" borderId="1752" xfId="0" applyFont="1" applyBorder="1" applyAlignment="1">
      <alignment vertical="top"/>
    </xf>
    <xf numFmtId="49" fontId="1753" fillId="0" borderId="1753" xfId="0" applyNumberFormat="1" applyFont="1" applyBorder="1" applyAlignment="1">
      <alignment vertical="top"/>
    </xf>
    <xf numFmtId="0" fontId="1754" fillId="0" borderId="1754" xfId="0" applyFont="1" applyBorder="1" applyAlignment="1">
      <alignment vertical="top"/>
    </xf>
    <xf numFmtId="0" fontId="1755" fillId="0" borderId="1755" xfId="0" applyFont="1" applyBorder="1" applyAlignment="1">
      <alignment vertical="top"/>
    </xf>
    <xf numFmtId="49" fontId="1756" fillId="0" borderId="1756" xfId="0" applyNumberFormat="1" applyFont="1" applyBorder="1" applyAlignment="1">
      <alignment vertical="top"/>
    </xf>
    <xf numFmtId="0" fontId="1757" fillId="0" borderId="1757" xfId="0" applyFont="1" applyBorder="1" applyAlignment="1">
      <alignment vertical="top"/>
    </xf>
    <xf numFmtId="0" fontId="1758" fillId="0" borderId="1758" xfId="0" applyFont="1" applyBorder="1" applyAlignment="1">
      <alignment vertical="top"/>
    </xf>
    <xf numFmtId="49" fontId="1759" fillId="0" borderId="1759" xfId="0" applyNumberFormat="1" applyFont="1" applyBorder="1" applyAlignment="1">
      <alignment vertical="top"/>
    </xf>
    <xf numFmtId="0" fontId="1760" fillId="0" borderId="1760" xfId="0" applyFont="1" applyBorder="1" applyAlignment="1">
      <alignment vertical="top"/>
    </xf>
    <xf numFmtId="0" fontId="1761" fillId="0" borderId="1761" xfId="0" applyFont="1" applyBorder="1" applyAlignment="1">
      <alignment vertical="top"/>
    </xf>
    <xf numFmtId="49" fontId="1762" fillId="0" borderId="1762" xfId="0" applyNumberFormat="1" applyFont="1" applyBorder="1" applyAlignment="1">
      <alignment vertical="top"/>
    </xf>
    <xf numFmtId="0" fontId="1763" fillId="0" borderId="1763" xfId="0" applyFont="1" applyBorder="1" applyAlignment="1">
      <alignment vertical="top"/>
    </xf>
    <xf numFmtId="0" fontId="1764" fillId="0" borderId="1764" xfId="0" applyFont="1" applyBorder="1" applyAlignment="1">
      <alignment vertical="top"/>
    </xf>
    <xf numFmtId="49" fontId="1765" fillId="0" borderId="1765" xfId="0" applyNumberFormat="1" applyFont="1" applyBorder="1" applyAlignment="1">
      <alignment vertical="top"/>
    </xf>
    <xf numFmtId="0" fontId="1766" fillId="0" borderId="1766" xfId="0" applyFont="1" applyBorder="1" applyAlignment="1">
      <alignment vertical="top"/>
    </xf>
    <xf numFmtId="0" fontId="1767" fillId="0" borderId="1767" xfId="0" applyFont="1" applyBorder="1" applyAlignment="1">
      <alignment vertical="top"/>
    </xf>
    <xf numFmtId="49" fontId="1768" fillId="0" borderId="1768" xfId="0" applyNumberFormat="1" applyFont="1" applyBorder="1" applyAlignment="1">
      <alignment vertical="top"/>
    </xf>
    <xf numFmtId="0" fontId="1769" fillId="0" borderId="1769" xfId="0" applyFont="1" applyBorder="1" applyAlignment="1">
      <alignment vertical="top"/>
    </xf>
    <xf numFmtId="0" fontId="1770" fillId="0" borderId="1770" xfId="0" applyFont="1" applyBorder="1" applyAlignment="1">
      <alignment vertical="top"/>
    </xf>
    <xf numFmtId="49" fontId="1771" fillId="0" borderId="1771" xfId="0" applyNumberFormat="1" applyFont="1" applyBorder="1" applyAlignment="1">
      <alignment vertical="top"/>
    </xf>
    <xf numFmtId="0" fontId="1772" fillId="0" borderId="1772" xfId="0" applyFont="1" applyBorder="1" applyAlignment="1">
      <alignment vertical="top"/>
    </xf>
    <xf numFmtId="0" fontId="1773" fillId="0" borderId="1773" xfId="0" applyFont="1" applyBorder="1" applyAlignment="1">
      <alignment vertical="top"/>
    </xf>
    <xf numFmtId="49" fontId="1774" fillId="0" borderId="1774" xfId="0" applyNumberFormat="1" applyFont="1" applyBorder="1" applyAlignment="1">
      <alignment vertical="top"/>
    </xf>
    <xf numFmtId="0" fontId="1775" fillId="0" borderId="1775" xfId="0" applyFont="1" applyBorder="1" applyAlignment="1">
      <alignment vertical="top"/>
    </xf>
    <xf numFmtId="0" fontId="1776" fillId="0" borderId="1776" xfId="0" applyFont="1" applyBorder="1" applyAlignment="1">
      <alignment vertical="top"/>
    </xf>
    <xf numFmtId="49" fontId="1777" fillId="0" borderId="1777" xfId="0" applyNumberFormat="1" applyFont="1" applyBorder="1" applyAlignment="1">
      <alignment vertical="top"/>
    </xf>
    <xf numFmtId="0" fontId="1778" fillId="0" borderId="1778" xfId="0" applyFont="1" applyBorder="1" applyAlignment="1">
      <alignment vertical="top"/>
    </xf>
    <xf numFmtId="0" fontId="1779" fillId="0" borderId="1779" xfId="0" applyFont="1" applyBorder="1" applyAlignment="1">
      <alignment vertical="top"/>
    </xf>
    <xf numFmtId="49" fontId="1780" fillId="0" borderId="1780" xfId="0" applyNumberFormat="1" applyFont="1" applyBorder="1" applyAlignment="1">
      <alignment vertical="top"/>
    </xf>
    <xf numFmtId="0" fontId="1781" fillId="0" borderId="1781" xfId="0" applyFont="1" applyBorder="1" applyAlignment="1">
      <alignment vertical="top"/>
    </xf>
    <xf numFmtId="0" fontId="1782" fillId="0" borderId="1782" xfId="0" applyFont="1" applyBorder="1" applyAlignment="1">
      <alignment vertical="top"/>
    </xf>
    <xf numFmtId="49" fontId="1783" fillId="0" borderId="1783" xfId="0" applyNumberFormat="1" applyFont="1" applyBorder="1" applyAlignment="1">
      <alignment vertical="top"/>
    </xf>
    <xf numFmtId="0" fontId="1784" fillId="0" borderId="1784" xfId="0" applyFont="1" applyBorder="1" applyAlignment="1">
      <alignment vertical="top"/>
    </xf>
    <xf numFmtId="0" fontId="1785" fillId="0" borderId="1785" xfId="0" applyFont="1" applyBorder="1" applyAlignment="1">
      <alignment vertical="top"/>
    </xf>
    <xf numFmtId="49" fontId="1786" fillId="0" borderId="1786" xfId="0" applyNumberFormat="1" applyFont="1" applyBorder="1" applyAlignment="1">
      <alignment vertical="top"/>
    </xf>
    <xf numFmtId="0" fontId="1787" fillId="0" borderId="1787" xfId="0" applyFont="1" applyBorder="1" applyAlignment="1">
      <alignment vertical="top"/>
    </xf>
    <xf numFmtId="0" fontId="1788" fillId="0" borderId="1788" xfId="0" applyFont="1" applyBorder="1" applyAlignment="1">
      <alignment vertical="top"/>
    </xf>
    <xf numFmtId="49" fontId="1789" fillId="0" borderId="1789" xfId="0" applyNumberFormat="1" applyFont="1" applyBorder="1" applyAlignment="1">
      <alignment vertical="top"/>
    </xf>
    <xf numFmtId="0" fontId="1790" fillId="0" borderId="1790" xfId="0" applyFont="1" applyBorder="1" applyAlignment="1">
      <alignment vertical="top"/>
    </xf>
    <xf numFmtId="0" fontId="1791" fillId="0" borderId="1791" xfId="0" applyFont="1" applyBorder="1" applyAlignment="1">
      <alignment vertical="top"/>
    </xf>
    <xf numFmtId="49" fontId="1792" fillId="0" borderId="1792" xfId="0" applyNumberFormat="1" applyFont="1" applyBorder="1" applyAlignment="1">
      <alignment vertical="top"/>
    </xf>
    <xf numFmtId="0" fontId="1793" fillId="0" borderId="1793" xfId="0" applyFont="1" applyBorder="1" applyAlignment="1">
      <alignment vertical="top"/>
    </xf>
    <xf numFmtId="0" fontId="1794" fillId="0" borderId="1794" xfId="0" applyFont="1" applyBorder="1" applyAlignment="1">
      <alignment vertical="top"/>
    </xf>
    <xf numFmtId="49" fontId="1795" fillId="0" borderId="1795" xfId="0" applyNumberFormat="1" applyFont="1" applyBorder="1" applyAlignment="1">
      <alignment vertical="top"/>
    </xf>
    <xf numFmtId="0" fontId="1796" fillId="0" borderId="1796" xfId="0" applyFont="1" applyBorder="1" applyAlignment="1">
      <alignment vertical="top"/>
    </xf>
    <xf numFmtId="0" fontId="1797" fillId="0" borderId="1797" xfId="0" applyFont="1" applyBorder="1" applyAlignment="1">
      <alignment vertical="top"/>
    </xf>
    <xf numFmtId="49" fontId="1798" fillId="0" borderId="1798" xfId="0" applyNumberFormat="1" applyFont="1" applyBorder="1" applyAlignment="1">
      <alignment vertical="top"/>
    </xf>
    <xf numFmtId="0" fontId="1799" fillId="0" borderId="1799" xfId="0" applyFont="1" applyBorder="1" applyAlignment="1">
      <alignment vertical="top"/>
    </xf>
    <xf numFmtId="0" fontId="1800" fillId="0" borderId="1800" xfId="0" applyFont="1" applyBorder="1" applyAlignment="1">
      <alignment vertical="top"/>
    </xf>
    <xf numFmtId="49" fontId="1801" fillId="0" borderId="1801" xfId="0" applyNumberFormat="1" applyFont="1" applyBorder="1" applyAlignment="1">
      <alignment vertical="top"/>
    </xf>
    <xf numFmtId="0" fontId="1802" fillId="0" borderId="1802" xfId="0" applyFont="1" applyBorder="1" applyAlignment="1">
      <alignment vertical="top"/>
    </xf>
    <xf numFmtId="0" fontId="1803" fillId="0" borderId="1803" xfId="0" applyFont="1" applyBorder="1" applyAlignment="1">
      <alignment vertical="top"/>
    </xf>
    <xf numFmtId="49" fontId="1804" fillId="0" borderId="1804" xfId="0" applyNumberFormat="1" applyFont="1" applyBorder="1" applyAlignment="1">
      <alignment vertical="top"/>
    </xf>
    <xf numFmtId="0" fontId="1805" fillId="0" borderId="1805" xfId="0" applyFont="1" applyBorder="1" applyAlignment="1">
      <alignment vertical="top"/>
    </xf>
    <xf numFmtId="0" fontId="1806" fillId="0" borderId="1806" xfId="0" applyFont="1" applyBorder="1" applyAlignment="1">
      <alignment vertical="top"/>
    </xf>
    <xf numFmtId="49" fontId="1807" fillId="0" borderId="1807" xfId="0" applyNumberFormat="1" applyFont="1" applyBorder="1" applyAlignment="1">
      <alignment vertical="top"/>
    </xf>
    <xf numFmtId="0" fontId="1808" fillId="0" borderId="1808" xfId="0" applyFont="1" applyBorder="1" applyAlignment="1">
      <alignment vertical="top"/>
    </xf>
    <xf numFmtId="0" fontId="1809" fillId="0" borderId="1809" xfId="0" applyFont="1" applyBorder="1" applyAlignment="1">
      <alignment vertical="top"/>
    </xf>
    <xf numFmtId="49" fontId="1810" fillId="0" borderId="1810" xfId="0" applyNumberFormat="1" applyFont="1" applyBorder="1" applyAlignment="1">
      <alignment vertical="top"/>
    </xf>
    <xf numFmtId="0" fontId="1811" fillId="0" borderId="1811" xfId="0" applyFont="1" applyBorder="1" applyAlignment="1">
      <alignment vertical="top"/>
    </xf>
    <xf numFmtId="0" fontId="1812" fillId="0" borderId="1812" xfId="0" applyFont="1" applyBorder="1" applyAlignment="1">
      <alignment vertical="top"/>
    </xf>
    <xf numFmtId="49" fontId="1813" fillId="0" borderId="1813" xfId="0" applyNumberFormat="1" applyFont="1" applyBorder="1" applyAlignment="1">
      <alignment vertical="top"/>
    </xf>
    <xf numFmtId="0" fontId="1814" fillId="0" borderId="1814" xfId="0" applyFont="1" applyBorder="1" applyAlignment="1">
      <alignment vertical="top"/>
    </xf>
    <xf numFmtId="0" fontId="1815" fillId="0" borderId="1815" xfId="0" applyFont="1" applyBorder="1" applyAlignment="1">
      <alignment vertical="top"/>
    </xf>
    <xf numFmtId="49" fontId="1816" fillId="0" borderId="1816" xfId="0" applyNumberFormat="1" applyFont="1" applyBorder="1" applyAlignment="1">
      <alignment vertical="top"/>
    </xf>
    <xf numFmtId="0" fontId="1817" fillId="0" borderId="1817" xfId="0" applyFont="1" applyBorder="1" applyAlignment="1">
      <alignment vertical="top"/>
    </xf>
    <xf numFmtId="0" fontId="1818" fillId="0" borderId="1818" xfId="0" applyFont="1" applyBorder="1" applyAlignment="1">
      <alignment vertical="top"/>
    </xf>
    <xf numFmtId="49" fontId="1819" fillId="0" borderId="1819" xfId="0" applyNumberFormat="1" applyFont="1" applyBorder="1" applyAlignment="1">
      <alignment vertical="top"/>
    </xf>
    <xf numFmtId="0" fontId="1820" fillId="0" borderId="1820" xfId="0" applyFont="1" applyBorder="1" applyAlignment="1">
      <alignment vertical="top"/>
    </xf>
    <xf numFmtId="0" fontId="1821" fillId="0" borderId="1821" xfId="0" applyFont="1" applyBorder="1" applyAlignment="1">
      <alignment vertical="top"/>
    </xf>
    <xf numFmtId="49" fontId="1822" fillId="0" borderId="1822" xfId="0" applyNumberFormat="1" applyFont="1" applyBorder="1" applyAlignment="1">
      <alignment vertical="top"/>
    </xf>
    <xf numFmtId="0" fontId="1823" fillId="0" borderId="1823" xfId="0" applyFont="1" applyBorder="1" applyAlignment="1">
      <alignment vertical="top"/>
    </xf>
    <xf numFmtId="0" fontId="1824" fillId="0" borderId="1824" xfId="0" applyFont="1" applyBorder="1" applyAlignment="1">
      <alignment vertical="top"/>
    </xf>
    <xf numFmtId="49" fontId="1825" fillId="0" borderId="1825" xfId="0" applyNumberFormat="1" applyFont="1" applyBorder="1" applyAlignment="1">
      <alignment vertical="top"/>
    </xf>
    <xf numFmtId="0" fontId="1826" fillId="0" borderId="1826" xfId="0" applyFont="1" applyBorder="1" applyAlignment="1">
      <alignment vertical="top"/>
    </xf>
    <xf numFmtId="0" fontId="1827" fillId="0" borderId="1827" xfId="0" applyFont="1" applyBorder="1" applyAlignment="1">
      <alignment vertical="top"/>
    </xf>
    <xf numFmtId="49" fontId="1828" fillId="0" borderId="1828" xfId="0" applyNumberFormat="1" applyFont="1" applyBorder="1" applyAlignment="1">
      <alignment vertical="top"/>
    </xf>
    <xf numFmtId="0" fontId="1829" fillId="0" borderId="1829" xfId="0" applyFont="1" applyBorder="1" applyAlignment="1">
      <alignment vertical="top"/>
    </xf>
    <xf numFmtId="0" fontId="1830" fillId="0" borderId="1830" xfId="0" applyFont="1" applyBorder="1" applyAlignment="1">
      <alignment vertical="top"/>
    </xf>
    <xf numFmtId="49" fontId="1831" fillId="0" borderId="1831" xfId="0" applyNumberFormat="1" applyFont="1" applyBorder="1" applyAlignment="1">
      <alignment vertical="top"/>
    </xf>
    <xf numFmtId="0" fontId="1832" fillId="0" borderId="1832" xfId="0" applyFont="1" applyBorder="1" applyAlignment="1">
      <alignment vertical="top"/>
    </xf>
    <xf numFmtId="0" fontId="1833" fillId="0" borderId="1833" xfId="0" applyFont="1" applyBorder="1" applyAlignment="1">
      <alignment vertical="top"/>
    </xf>
    <xf numFmtId="49" fontId="1834" fillId="0" borderId="1834" xfId="0" applyNumberFormat="1" applyFont="1" applyBorder="1" applyAlignment="1">
      <alignment vertical="top"/>
    </xf>
    <xf numFmtId="0" fontId="1835" fillId="0" borderId="1835" xfId="0" applyFont="1" applyBorder="1" applyAlignment="1">
      <alignment vertical="top"/>
    </xf>
    <xf numFmtId="0" fontId="1836" fillId="0" borderId="1836" xfId="0" applyFont="1" applyBorder="1" applyAlignment="1">
      <alignment vertical="top"/>
    </xf>
    <xf numFmtId="49" fontId="1837" fillId="0" borderId="1837" xfId="0" applyNumberFormat="1" applyFont="1" applyBorder="1" applyAlignment="1">
      <alignment vertical="top"/>
    </xf>
    <xf numFmtId="0" fontId="1838" fillId="0" borderId="1838" xfId="0" applyFont="1" applyBorder="1" applyAlignment="1">
      <alignment vertical="top"/>
    </xf>
    <xf numFmtId="0" fontId="1839" fillId="0" borderId="1839" xfId="0" applyFont="1" applyBorder="1" applyAlignment="1">
      <alignment vertical="top"/>
    </xf>
    <xf numFmtId="49" fontId="1840" fillId="0" borderId="1840" xfId="0" applyNumberFormat="1" applyFont="1" applyBorder="1" applyAlignment="1">
      <alignment vertical="top"/>
    </xf>
    <xf numFmtId="0" fontId="1841" fillId="0" borderId="1841" xfId="0" applyFont="1" applyBorder="1" applyAlignment="1">
      <alignment vertical="top"/>
    </xf>
    <xf numFmtId="0" fontId="1842" fillId="0" borderId="1842" xfId="0" applyFont="1" applyBorder="1" applyAlignment="1">
      <alignment vertical="top"/>
    </xf>
    <xf numFmtId="49" fontId="1843" fillId="0" borderId="1843" xfId="0" applyNumberFormat="1" applyFont="1" applyBorder="1" applyAlignment="1">
      <alignment vertical="top"/>
    </xf>
    <xf numFmtId="0" fontId="1844" fillId="0" borderId="1844" xfId="0" applyFont="1" applyBorder="1" applyAlignment="1">
      <alignment vertical="top"/>
    </xf>
    <xf numFmtId="0" fontId="1845" fillId="0" borderId="1845" xfId="0" applyFont="1" applyBorder="1" applyAlignment="1">
      <alignment vertical="top"/>
    </xf>
    <xf numFmtId="49" fontId="1846" fillId="0" borderId="1846" xfId="0" applyNumberFormat="1" applyFont="1" applyBorder="1" applyAlignment="1">
      <alignment vertical="top"/>
    </xf>
    <xf numFmtId="0" fontId="1847" fillId="0" borderId="1847" xfId="0" applyFont="1" applyBorder="1" applyAlignment="1">
      <alignment vertical="top"/>
    </xf>
    <xf numFmtId="0" fontId="1848" fillId="0" borderId="1848" xfId="0" applyFont="1" applyBorder="1" applyAlignment="1">
      <alignment vertical="top"/>
    </xf>
    <xf numFmtId="49" fontId="1849" fillId="0" borderId="1849" xfId="0" applyNumberFormat="1" applyFont="1" applyBorder="1" applyAlignment="1">
      <alignment vertical="top"/>
    </xf>
    <xf numFmtId="0" fontId="1850" fillId="0" borderId="1850" xfId="0" applyFont="1" applyBorder="1" applyAlignment="1">
      <alignment vertical="top"/>
    </xf>
    <xf numFmtId="0" fontId="1851" fillId="0" borderId="1851" xfId="0" applyFont="1" applyBorder="1" applyAlignment="1">
      <alignment vertical="top"/>
    </xf>
    <xf numFmtId="49" fontId="1852" fillId="0" borderId="1852" xfId="0" applyNumberFormat="1" applyFont="1" applyBorder="1" applyAlignment="1">
      <alignment vertical="top"/>
    </xf>
    <xf numFmtId="0" fontId="1853" fillId="0" borderId="1853" xfId="0" applyFont="1" applyBorder="1" applyAlignment="1">
      <alignment vertical="top"/>
    </xf>
    <xf numFmtId="0" fontId="1854" fillId="0" borderId="1854" xfId="0" applyFont="1" applyBorder="1" applyAlignment="1">
      <alignment vertical="top"/>
    </xf>
    <xf numFmtId="49" fontId="1855" fillId="0" borderId="1855" xfId="0" applyNumberFormat="1" applyFont="1" applyBorder="1" applyAlignment="1">
      <alignment vertical="top"/>
    </xf>
    <xf numFmtId="0" fontId="1856" fillId="0" borderId="1856" xfId="0" applyFont="1" applyBorder="1" applyAlignment="1">
      <alignment vertical="top"/>
    </xf>
    <xf numFmtId="0" fontId="1857" fillId="0" borderId="1857" xfId="0" applyFont="1" applyBorder="1" applyAlignment="1">
      <alignment vertical="top"/>
    </xf>
    <xf numFmtId="49" fontId="1858" fillId="0" borderId="1858" xfId="0" applyNumberFormat="1" applyFont="1" applyBorder="1" applyAlignment="1">
      <alignment vertical="top"/>
    </xf>
    <xf numFmtId="0" fontId="1859" fillId="0" borderId="1859" xfId="0" applyFont="1" applyBorder="1" applyAlignment="1">
      <alignment vertical="top"/>
    </xf>
    <xf numFmtId="0" fontId="1860" fillId="0" borderId="1860" xfId="0" applyFont="1" applyBorder="1" applyAlignment="1">
      <alignment vertical="top"/>
    </xf>
    <xf numFmtId="49" fontId="1861" fillId="0" borderId="1861" xfId="0" applyNumberFormat="1" applyFont="1" applyBorder="1" applyAlignment="1">
      <alignment vertical="top"/>
    </xf>
    <xf numFmtId="0" fontId="1862" fillId="0" borderId="1862" xfId="0" applyFont="1" applyBorder="1" applyAlignment="1">
      <alignment vertical="top"/>
    </xf>
    <xf numFmtId="0" fontId="1863" fillId="0" borderId="1863" xfId="0" applyFont="1" applyBorder="1" applyAlignment="1">
      <alignment vertical="top"/>
    </xf>
    <xf numFmtId="49" fontId="1864" fillId="0" borderId="1864" xfId="0" applyNumberFormat="1" applyFont="1" applyBorder="1" applyAlignment="1">
      <alignment vertical="top"/>
    </xf>
    <xf numFmtId="0" fontId="1865" fillId="0" borderId="1865" xfId="0" applyFont="1" applyBorder="1" applyAlignment="1">
      <alignment vertical="top"/>
    </xf>
    <xf numFmtId="0" fontId="1866" fillId="0" borderId="1866" xfId="0" applyFont="1" applyBorder="1" applyAlignment="1">
      <alignment vertical="top"/>
    </xf>
    <xf numFmtId="49" fontId="1867" fillId="0" borderId="1867" xfId="0" applyNumberFormat="1" applyFont="1" applyBorder="1" applyAlignment="1">
      <alignment vertical="top"/>
    </xf>
    <xf numFmtId="0" fontId="1868" fillId="0" borderId="1868" xfId="0" applyFont="1" applyBorder="1" applyAlignment="1">
      <alignment vertical="top"/>
    </xf>
    <xf numFmtId="0" fontId="1869" fillId="0" borderId="1869" xfId="0" applyFont="1" applyBorder="1" applyAlignment="1">
      <alignment vertical="top"/>
    </xf>
    <xf numFmtId="49" fontId="1870" fillId="0" borderId="1870" xfId="0" applyNumberFormat="1" applyFont="1" applyBorder="1" applyAlignment="1">
      <alignment vertical="top"/>
    </xf>
    <xf numFmtId="0" fontId="1871" fillId="0" borderId="1871" xfId="0" applyFont="1" applyBorder="1" applyAlignment="1">
      <alignment vertical="top"/>
    </xf>
    <xf numFmtId="0" fontId="1872" fillId="0" borderId="1872" xfId="0" applyFont="1" applyBorder="1" applyAlignment="1">
      <alignment vertical="top"/>
    </xf>
    <xf numFmtId="49" fontId="1873" fillId="0" borderId="1873" xfId="0" applyNumberFormat="1" applyFont="1" applyBorder="1" applyAlignment="1">
      <alignment vertical="top"/>
    </xf>
    <xf numFmtId="0" fontId="1874" fillId="0" borderId="1874" xfId="0" applyFont="1" applyBorder="1" applyAlignment="1">
      <alignment vertical="top"/>
    </xf>
    <xf numFmtId="0" fontId="1875" fillId="0" borderId="1875" xfId="0" applyFont="1" applyBorder="1" applyAlignment="1">
      <alignment vertical="top"/>
    </xf>
    <xf numFmtId="49" fontId="1876" fillId="0" borderId="1876" xfId="0" applyNumberFormat="1" applyFont="1" applyBorder="1" applyAlignment="1">
      <alignment vertical="top"/>
    </xf>
    <xf numFmtId="0" fontId="1877" fillId="0" borderId="1877" xfId="0" applyFont="1" applyBorder="1" applyAlignment="1">
      <alignment vertical="top"/>
    </xf>
    <xf numFmtId="0" fontId="1878" fillId="0" borderId="1878" xfId="0" applyFont="1" applyBorder="1" applyAlignment="1">
      <alignment vertical="top"/>
    </xf>
    <xf numFmtId="49" fontId="1879" fillId="0" borderId="1879" xfId="0" applyNumberFormat="1" applyFont="1" applyBorder="1" applyAlignment="1">
      <alignment vertical="top"/>
    </xf>
    <xf numFmtId="0" fontId="1880" fillId="0" borderId="1880" xfId="0" applyFont="1" applyBorder="1" applyAlignment="1">
      <alignment vertical="top"/>
    </xf>
    <xf numFmtId="0" fontId="1881" fillId="0" borderId="1881" xfId="0" applyFont="1" applyBorder="1" applyAlignment="1">
      <alignment vertical="top"/>
    </xf>
    <xf numFmtId="49" fontId="1882" fillId="0" borderId="1882" xfId="0" applyNumberFormat="1" applyFont="1" applyBorder="1" applyAlignment="1">
      <alignment vertical="top"/>
    </xf>
    <xf numFmtId="0" fontId="1883" fillId="0" borderId="1883" xfId="0" applyFont="1" applyBorder="1" applyAlignment="1">
      <alignment vertical="top"/>
    </xf>
    <xf numFmtId="0" fontId="1884" fillId="0" borderId="1884" xfId="0" applyFont="1" applyBorder="1" applyAlignment="1">
      <alignment vertical="top"/>
    </xf>
    <xf numFmtId="49" fontId="1885" fillId="0" borderId="1885" xfId="0" applyNumberFormat="1" applyFont="1" applyBorder="1" applyAlignment="1">
      <alignment vertical="top"/>
    </xf>
    <xf numFmtId="0" fontId="1886" fillId="0" borderId="1886" xfId="0" applyFont="1" applyBorder="1" applyAlignment="1">
      <alignment vertical="top"/>
    </xf>
    <xf numFmtId="0" fontId="1887" fillId="0" borderId="1887" xfId="0" applyFont="1" applyBorder="1" applyAlignment="1">
      <alignment vertical="top"/>
    </xf>
    <xf numFmtId="49" fontId="1888" fillId="0" borderId="1888" xfId="0" applyNumberFormat="1" applyFont="1" applyBorder="1" applyAlignment="1">
      <alignment vertical="top"/>
    </xf>
    <xf numFmtId="0" fontId="1889" fillId="0" borderId="1889" xfId="0" applyFont="1" applyBorder="1" applyAlignment="1">
      <alignment vertical="top"/>
    </xf>
    <xf numFmtId="0" fontId="1890" fillId="0" borderId="1890" xfId="0" applyFont="1" applyBorder="1" applyAlignment="1">
      <alignment vertical="top"/>
    </xf>
    <xf numFmtId="49" fontId="1891" fillId="0" borderId="1891" xfId="0" applyNumberFormat="1" applyFont="1" applyBorder="1" applyAlignment="1">
      <alignment vertical="top"/>
    </xf>
    <xf numFmtId="0" fontId="1892" fillId="0" borderId="1892" xfId="0" applyFont="1" applyBorder="1" applyAlignment="1">
      <alignment vertical="top"/>
    </xf>
    <xf numFmtId="0" fontId="1893" fillId="0" borderId="1893" xfId="0" applyFont="1" applyBorder="1" applyAlignment="1">
      <alignment vertical="top"/>
    </xf>
    <xf numFmtId="49" fontId="1894" fillId="0" borderId="1894" xfId="0" applyNumberFormat="1" applyFont="1" applyBorder="1" applyAlignment="1">
      <alignment vertical="top"/>
    </xf>
    <xf numFmtId="0" fontId="1895" fillId="0" borderId="1895" xfId="0" applyFont="1" applyBorder="1" applyAlignment="1">
      <alignment vertical="top"/>
    </xf>
    <xf numFmtId="0" fontId="1896" fillId="0" borderId="1896" xfId="0" applyFont="1" applyBorder="1" applyAlignment="1">
      <alignment vertical="top"/>
    </xf>
    <xf numFmtId="49" fontId="1897" fillId="0" borderId="1897" xfId="0" applyNumberFormat="1" applyFont="1" applyBorder="1" applyAlignment="1">
      <alignment vertical="top"/>
    </xf>
    <xf numFmtId="0" fontId="1898" fillId="0" borderId="1898" xfId="0" applyFont="1" applyBorder="1" applyAlignment="1">
      <alignment vertical="top"/>
    </xf>
    <xf numFmtId="0" fontId="1899" fillId="0" borderId="1899" xfId="0" applyFont="1" applyBorder="1" applyAlignment="1">
      <alignment vertical="top"/>
    </xf>
    <xf numFmtId="49" fontId="1900" fillId="0" borderId="1900" xfId="0" applyNumberFormat="1" applyFont="1" applyBorder="1" applyAlignment="1">
      <alignment vertical="top"/>
    </xf>
    <xf numFmtId="0" fontId="1901" fillId="0" borderId="1901" xfId="0" applyFont="1" applyBorder="1" applyAlignment="1">
      <alignment vertical="top"/>
    </xf>
    <xf numFmtId="0" fontId="1902" fillId="0" borderId="1902" xfId="0" applyFont="1" applyBorder="1" applyAlignment="1">
      <alignment vertical="top"/>
    </xf>
    <xf numFmtId="49" fontId="1903" fillId="0" borderId="1903" xfId="0" applyNumberFormat="1" applyFont="1" applyBorder="1" applyAlignment="1">
      <alignment vertical="top"/>
    </xf>
    <xf numFmtId="0" fontId="1904" fillId="0" borderId="1904" xfId="0" applyFont="1" applyBorder="1" applyAlignment="1">
      <alignment vertical="top"/>
    </xf>
    <xf numFmtId="0" fontId="1905" fillId="0" borderId="1905" xfId="0" applyFont="1" applyBorder="1" applyAlignment="1">
      <alignment vertical="top"/>
    </xf>
    <xf numFmtId="49" fontId="1906" fillId="0" borderId="1906" xfId="0" applyNumberFormat="1" applyFont="1" applyBorder="1" applyAlignment="1">
      <alignment vertical="top"/>
    </xf>
    <xf numFmtId="0" fontId="1907" fillId="0" borderId="1907" xfId="0" applyFont="1" applyBorder="1" applyAlignment="1">
      <alignment vertical="top"/>
    </xf>
    <xf numFmtId="0" fontId="1908" fillId="0" borderId="1908" xfId="0" applyFont="1" applyBorder="1" applyAlignment="1">
      <alignment vertical="top"/>
    </xf>
    <xf numFmtId="49" fontId="1909" fillId="0" borderId="1909" xfId="0" applyNumberFormat="1" applyFont="1" applyBorder="1" applyAlignment="1">
      <alignment vertical="top"/>
    </xf>
    <xf numFmtId="0" fontId="1910" fillId="0" borderId="1910" xfId="0" applyFont="1" applyBorder="1" applyAlignment="1">
      <alignment vertical="top"/>
    </xf>
    <xf numFmtId="0" fontId="1911" fillId="0" borderId="1911" xfId="0" applyFont="1" applyBorder="1" applyAlignment="1">
      <alignment vertical="top"/>
    </xf>
    <xf numFmtId="49" fontId="1912" fillId="0" borderId="1912" xfId="0" applyNumberFormat="1" applyFont="1" applyBorder="1" applyAlignment="1">
      <alignment vertical="top"/>
    </xf>
    <xf numFmtId="0" fontId="1913" fillId="0" borderId="1913" xfId="0" applyFont="1" applyBorder="1" applyAlignment="1">
      <alignment vertical="top"/>
    </xf>
    <xf numFmtId="0" fontId="1914" fillId="0" borderId="1914" xfId="0" applyFont="1" applyBorder="1" applyAlignment="1">
      <alignment vertical="top"/>
    </xf>
    <xf numFmtId="49" fontId="1915" fillId="0" borderId="1915" xfId="0" applyNumberFormat="1" applyFont="1" applyBorder="1" applyAlignment="1">
      <alignment vertical="top"/>
    </xf>
    <xf numFmtId="0" fontId="1916" fillId="0" borderId="1916" xfId="0" applyFont="1" applyBorder="1" applyAlignment="1">
      <alignment vertical="top"/>
    </xf>
    <xf numFmtId="0" fontId="1917" fillId="0" borderId="1917" xfId="0" applyFont="1" applyBorder="1" applyAlignment="1">
      <alignment vertical="top"/>
    </xf>
    <xf numFmtId="49" fontId="1918" fillId="0" borderId="1918" xfId="0" applyNumberFormat="1" applyFont="1" applyBorder="1" applyAlignment="1">
      <alignment vertical="top"/>
    </xf>
    <xf numFmtId="0" fontId="1919" fillId="0" borderId="1919" xfId="0" applyFont="1" applyBorder="1" applyAlignment="1">
      <alignment vertical="top"/>
    </xf>
    <xf numFmtId="0" fontId="1920" fillId="0" borderId="1920" xfId="0" applyFont="1" applyBorder="1" applyAlignment="1">
      <alignment vertical="top"/>
    </xf>
    <xf numFmtId="49" fontId="1921" fillId="0" borderId="1921" xfId="0" applyNumberFormat="1" applyFont="1" applyBorder="1" applyAlignment="1">
      <alignment vertical="top"/>
    </xf>
    <xf numFmtId="0" fontId="1922" fillId="0" borderId="1922" xfId="0" applyFont="1" applyBorder="1" applyAlignment="1">
      <alignment vertical="top"/>
    </xf>
    <xf numFmtId="0" fontId="1923" fillId="0" borderId="1923" xfId="0" applyFont="1" applyBorder="1" applyAlignment="1">
      <alignment vertical="top"/>
    </xf>
    <xf numFmtId="49" fontId="1924" fillId="0" borderId="1924" xfId="0" applyNumberFormat="1" applyFont="1" applyBorder="1" applyAlignment="1">
      <alignment vertical="top"/>
    </xf>
    <xf numFmtId="0" fontId="1925" fillId="0" borderId="1925" xfId="0" applyFont="1" applyBorder="1" applyAlignment="1">
      <alignment vertical="top"/>
    </xf>
    <xf numFmtId="0" fontId="1926" fillId="0" borderId="1926" xfId="0" applyFont="1" applyBorder="1" applyAlignment="1">
      <alignment vertical="top"/>
    </xf>
    <xf numFmtId="49" fontId="1927" fillId="0" borderId="1927" xfId="0" applyNumberFormat="1" applyFont="1" applyBorder="1" applyAlignment="1">
      <alignment vertical="top"/>
    </xf>
    <xf numFmtId="0" fontId="1928" fillId="0" borderId="1928" xfId="0" applyFont="1" applyBorder="1" applyAlignment="1">
      <alignment vertical="top"/>
    </xf>
    <xf numFmtId="0" fontId="1929" fillId="0" borderId="1929" xfId="0" applyFont="1" applyBorder="1" applyAlignment="1">
      <alignment vertical="top"/>
    </xf>
    <xf numFmtId="49" fontId="1930" fillId="0" borderId="1930" xfId="0" applyNumberFormat="1" applyFont="1" applyBorder="1" applyAlignment="1">
      <alignment vertical="top"/>
    </xf>
    <xf numFmtId="0" fontId="1931" fillId="0" borderId="1931" xfId="0" applyFont="1" applyBorder="1" applyAlignment="1">
      <alignment vertical="top"/>
    </xf>
    <xf numFmtId="0" fontId="1932" fillId="0" borderId="1932" xfId="0" applyFont="1" applyBorder="1" applyAlignment="1">
      <alignment vertical="top"/>
    </xf>
    <xf numFmtId="49" fontId="1933" fillId="0" borderId="1933" xfId="0" applyNumberFormat="1" applyFont="1" applyBorder="1" applyAlignment="1">
      <alignment vertical="top"/>
    </xf>
    <xf numFmtId="0" fontId="1934" fillId="0" borderId="1934" xfId="0" applyFont="1" applyBorder="1" applyAlignment="1">
      <alignment vertical="top"/>
    </xf>
    <xf numFmtId="0" fontId="1935" fillId="0" borderId="1935" xfId="0" applyFont="1" applyBorder="1" applyAlignment="1">
      <alignment vertical="top"/>
    </xf>
    <xf numFmtId="49" fontId="1936" fillId="0" borderId="1936" xfId="0" applyNumberFormat="1" applyFont="1" applyBorder="1" applyAlignment="1">
      <alignment vertical="top"/>
    </xf>
    <xf numFmtId="0" fontId="1937" fillId="0" borderId="1937" xfId="0" applyFont="1" applyBorder="1" applyAlignment="1">
      <alignment vertical="top"/>
    </xf>
    <xf numFmtId="0" fontId="1938" fillId="0" borderId="1938" xfId="0" applyFont="1" applyBorder="1" applyAlignment="1">
      <alignment vertical="top"/>
    </xf>
    <xf numFmtId="49" fontId="1939" fillId="0" borderId="1939" xfId="0" applyNumberFormat="1" applyFont="1" applyBorder="1" applyAlignment="1">
      <alignment vertical="top"/>
    </xf>
    <xf numFmtId="0" fontId="1940" fillId="0" borderId="1940" xfId="0" applyFont="1" applyBorder="1" applyAlignment="1">
      <alignment vertical="top"/>
    </xf>
    <xf numFmtId="0" fontId="1941" fillId="0" borderId="1941" xfId="0" applyFont="1" applyBorder="1" applyAlignment="1">
      <alignment vertical="top"/>
    </xf>
    <xf numFmtId="49" fontId="1942" fillId="0" borderId="1942" xfId="0" applyNumberFormat="1" applyFont="1" applyBorder="1" applyAlignment="1">
      <alignment vertical="top"/>
    </xf>
    <xf numFmtId="0" fontId="1943" fillId="0" borderId="1943" xfId="0" applyFont="1" applyBorder="1" applyAlignment="1">
      <alignment vertical="top"/>
    </xf>
    <xf numFmtId="0" fontId="1944" fillId="0" borderId="1944" xfId="0" applyFont="1" applyBorder="1" applyAlignment="1">
      <alignment vertical="top"/>
    </xf>
    <xf numFmtId="49" fontId="1945" fillId="0" borderId="1945" xfId="0" applyNumberFormat="1" applyFont="1" applyBorder="1" applyAlignment="1">
      <alignment vertical="top"/>
    </xf>
    <xf numFmtId="0" fontId="1946" fillId="0" borderId="1946" xfId="0" applyFont="1" applyBorder="1" applyAlignment="1">
      <alignment vertical="top"/>
    </xf>
    <xf numFmtId="0" fontId="1947" fillId="0" borderId="1947" xfId="0" applyFont="1" applyBorder="1" applyAlignment="1">
      <alignment vertical="top"/>
    </xf>
    <xf numFmtId="49" fontId="1948" fillId="0" borderId="1948" xfId="0" applyNumberFormat="1" applyFont="1" applyBorder="1" applyAlignment="1">
      <alignment vertical="top"/>
    </xf>
    <xf numFmtId="0" fontId="1949" fillId="0" borderId="1949" xfId="0" applyFont="1" applyBorder="1" applyAlignment="1">
      <alignment vertical="top"/>
    </xf>
    <xf numFmtId="0" fontId="1950" fillId="0" borderId="1950" xfId="0" applyFont="1" applyBorder="1" applyAlignment="1">
      <alignment vertical="top"/>
    </xf>
    <xf numFmtId="49" fontId="1951" fillId="0" borderId="1951" xfId="0" applyNumberFormat="1" applyFont="1" applyBorder="1" applyAlignment="1">
      <alignment vertical="top"/>
    </xf>
    <xf numFmtId="0" fontId="1952" fillId="0" borderId="1952" xfId="0" applyFont="1" applyBorder="1" applyAlignment="1">
      <alignment vertical="top"/>
    </xf>
    <xf numFmtId="0" fontId="1953" fillId="0" borderId="1953" xfId="0" applyFont="1" applyBorder="1" applyAlignment="1">
      <alignment vertical="top"/>
    </xf>
    <xf numFmtId="49" fontId="1954" fillId="0" borderId="1954" xfId="0" applyNumberFormat="1" applyFont="1" applyBorder="1" applyAlignment="1">
      <alignment vertical="top"/>
    </xf>
    <xf numFmtId="0" fontId="1955" fillId="0" borderId="1955" xfId="0" applyFont="1" applyBorder="1" applyAlignment="1">
      <alignment vertical="top"/>
    </xf>
    <xf numFmtId="0" fontId="1956" fillId="0" borderId="1956" xfId="0" applyFont="1" applyBorder="1" applyAlignment="1">
      <alignment vertical="top"/>
    </xf>
    <xf numFmtId="49" fontId="1957" fillId="0" borderId="1957" xfId="0" applyNumberFormat="1" applyFont="1" applyBorder="1" applyAlignment="1">
      <alignment vertical="top"/>
    </xf>
    <xf numFmtId="0" fontId="1958" fillId="0" borderId="1958" xfId="0" applyFont="1" applyBorder="1" applyAlignment="1">
      <alignment vertical="top"/>
    </xf>
    <xf numFmtId="0" fontId="1959" fillId="0" borderId="1959" xfId="0" applyFont="1" applyBorder="1" applyAlignment="1">
      <alignment vertical="top"/>
    </xf>
    <xf numFmtId="49" fontId="1960" fillId="0" borderId="1960" xfId="0" applyNumberFormat="1" applyFont="1" applyBorder="1" applyAlignment="1">
      <alignment vertical="top"/>
    </xf>
    <xf numFmtId="0" fontId="1961" fillId="0" borderId="1961" xfId="0" applyFont="1" applyBorder="1" applyAlignment="1">
      <alignment vertical="top"/>
    </xf>
    <xf numFmtId="0" fontId="1962" fillId="0" borderId="1962" xfId="0" applyFont="1" applyBorder="1" applyAlignment="1">
      <alignment vertical="top"/>
    </xf>
    <xf numFmtId="49" fontId="1963" fillId="0" borderId="1963" xfId="0" applyNumberFormat="1" applyFont="1" applyBorder="1" applyAlignment="1">
      <alignment vertical="top"/>
    </xf>
    <xf numFmtId="0" fontId="1964" fillId="0" borderId="1964" xfId="0" applyFont="1" applyBorder="1" applyAlignment="1">
      <alignment vertical="top"/>
    </xf>
    <xf numFmtId="0" fontId="1965" fillId="0" borderId="1965" xfId="0" applyFont="1" applyBorder="1" applyAlignment="1">
      <alignment vertical="top"/>
    </xf>
    <xf numFmtId="49" fontId="1966" fillId="0" borderId="1966" xfId="0" applyNumberFormat="1" applyFont="1" applyBorder="1" applyAlignment="1">
      <alignment vertical="top"/>
    </xf>
    <xf numFmtId="0" fontId="1967" fillId="0" borderId="1967" xfId="0" applyFont="1" applyBorder="1" applyAlignment="1">
      <alignment vertical="top"/>
    </xf>
    <xf numFmtId="0" fontId="1968" fillId="0" borderId="1968" xfId="0" applyFont="1" applyBorder="1" applyAlignment="1">
      <alignment vertical="top"/>
    </xf>
    <xf numFmtId="49" fontId="1969" fillId="0" borderId="1969" xfId="0" applyNumberFormat="1" applyFont="1" applyBorder="1" applyAlignment="1">
      <alignment vertical="top"/>
    </xf>
    <xf numFmtId="0" fontId="1970" fillId="0" borderId="1970" xfId="0" applyFont="1" applyBorder="1" applyAlignment="1">
      <alignment vertical="top"/>
    </xf>
    <xf numFmtId="0" fontId="1971" fillId="0" borderId="1971" xfId="0" applyFont="1" applyBorder="1" applyAlignment="1">
      <alignment vertical="top"/>
    </xf>
    <xf numFmtId="49" fontId="1972" fillId="0" borderId="1972" xfId="0" applyNumberFormat="1" applyFont="1" applyBorder="1" applyAlignment="1">
      <alignment vertical="top"/>
    </xf>
    <xf numFmtId="0" fontId="1973" fillId="0" borderId="1973" xfId="0" applyFont="1" applyBorder="1" applyAlignment="1">
      <alignment vertical="top"/>
    </xf>
    <xf numFmtId="0" fontId="1974" fillId="0" borderId="1974" xfId="0" applyFont="1" applyBorder="1" applyAlignment="1">
      <alignment vertical="top"/>
    </xf>
    <xf numFmtId="49" fontId="1975" fillId="0" borderId="1975" xfId="0" applyNumberFormat="1" applyFont="1" applyBorder="1" applyAlignment="1">
      <alignment vertical="top"/>
    </xf>
    <xf numFmtId="0" fontId="1976" fillId="0" borderId="1976" xfId="0" applyFont="1" applyBorder="1" applyAlignment="1">
      <alignment vertical="top"/>
    </xf>
    <xf numFmtId="0" fontId="1977" fillId="0" borderId="1977" xfId="0" applyFont="1" applyBorder="1" applyAlignment="1">
      <alignment vertical="top"/>
    </xf>
    <xf numFmtId="49" fontId="1978" fillId="0" borderId="1978" xfId="0" applyNumberFormat="1" applyFont="1" applyBorder="1" applyAlignment="1">
      <alignment vertical="top"/>
    </xf>
    <xf numFmtId="0" fontId="1979" fillId="0" borderId="1979" xfId="0" applyFont="1" applyBorder="1" applyAlignment="1">
      <alignment vertical="top"/>
    </xf>
    <xf numFmtId="0" fontId="1980" fillId="0" borderId="1980" xfId="0" applyFont="1" applyBorder="1" applyAlignment="1">
      <alignment vertical="top"/>
    </xf>
    <xf numFmtId="49" fontId="1981" fillId="0" borderId="1981" xfId="0" applyNumberFormat="1" applyFont="1" applyBorder="1" applyAlignment="1">
      <alignment vertical="top"/>
    </xf>
    <xf numFmtId="0" fontId="1982" fillId="0" borderId="1982" xfId="0" applyFont="1" applyBorder="1" applyAlignment="1">
      <alignment vertical="top"/>
    </xf>
    <xf numFmtId="0" fontId="1983" fillId="0" borderId="1983" xfId="0" applyFont="1" applyBorder="1" applyAlignment="1">
      <alignment vertical="top"/>
    </xf>
    <xf numFmtId="49" fontId="1984" fillId="0" borderId="1984" xfId="0" applyNumberFormat="1" applyFont="1" applyBorder="1" applyAlignment="1">
      <alignment vertical="top"/>
    </xf>
    <xf numFmtId="0" fontId="1985" fillId="0" borderId="1985" xfId="0" applyFont="1" applyBorder="1" applyAlignment="1">
      <alignment vertical="top"/>
    </xf>
    <xf numFmtId="0" fontId="1986" fillId="0" borderId="1986" xfId="0" applyFont="1" applyBorder="1" applyAlignment="1">
      <alignment vertical="top"/>
    </xf>
    <xf numFmtId="49" fontId="1987" fillId="0" borderId="1987" xfId="0" applyNumberFormat="1" applyFont="1" applyBorder="1" applyAlignment="1">
      <alignment vertical="top"/>
    </xf>
    <xf numFmtId="0" fontId="1988" fillId="0" borderId="1988" xfId="0" applyFont="1" applyBorder="1" applyAlignment="1">
      <alignment vertical="top"/>
    </xf>
    <xf numFmtId="0" fontId="1989" fillId="0" borderId="1989" xfId="0" applyFont="1" applyBorder="1" applyAlignment="1">
      <alignment vertical="top"/>
    </xf>
    <xf numFmtId="49" fontId="1990" fillId="0" borderId="1990" xfId="0" applyNumberFormat="1" applyFont="1" applyBorder="1" applyAlignment="1">
      <alignment vertical="top"/>
    </xf>
    <xf numFmtId="0" fontId="1991" fillId="0" borderId="1991" xfId="0" applyFont="1" applyBorder="1" applyAlignment="1">
      <alignment vertical="top"/>
    </xf>
    <xf numFmtId="0" fontId="1992" fillId="0" borderId="1992" xfId="0" applyFont="1" applyBorder="1" applyAlignment="1">
      <alignment vertical="top"/>
    </xf>
    <xf numFmtId="49" fontId="1993" fillId="0" borderId="1993" xfId="0" applyNumberFormat="1" applyFont="1" applyBorder="1" applyAlignment="1">
      <alignment vertical="top"/>
    </xf>
    <xf numFmtId="0" fontId="1994" fillId="0" borderId="1994" xfId="0" applyFont="1" applyBorder="1" applyAlignment="1">
      <alignment vertical="top"/>
    </xf>
    <xf numFmtId="0" fontId="1995" fillId="0" borderId="1995" xfId="0" applyFont="1" applyBorder="1" applyAlignment="1">
      <alignment vertical="top"/>
    </xf>
    <xf numFmtId="49" fontId="1996" fillId="0" borderId="1996" xfId="0" applyNumberFormat="1" applyFont="1" applyBorder="1" applyAlignment="1">
      <alignment vertical="top"/>
    </xf>
    <xf numFmtId="0" fontId="1997" fillId="0" borderId="1997" xfId="0" applyFont="1" applyBorder="1" applyAlignment="1">
      <alignment vertical="top"/>
    </xf>
    <xf numFmtId="0" fontId="1998" fillId="0" borderId="1998" xfId="0" applyFont="1" applyBorder="1" applyAlignment="1">
      <alignment vertical="top"/>
    </xf>
    <xf numFmtId="49" fontId="1999" fillId="0" borderId="1999" xfId="0" applyNumberFormat="1" applyFont="1" applyBorder="1" applyAlignment="1">
      <alignment vertical="top"/>
    </xf>
    <xf numFmtId="0" fontId="2000" fillId="0" borderId="2000" xfId="0" applyFont="1" applyBorder="1" applyAlignment="1">
      <alignment vertical="top"/>
    </xf>
    <xf numFmtId="0" fontId="2001" fillId="0" borderId="2001" xfId="0" applyFont="1" applyBorder="1" applyAlignment="1">
      <alignment vertical="top"/>
    </xf>
    <xf numFmtId="49" fontId="2002" fillId="0" borderId="2002" xfId="0" applyNumberFormat="1" applyFont="1" applyBorder="1" applyAlignment="1">
      <alignment vertical="top"/>
    </xf>
    <xf numFmtId="0" fontId="2003" fillId="0" borderId="2003" xfId="0" applyFont="1" applyBorder="1" applyAlignment="1">
      <alignment vertical="top"/>
    </xf>
    <xf numFmtId="0" fontId="2004" fillId="0" borderId="2004" xfId="0" applyFont="1" applyBorder="1" applyAlignment="1">
      <alignment vertical="top"/>
    </xf>
    <xf numFmtId="49" fontId="2005" fillId="0" borderId="2005" xfId="0" applyNumberFormat="1" applyFont="1" applyBorder="1" applyAlignment="1">
      <alignment vertical="top"/>
    </xf>
    <xf numFmtId="0" fontId="2006" fillId="0" borderId="2006" xfId="0" applyFont="1" applyBorder="1" applyAlignment="1">
      <alignment vertical="top"/>
    </xf>
    <xf numFmtId="0" fontId="2007" fillId="0" borderId="2007" xfId="0" applyFont="1" applyBorder="1" applyAlignment="1">
      <alignment vertical="top"/>
    </xf>
    <xf numFmtId="49" fontId="2008" fillId="0" borderId="2008" xfId="0" applyNumberFormat="1" applyFont="1" applyBorder="1" applyAlignment="1">
      <alignment vertical="top"/>
    </xf>
    <xf numFmtId="0" fontId="2009" fillId="0" borderId="2009" xfId="0" applyFont="1" applyBorder="1" applyAlignment="1">
      <alignment vertical="top"/>
    </xf>
    <xf numFmtId="0" fontId="2010" fillId="0" borderId="2010" xfId="0" applyFont="1" applyBorder="1" applyAlignment="1">
      <alignment vertical="top"/>
    </xf>
    <xf numFmtId="49" fontId="2011" fillId="0" borderId="2011" xfId="0" applyNumberFormat="1" applyFont="1" applyBorder="1" applyAlignment="1">
      <alignment vertical="top"/>
    </xf>
    <xf numFmtId="0" fontId="2012" fillId="0" borderId="2012" xfId="0" applyFont="1" applyBorder="1" applyAlignment="1">
      <alignment vertical="top"/>
    </xf>
    <xf numFmtId="0" fontId="2013" fillId="0" borderId="2013" xfId="0" applyFont="1" applyBorder="1" applyAlignment="1">
      <alignment vertical="top"/>
    </xf>
    <xf numFmtId="49" fontId="2014" fillId="0" borderId="2014" xfId="0" applyNumberFormat="1" applyFont="1" applyBorder="1" applyAlignment="1">
      <alignment vertical="top"/>
    </xf>
    <xf numFmtId="0" fontId="2015" fillId="0" borderId="2015" xfId="0" applyFont="1" applyBorder="1" applyAlignment="1">
      <alignment vertical="top"/>
    </xf>
    <xf numFmtId="0" fontId="2016" fillId="0" borderId="2016" xfId="0" applyFont="1" applyBorder="1" applyAlignment="1">
      <alignment vertical="top"/>
    </xf>
    <xf numFmtId="49" fontId="2017" fillId="0" borderId="2017" xfId="0" applyNumberFormat="1" applyFont="1" applyBorder="1" applyAlignment="1">
      <alignment vertical="top"/>
    </xf>
    <xf numFmtId="0" fontId="2018" fillId="0" borderId="2018" xfId="0" applyFont="1" applyBorder="1" applyAlignment="1">
      <alignment vertical="top"/>
    </xf>
    <xf numFmtId="0" fontId="2019" fillId="0" borderId="2019" xfId="0" applyFont="1" applyBorder="1" applyAlignment="1">
      <alignment vertical="top"/>
    </xf>
    <xf numFmtId="49" fontId="2020" fillId="0" borderId="2020" xfId="0" applyNumberFormat="1" applyFont="1" applyBorder="1" applyAlignment="1">
      <alignment vertical="top"/>
    </xf>
    <xf numFmtId="0" fontId="2021" fillId="0" borderId="2021" xfId="0" applyFont="1" applyBorder="1" applyAlignment="1">
      <alignment vertical="top"/>
    </xf>
    <xf numFmtId="0" fontId="2022" fillId="0" borderId="2022" xfId="0" applyFont="1" applyBorder="1" applyAlignment="1">
      <alignment vertical="top"/>
    </xf>
    <xf numFmtId="49" fontId="2023" fillId="0" borderId="2023" xfId="0" applyNumberFormat="1" applyFont="1" applyBorder="1" applyAlignment="1">
      <alignment vertical="top"/>
    </xf>
    <xf numFmtId="0" fontId="2024" fillId="0" borderId="2024" xfId="0" applyFont="1" applyBorder="1" applyAlignment="1">
      <alignment vertical="top"/>
    </xf>
    <xf numFmtId="0" fontId="2025" fillId="0" borderId="2025" xfId="0" applyFont="1" applyBorder="1" applyAlignment="1">
      <alignment vertical="top"/>
    </xf>
    <xf numFmtId="49" fontId="2026" fillId="0" borderId="2026" xfId="0" applyNumberFormat="1" applyFont="1" applyBorder="1" applyAlignment="1">
      <alignment vertical="top"/>
    </xf>
    <xf numFmtId="0" fontId="2027" fillId="0" borderId="2027" xfId="0" applyFont="1" applyBorder="1" applyAlignment="1">
      <alignment vertical="top"/>
    </xf>
    <xf numFmtId="0" fontId="2028" fillId="0" borderId="2028" xfId="0" applyFont="1" applyBorder="1" applyAlignment="1">
      <alignment vertical="top"/>
    </xf>
    <xf numFmtId="49" fontId="2029" fillId="0" borderId="2029" xfId="0" applyNumberFormat="1" applyFont="1" applyBorder="1" applyAlignment="1">
      <alignment vertical="top"/>
    </xf>
    <xf numFmtId="0" fontId="2030" fillId="0" borderId="2030" xfId="0" applyFont="1" applyBorder="1" applyAlignment="1">
      <alignment vertical="top"/>
    </xf>
    <xf numFmtId="0" fontId="2031" fillId="0" borderId="2031" xfId="0" applyFont="1" applyBorder="1" applyAlignment="1">
      <alignment vertical="top"/>
    </xf>
    <xf numFmtId="49" fontId="2032" fillId="0" borderId="2032" xfId="0" applyNumberFormat="1" applyFont="1" applyBorder="1" applyAlignment="1">
      <alignment vertical="top"/>
    </xf>
    <xf numFmtId="0" fontId="2033" fillId="0" borderId="2033" xfId="0" applyFont="1" applyBorder="1" applyAlignment="1">
      <alignment vertical="top"/>
    </xf>
    <xf numFmtId="0" fontId="2034" fillId="0" borderId="2034" xfId="0" applyFont="1" applyBorder="1" applyAlignment="1">
      <alignment vertical="top"/>
    </xf>
    <xf numFmtId="49" fontId="2035" fillId="0" borderId="2035" xfId="0" applyNumberFormat="1" applyFont="1" applyBorder="1" applyAlignment="1">
      <alignment vertical="top"/>
    </xf>
    <xf numFmtId="0" fontId="2036" fillId="0" borderId="2036" xfId="0" applyFont="1" applyBorder="1" applyAlignment="1">
      <alignment vertical="top"/>
    </xf>
    <xf numFmtId="0" fontId="2037" fillId="0" borderId="2037" xfId="0" applyFont="1" applyBorder="1" applyAlignment="1">
      <alignment vertical="top"/>
    </xf>
    <xf numFmtId="49" fontId="2038" fillId="0" borderId="2038" xfId="0" applyNumberFormat="1" applyFont="1" applyBorder="1" applyAlignment="1">
      <alignment vertical="top"/>
    </xf>
    <xf numFmtId="0" fontId="2039" fillId="0" borderId="2039" xfId="0" applyFont="1" applyBorder="1" applyAlignment="1">
      <alignment vertical="top"/>
    </xf>
    <xf numFmtId="0" fontId="2040" fillId="0" borderId="2040" xfId="0" applyFont="1" applyBorder="1" applyAlignment="1">
      <alignment vertical="top"/>
    </xf>
    <xf numFmtId="49" fontId="2041" fillId="0" borderId="2041" xfId="0" applyNumberFormat="1" applyFont="1" applyBorder="1" applyAlignment="1">
      <alignment vertical="top"/>
    </xf>
    <xf numFmtId="0" fontId="2042" fillId="0" borderId="2042" xfId="0" applyFont="1" applyBorder="1" applyAlignment="1">
      <alignment vertical="top"/>
    </xf>
    <xf numFmtId="0" fontId="2043" fillId="0" borderId="2043" xfId="0" applyFont="1" applyBorder="1" applyAlignment="1">
      <alignment vertical="top"/>
    </xf>
    <xf numFmtId="49" fontId="2044" fillId="0" borderId="2044" xfId="0" applyNumberFormat="1" applyFont="1" applyBorder="1" applyAlignment="1">
      <alignment vertical="top"/>
    </xf>
    <xf numFmtId="0" fontId="2045" fillId="0" borderId="2045" xfId="0" applyFont="1" applyBorder="1" applyAlignment="1">
      <alignment vertical="top"/>
    </xf>
    <xf numFmtId="0" fontId="2046" fillId="0" borderId="2046" xfId="0" applyFont="1" applyBorder="1" applyAlignment="1">
      <alignment vertical="top"/>
    </xf>
    <xf numFmtId="49" fontId="2047" fillId="0" borderId="2047" xfId="0" applyNumberFormat="1" applyFont="1" applyBorder="1" applyAlignment="1">
      <alignment vertical="top"/>
    </xf>
    <xf numFmtId="0" fontId="2048" fillId="0" borderId="2048" xfId="0" applyFont="1" applyBorder="1" applyAlignment="1">
      <alignment vertical="top"/>
    </xf>
    <xf numFmtId="0" fontId="2049" fillId="0" borderId="2049" xfId="0" applyFont="1" applyBorder="1" applyAlignment="1">
      <alignment vertical="top"/>
    </xf>
    <xf numFmtId="49" fontId="2050" fillId="0" borderId="2050" xfId="0" applyNumberFormat="1" applyFont="1" applyBorder="1" applyAlignment="1">
      <alignment vertical="top"/>
    </xf>
    <xf numFmtId="0" fontId="2051" fillId="0" borderId="2051" xfId="0" applyFont="1" applyBorder="1" applyAlignment="1">
      <alignment vertical="top"/>
    </xf>
    <xf numFmtId="0" fontId="2052" fillId="0" borderId="2052" xfId="0" applyFont="1" applyBorder="1" applyAlignment="1">
      <alignment vertical="top"/>
    </xf>
    <xf numFmtId="49" fontId="2053" fillId="0" borderId="2053" xfId="0" applyNumberFormat="1" applyFont="1" applyBorder="1" applyAlignment="1">
      <alignment vertical="top"/>
    </xf>
    <xf numFmtId="0" fontId="2054" fillId="0" borderId="2054" xfId="0" applyFont="1" applyBorder="1" applyAlignment="1">
      <alignment vertical="top"/>
    </xf>
    <xf numFmtId="0" fontId="2055" fillId="0" borderId="2055" xfId="0" applyFont="1" applyBorder="1" applyAlignment="1">
      <alignment vertical="top"/>
    </xf>
    <xf numFmtId="49" fontId="2056" fillId="0" borderId="2056" xfId="0" applyNumberFormat="1" applyFont="1" applyBorder="1" applyAlignment="1">
      <alignment vertical="top"/>
    </xf>
    <xf numFmtId="0" fontId="2057" fillId="0" borderId="2057" xfId="0" applyFont="1" applyBorder="1" applyAlignment="1">
      <alignment vertical="top"/>
    </xf>
    <xf numFmtId="0" fontId="2058" fillId="0" borderId="2058" xfId="0" applyFont="1" applyBorder="1" applyAlignment="1">
      <alignment vertical="top"/>
    </xf>
    <xf numFmtId="49" fontId="2059" fillId="0" borderId="2059" xfId="0" applyNumberFormat="1" applyFont="1" applyBorder="1" applyAlignment="1">
      <alignment vertical="top"/>
    </xf>
    <xf numFmtId="0" fontId="2060" fillId="0" borderId="2060" xfId="0" applyFont="1" applyBorder="1" applyAlignment="1">
      <alignment vertical="top"/>
    </xf>
    <xf numFmtId="0" fontId="2061" fillId="0" borderId="2061" xfId="0" applyFont="1" applyBorder="1" applyAlignment="1">
      <alignment vertical="top"/>
    </xf>
    <xf numFmtId="49" fontId="2062" fillId="0" borderId="2062" xfId="0" applyNumberFormat="1" applyFont="1" applyBorder="1" applyAlignment="1">
      <alignment vertical="top"/>
    </xf>
    <xf numFmtId="0" fontId="2063" fillId="0" borderId="2063" xfId="0" applyFont="1" applyBorder="1" applyAlignment="1">
      <alignment vertical="top"/>
    </xf>
    <xf numFmtId="0" fontId="2064" fillId="0" borderId="2064" xfId="0" applyFont="1" applyBorder="1" applyAlignment="1">
      <alignment vertical="top"/>
    </xf>
    <xf numFmtId="49" fontId="2065" fillId="0" borderId="2065" xfId="0" applyNumberFormat="1" applyFont="1" applyBorder="1" applyAlignment="1">
      <alignment vertical="top"/>
    </xf>
    <xf numFmtId="0" fontId="2066" fillId="0" borderId="2066" xfId="0" applyFont="1" applyBorder="1" applyAlignment="1">
      <alignment vertical="top"/>
    </xf>
    <xf numFmtId="0" fontId="2067" fillId="0" borderId="2067" xfId="0" applyFont="1" applyBorder="1" applyAlignment="1">
      <alignment vertical="top"/>
    </xf>
    <xf numFmtId="49" fontId="2068" fillId="0" borderId="2068" xfId="0" applyNumberFormat="1" applyFont="1" applyBorder="1" applyAlignment="1">
      <alignment vertical="top"/>
    </xf>
    <xf numFmtId="0" fontId="2069" fillId="0" borderId="2069" xfId="0" applyFont="1" applyBorder="1" applyAlignment="1">
      <alignment vertical="top"/>
    </xf>
    <xf numFmtId="0" fontId="2070" fillId="0" borderId="2070" xfId="0" applyFont="1" applyBorder="1" applyAlignment="1">
      <alignment vertical="top"/>
    </xf>
    <xf numFmtId="49" fontId="2071" fillId="0" borderId="2071" xfId="0" applyNumberFormat="1" applyFont="1" applyBorder="1" applyAlignment="1">
      <alignment vertical="top"/>
    </xf>
    <xf numFmtId="0" fontId="2072" fillId="0" borderId="2072" xfId="0" applyFont="1" applyBorder="1" applyAlignment="1">
      <alignment vertical="top"/>
    </xf>
    <xf numFmtId="0" fontId="2073" fillId="0" borderId="2073" xfId="0" applyFont="1" applyBorder="1" applyAlignment="1">
      <alignment vertical="top"/>
    </xf>
    <xf numFmtId="49" fontId="2074" fillId="0" borderId="2074" xfId="0" applyNumberFormat="1" applyFont="1" applyBorder="1" applyAlignment="1">
      <alignment vertical="top"/>
    </xf>
    <xf numFmtId="0" fontId="2075" fillId="0" borderId="2075" xfId="0" applyFont="1" applyBorder="1" applyAlignment="1">
      <alignment vertical="top"/>
    </xf>
    <xf numFmtId="0" fontId="2076" fillId="0" borderId="2076" xfId="0" applyFont="1" applyBorder="1" applyAlignment="1">
      <alignment vertical="top"/>
    </xf>
    <xf numFmtId="49" fontId="2077" fillId="0" borderId="2077" xfId="0" applyNumberFormat="1" applyFont="1" applyBorder="1" applyAlignment="1">
      <alignment vertical="top"/>
    </xf>
    <xf numFmtId="0" fontId="2078" fillId="0" borderId="2078" xfId="0" applyFont="1" applyBorder="1" applyAlignment="1">
      <alignment vertical="top"/>
    </xf>
    <xf numFmtId="0" fontId="2079" fillId="0" borderId="2079" xfId="0" applyFont="1" applyBorder="1" applyAlignment="1">
      <alignment vertical="top"/>
    </xf>
    <xf numFmtId="49" fontId="2080" fillId="0" borderId="2080" xfId="0" applyNumberFormat="1" applyFont="1" applyBorder="1" applyAlignment="1">
      <alignment vertical="top"/>
    </xf>
    <xf numFmtId="0" fontId="2081" fillId="0" borderId="2081" xfId="0" applyFont="1" applyBorder="1" applyAlignment="1">
      <alignment vertical="top"/>
    </xf>
    <xf numFmtId="0" fontId="2082" fillId="0" borderId="2082" xfId="0" applyFont="1" applyBorder="1" applyAlignment="1">
      <alignment vertical="top"/>
    </xf>
    <xf numFmtId="49" fontId="2083" fillId="0" borderId="2083" xfId="0" applyNumberFormat="1" applyFont="1" applyBorder="1" applyAlignment="1">
      <alignment vertical="top"/>
    </xf>
    <xf numFmtId="0" fontId="2084" fillId="0" borderId="2084" xfId="0" applyFont="1" applyBorder="1" applyAlignment="1">
      <alignment vertical="top"/>
    </xf>
    <xf numFmtId="0" fontId="2085" fillId="0" borderId="2085" xfId="0" applyFont="1" applyBorder="1" applyAlignment="1">
      <alignment vertical="top"/>
    </xf>
    <xf numFmtId="49" fontId="2086" fillId="0" borderId="2086" xfId="0" applyNumberFormat="1" applyFont="1" applyBorder="1" applyAlignment="1">
      <alignment vertical="top"/>
    </xf>
    <xf numFmtId="0" fontId="2087" fillId="0" borderId="2087" xfId="0" applyFont="1" applyBorder="1" applyAlignment="1">
      <alignment vertical="top"/>
    </xf>
    <xf numFmtId="0" fontId="2088" fillId="0" borderId="2088" xfId="0" applyFont="1" applyBorder="1" applyAlignment="1">
      <alignment vertical="top"/>
    </xf>
    <xf numFmtId="49" fontId="2089" fillId="0" borderId="2089" xfId="0" applyNumberFormat="1" applyFont="1" applyBorder="1" applyAlignment="1">
      <alignment vertical="top"/>
    </xf>
    <xf numFmtId="0" fontId="2090" fillId="0" borderId="2090" xfId="0" applyFont="1" applyBorder="1" applyAlignment="1">
      <alignment vertical="top"/>
    </xf>
    <xf numFmtId="0" fontId="2091" fillId="0" borderId="2091" xfId="0" applyFont="1" applyBorder="1" applyAlignment="1">
      <alignment vertical="top"/>
    </xf>
    <xf numFmtId="49" fontId="2092" fillId="0" borderId="2092" xfId="0" applyNumberFormat="1" applyFont="1" applyBorder="1" applyAlignment="1">
      <alignment vertical="top"/>
    </xf>
    <xf numFmtId="0" fontId="2093" fillId="0" borderId="2093" xfId="0" applyFont="1" applyBorder="1" applyAlignment="1">
      <alignment vertical="top"/>
    </xf>
    <xf numFmtId="0" fontId="2094" fillId="0" borderId="2094" xfId="0" applyFont="1" applyBorder="1" applyAlignment="1">
      <alignment vertical="top"/>
    </xf>
    <xf numFmtId="49" fontId="2095" fillId="0" borderId="2095" xfId="0" applyNumberFormat="1" applyFont="1" applyBorder="1" applyAlignment="1">
      <alignment vertical="top"/>
    </xf>
    <xf numFmtId="0" fontId="2096" fillId="0" borderId="2096" xfId="0" applyFont="1" applyBorder="1" applyAlignment="1">
      <alignment vertical="top"/>
    </xf>
    <xf numFmtId="0" fontId="2097" fillId="0" borderId="2097" xfId="0" applyFont="1" applyBorder="1" applyAlignment="1">
      <alignment vertical="top"/>
    </xf>
    <xf numFmtId="49" fontId="2098" fillId="0" borderId="2098" xfId="0" applyNumberFormat="1" applyFont="1" applyBorder="1" applyAlignment="1">
      <alignment vertical="top"/>
    </xf>
    <xf numFmtId="0" fontId="2099" fillId="0" borderId="2099" xfId="0" applyFont="1" applyBorder="1" applyAlignment="1">
      <alignment vertical="top"/>
    </xf>
    <xf numFmtId="0" fontId="2100" fillId="0" borderId="2100" xfId="0" applyFont="1" applyBorder="1" applyAlignment="1">
      <alignment vertical="top"/>
    </xf>
    <xf numFmtId="49" fontId="2101" fillId="0" borderId="2101" xfId="0" applyNumberFormat="1" applyFont="1" applyBorder="1" applyAlignment="1">
      <alignment vertical="top"/>
    </xf>
    <xf numFmtId="0" fontId="2102" fillId="0" borderId="2102" xfId="0" applyFont="1" applyBorder="1" applyAlignment="1">
      <alignment vertical="top"/>
    </xf>
    <xf numFmtId="0" fontId="2103" fillId="0" borderId="2103" xfId="0" applyFont="1" applyBorder="1" applyAlignment="1">
      <alignment vertical="top"/>
    </xf>
    <xf numFmtId="49" fontId="2104" fillId="0" borderId="2104" xfId="0" applyNumberFormat="1" applyFont="1" applyBorder="1" applyAlignment="1">
      <alignment vertical="top"/>
    </xf>
    <xf numFmtId="0" fontId="2105" fillId="0" borderId="2105" xfId="0" applyFont="1" applyBorder="1" applyAlignment="1">
      <alignment vertical="top"/>
    </xf>
    <xf numFmtId="0" fontId="2106" fillId="0" borderId="2106" xfId="0" applyFont="1" applyBorder="1" applyAlignment="1">
      <alignment vertical="top"/>
    </xf>
    <xf numFmtId="49" fontId="2107" fillId="0" borderId="2107" xfId="0" applyNumberFormat="1" applyFont="1" applyBorder="1" applyAlignment="1">
      <alignment vertical="top"/>
    </xf>
    <xf numFmtId="0" fontId="2108" fillId="0" borderId="2108" xfId="0" applyFont="1" applyBorder="1" applyAlignment="1">
      <alignment vertical="top"/>
    </xf>
    <xf numFmtId="0" fontId="2109" fillId="0" borderId="2109" xfId="0" applyFont="1" applyBorder="1" applyAlignment="1">
      <alignment vertical="top"/>
    </xf>
    <xf numFmtId="49" fontId="2110" fillId="0" borderId="2110" xfId="0" applyNumberFormat="1" applyFont="1" applyBorder="1" applyAlignment="1">
      <alignment vertical="top"/>
    </xf>
    <xf numFmtId="0" fontId="2111" fillId="0" borderId="2111" xfId="0" applyFont="1" applyBorder="1" applyAlignment="1">
      <alignment vertical="top"/>
    </xf>
    <xf numFmtId="0" fontId="2112" fillId="0" borderId="2112" xfId="0" applyFont="1" applyBorder="1" applyAlignment="1">
      <alignment vertical="top"/>
    </xf>
    <xf numFmtId="49" fontId="2113" fillId="0" borderId="2113" xfId="0" applyNumberFormat="1" applyFont="1" applyBorder="1" applyAlignment="1">
      <alignment vertical="top"/>
    </xf>
    <xf numFmtId="0" fontId="2114" fillId="0" borderId="2114" xfId="0" applyFont="1" applyBorder="1" applyAlignment="1">
      <alignment vertical="top"/>
    </xf>
    <xf numFmtId="0" fontId="2115" fillId="0" borderId="2115" xfId="0" applyFont="1" applyBorder="1" applyAlignment="1">
      <alignment vertical="top"/>
    </xf>
    <xf numFmtId="49" fontId="2116" fillId="0" borderId="2116" xfId="0" applyNumberFormat="1" applyFont="1" applyBorder="1" applyAlignment="1">
      <alignment vertical="top"/>
    </xf>
    <xf numFmtId="0" fontId="2117" fillId="0" borderId="2117" xfId="0" applyFont="1" applyBorder="1" applyAlignment="1">
      <alignment vertical="top"/>
    </xf>
    <xf numFmtId="0" fontId="2118" fillId="0" borderId="2118" xfId="0" applyFont="1" applyBorder="1" applyAlignment="1">
      <alignment vertical="top"/>
    </xf>
    <xf numFmtId="49" fontId="2119" fillId="0" borderId="2119" xfId="0" applyNumberFormat="1" applyFont="1" applyBorder="1" applyAlignment="1">
      <alignment vertical="top"/>
    </xf>
    <xf numFmtId="0" fontId="2120" fillId="0" borderId="2120" xfId="0" applyFont="1" applyBorder="1" applyAlignment="1">
      <alignment vertical="top"/>
    </xf>
    <xf numFmtId="0" fontId="2121" fillId="0" borderId="2121" xfId="0" applyFont="1" applyBorder="1" applyAlignment="1">
      <alignment vertical="top"/>
    </xf>
    <xf numFmtId="49" fontId="2122" fillId="0" borderId="2122" xfId="0" applyNumberFormat="1" applyFont="1" applyBorder="1" applyAlignment="1">
      <alignment vertical="top"/>
    </xf>
    <xf numFmtId="0" fontId="2123" fillId="0" borderId="2123" xfId="0" applyFont="1" applyBorder="1" applyAlignment="1">
      <alignment vertical="top"/>
    </xf>
    <xf numFmtId="0" fontId="2124" fillId="0" borderId="2124" xfId="0" applyFont="1" applyBorder="1" applyAlignment="1">
      <alignment vertical="top"/>
    </xf>
    <xf numFmtId="49" fontId="2125" fillId="0" borderId="2125" xfId="0" applyNumberFormat="1" applyFont="1" applyBorder="1" applyAlignment="1">
      <alignment vertical="top"/>
    </xf>
    <xf numFmtId="0" fontId="2126" fillId="0" borderId="2126" xfId="0" applyFont="1" applyBorder="1" applyAlignment="1">
      <alignment vertical="top"/>
    </xf>
    <xf numFmtId="0" fontId="2127" fillId="0" borderId="2127" xfId="0" applyFont="1" applyBorder="1" applyAlignment="1">
      <alignment vertical="top"/>
    </xf>
    <xf numFmtId="49" fontId="2128" fillId="0" borderId="2128" xfId="0" applyNumberFormat="1" applyFont="1" applyBorder="1" applyAlignment="1">
      <alignment vertical="top"/>
    </xf>
    <xf numFmtId="0" fontId="2129" fillId="0" borderId="2129" xfId="0" applyFont="1" applyBorder="1" applyAlignment="1">
      <alignment vertical="top"/>
    </xf>
    <xf numFmtId="0" fontId="2130" fillId="0" borderId="2130" xfId="0" applyFont="1" applyBorder="1" applyAlignment="1">
      <alignment vertical="top"/>
    </xf>
    <xf numFmtId="49" fontId="2131" fillId="0" borderId="2131" xfId="0" applyNumberFormat="1" applyFont="1" applyBorder="1" applyAlignment="1">
      <alignment vertical="top"/>
    </xf>
    <xf numFmtId="0" fontId="2132" fillId="0" borderId="2132" xfId="0" applyFont="1" applyBorder="1" applyAlignment="1">
      <alignment vertical="top"/>
    </xf>
    <xf numFmtId="0" fontId="2133" fillId="0" borderId="2133" xfId="0" applyFont="1" applyBorder="1" applyAlignment="1">
      <alignment vertical="top"/>
    </xf>
    <xf numFmtId="49" fontId="2134" fillId="0" borderId="2134" xfId="0" applyNumberFormat="1" applyFont="1" applyBorder="1" applyAlignment="1">
      <alignment vertical="top"/>
    </xf>
    <xf numFmtId="0" fontId="2135" fillId="0" borderId="2135" xfId="0" applyFont="1" applyBorder="1" applyAlignment="1">
      <alignment vertical="top"/>
    </xf>
    <xf numFmtId="0" fontId="2136" fillId="0" borderId="2136" xfId="0" applyFont="1" applyBorder="1" applyAlignment="1">
      <alignment vertical="top"/>
    </xf>
    <xf numFmtId="49" fontId="2137" fillId="0" borderId="2137" xfId="0" applyNumberFormat="1" applyFont="1" applyBorder="1" applyAlignment="1">
      <alignment vertical="top"/>
    </xf>
    <xf numFmtId="0" fontId="2138" fillId="0" borderId="2138" xfId="0" applyFont="1" applyBorder="1" applyAlignment="1">
      <alignment vertical="top"/>
    </xf>
    <xf numFmtId="0" fontId="2139" fillId="0" borderId="2139" xfId="0" applyFont="1" applyBorder="1" applyAlignment="1">
      <alignment vertical="top"/>
    </xf>
    <xf numFmtId="49" fontId="2140" fillId="0" borderId="2140" xfId="0" applyNumberFormat="1" applyFont="1" applyBorder="1" applyAlignment="1">
      <alignment vertical="top"/>
    </xf>
    <xf numFmtId="0" fontId="2141" fillId="0" borderId="2141" xfId="0" applyFont="1" applyBorder="1" applyAlignment="1">
      <alignment vertical="top"/>
    </xf>
    <xf numFmtId="0" fontId="2142" fillId="0" borderId="2142" xfId="0" applyFont="1" applyBorder="1" applyAlignment="1">
      <alignment vertical="top"/>
    </xf>
    <xf numFmtId="49" fontId="2143" fillId="0" borderId="2143" xfId="0" applyNumberFormat="1" applyFont="1" applyBorder="1" applyAlignment="1">
      <alignment vertical="top"/>
    </xf>
    <xf numFmtId="0" fontId="2144" fillId="0" borderId="2144" xfId="0" applyFont="1" applyBorder="1" applyAlignment="1">
      <alignment vertical="top"/>
    </xf>
    <xf numFmtId="0" fontId="2145" fillId="0" borderId="2145" xfId="0" applyFont="1" applyBorder="1" applyAlignment="1">
      <alignment vertical="top"/>
    </xf>
    <xf numFmtId="49" fontId="2146" fillId="0" borderId="2146" xfId="0" applyNumberFormat="1" applyFont="1" applyBorder="1" applyAlignment="1">
      <alignment vertical="top"/>
    </xf>
    <xf numFmtId="0" fontId="2147" fillId="0" borderId="2147" xfId="0" applyFont="1" applyBorder="1" applyAlignment="1">
      <alignment vertical="top"/>
    </xf>
    <xf numFmtId="0" fontId="2148" fillId="0" borderId="2148" xfId="0" applyFont="1" applyBorder="1" applyAlignment="1">
      <alignment vertical="top"/>
    </xf>
    <xf numFmtId="49" fontId="2149" fillId="0" borderId="2149" xfId="0" applyNumberFormat="1" applyFont="1" applyBorder="1" applyAlignment="1">
      <alignment vertical="top"/>
    </xf>
    <xf numFmtId="0" fontId="2150" fillId="0" borderId="2150" xfId="0" applyFont="1" applyBorder="1" applyAlignment="1">
      <alignment vertical="top"/>
    </xf>
    <xf numFmtId="0" fontId="2151" fillId="0" borderId="2151" xfId="0" applyFont="1" applyBorder="1" applyAlignment="1">
      <alignment vertical="top"/>
    </xf>
    <xf numFmtId="49" fontId="2152" fillId="0" borderId="2152" xfId="0" applyNumberFormat="1" applyFont="1" applyBorder="1" applyAlignment="1">
      <alignment vertical="top"/>
    </xf>
    <xf numFmtId="0" fontId="2153" fillId="0" borderId="2153" xfId="0" applyFont="1" applyBorder="1" applyAlignment="1">
      <alignment vertical="top"/>
    </xf>
    <xf numFmtId="0" fontId="2154" fillId="0" borderId="2154" xfId="0" applyFont="1" applyBorder="1" applyAlignment="1">
      <alignment vertical="top"/>
    </xf>
    <xf numFmtId="49" fontId="2155" fillId="0" borderId="2155" xfId="0" applyNumberFormat="1" applyFont="1" applyBorder="1" applyAlignment="1">
      <alignment vertical="top"/>
    </xf>
    <xf numFmtId="0" fontId="2156" fillId="0" borderId="2156" xfId="0" applyFont="1" applyBorder="1" applyAlignment="1">
      <alignment vertical="top"/>
    </xf>
    <xf numFmtId="0" fontId="2157" fillId="0" borderId="2157" xfId="0" applyFont="1" applyBorder="1" applyAlignment="1">
      <alignment vertical="top"/>
    </xf>
    <xf numFmtId="49" fontId="2158" fillId="0" borderId="2158" xfId="0" applyNumberFormat="1" applyFont="1" applyBorder="1" applyAlignment="1">
      <alignment vertical="top"/>
    </xf>
    <xf numFmtId="0" fontId="2159" fillId="0" borderId="2159" xfId="0" applyFont="1" applyBorder="1" applyAlignment="1">
      <alignment vertical="top"/>
    </xf>
    <xf numFmtId="0" fontId="2160" fillId="0" borderId="2160" xfId="0" applyFont="1" applyBorder="1" applyAlignment="1">
      <alignment vertical="top"/>
    </xf>
    <xf numFmtId="49" fontId="2161" fillId="0" borderId="2161" xfId="0" applyNumberFormat="1" applyFont="1" applyBorder="1" applyAlignment="1">
      <alignment vertical="top"/>
    </xf>
    <xf numFmtId="0" fontId="2162" fillId="0" borderId="2162" xfId="0" applyFont="1" applyBorder="1" applyAlignment="1">
      <alignment vertical="top"/>
    </xf>
    <xf numFmtId="0" fontId="2163" fillId="0" borderId="2163" xfId="0" applyFont="1" applyBorder="1" applyAlignment="1">
      <alignment vertical="top"/>
    </xf>
    <xf numFmtId="49" fontId="2164" fillId="0" borderId="2164" xfId="0" applyNumberFormat="1" applyFont="1" applyBorder="1" applyAlignment="1">
      <alignment vertical="top"/>
    </xf>
    <xf numFmtId="0" fontId="2165" fillId="0" borderId="2165" xfId="0" applyFont="1" applyBorder="1" applyAlignment="1">
      <alignment vertical="top"/>
    </xf>
    <xf numFmtId="0" fontId="2166" fillId="0" borderId="2166" xfId="0" applyFont="1" applyBorder="1" applyAlignment="1">
      <alignment vertical="top"/>
    </xf>
    <xf numFmtId="49" fontId="2167" fillId="0" borderId="2167" xfId="0" applyNumberFormat="1" applyFont="1" applyBorder="1" applyAlignment="1">
      <alignment vertical="top"/>
    </xf>
    <xf numFmtId="0" fontId="2168" fillId="0" borderId="2168" xfId="0" applyFont="1" applyBorder="1" applyAlignment="1">
      <alignment vertical="top"/>
    </xf>
    <xf numFmtId="0" fontId="2169" fillId="0" borderId="2169" xfId="0" applyFont="1" applyBorder="1" applyAlignment="1">
      <alignment vertical="top"/>
    </xf>
    <xf numFmtId="49" fontId="2170" fillId="0" borderId="2170" xfId="0" applyNumberFormat="1" applyFont="1" applyBorder="1" applyAlignment="1">
      <alignment vertical="top"/>
    </xf>
    <xf numFmtId="0" fontId="2171" fillId="0" borderId="2171" xfId="0" applyFont="1" applyBorder="1" applyAlignment="1">
      <alignment vertical="top"/>
    </xf>
    <xf numFmtId="0" fontId="2172" fillId="0" borderId="2172" xfId="0" applyFont="1" applyBorder="1" applyAlignment="1">
      <alignment vertical="top"/>
    </xf>
    <xf numFmtId="49" fontId="2173" fillId="0" borderId="2173" xfId="0" applyNumberFormat="1" applyFont="1" applyBorder="1" applyAlignment="1">
      <alignment vertical="top"/>
    </xf>
    <xf numFmtId="0" fontId="2174" fillId="0" borderId="2174" xfId="0" applyFont="1" applyBorder="1" applyAlignment="1">
      <alignment vertical="top"/>
    </xf>
    <xf numFmtId="0" fontId="2175" fillId="0" borderId="2175" xfId="0" applyFont="1" applyBorder="1" applyAlignment="1">
      <alignment vertical="top"/>
    </xf>
    <xf numFmtId="49" fontId="2176" fillId="0" borderId="2176" xfId="0" applyNumberFormat="1" applyFont="1" applyBorder="1" applyAlignment="1">
      <alignment vertical="top"/>
    </xf>
    <xf numFmtId="0" fontId="2177" fillId="0" borderId="2177" xfId="0" applyFont="1" applyBorder="1" applyAlignment="1">
      <alignment vertical="top"/>
    </xf>
    <xf numFmtId="0" fontId="2178" fillId="0" borderId="2178" xfId="0" applyFont="1" applyBorder="1" applyAlignment="1">
      <alignment vertical="top"/>
    </xf>
    <xf numFmtId="49" fontId="2179" fillId="0" borderId="2179" xfId="0" applyNumberFormat="1" applyFont="1" applyBorder="1" applyAlignment="1">
      <alignment vertical="top"/>
    </xf>
    <xf numFmtId="0" fontId="2180" fillId="0" borderId="2180" xfId="0" applyFont="1" applyBorder="1" applyAlignment="1">
      <alignment vertical="top"/>
    </xf>
    <xf numFmtId="0" fontId="2181" fillId="0" borderId="2181" xfId="0" applyFont="1" applyBorder="1" applyAlignment="1">
      <alignment vertical="top"/>
    </xf>
    <xf numFmtId="49" fontId="2182" fillId="0" borderId="2182" xfId="0" applyNumberFormat="1" applyFont="1" applyBorder="1" applyAlignment="1">
      <alignment vertical="top"/>
    </xf>
    <xf numFmtId="0" fontId="2183" fillId="0" borderId="2183" xfId="0" applyFont="1" applyBorder="1" applyAlignment="1">
      <alignment vertical="top"/>
    </xf>
    <xf numFmtId="0" fontId="2184" fillId="0" borderId="2184" xfId="0" applyFont="1" applyBorder="1" applyAlignment="1">
      <alignment vertical="top"/>
    </xf>
    <xf numFmtId="49" fontId="2185" fillId="0" borderId="2185" xfId="0" applyNumberFormat="1" applyFont="1" applyBorder="1" applyAlignment="1">
      <alignment vertical="top"/>
    </xf>
    <xf numFmtId="0" fontId="2186" fillId="0" borderId="2186" xfId="0" applyFont="1" applyBorder="1" applyAlignment="1">
      <alignment vertical="top"/>
    </xf>
    <xf numFmtId="0" fontId="2187" fillId="0" borderId="2187" xfId="0" applyFont="1" applyBorder="1" applyAlignment="1">
      <alignment vertical="top"/>
    </xf>
    <xf numFmtId="49" fontId="2188" fillId="0" borderId="2188" xfId="0" applyNumberFormat="1" applyFont="1" applyBorder="1" applyAlignment="1">
      <alignment vertical="top"/>
    </xf>
    <xf numFmtId="0" fontId="2189" fillId="0" borderId="2189" xfId="0" applyFont="1" applyBorder="1" applyAlignment="1">
      <alignment vertical="top"/>
    </xf>
    <xf numFmtId="0" fontId="2190" fillId="0" borderId="2190" xfId="0" applyFont="1" applyBorder="1" applyAlignment="1">
      <alignment vertical="top"/>
    </xf>
    <xf numFmtId="49" fontId="2191" fillId="0" borderId="2191" xfId="0" applyNumberFormat="1" applyFont="1" applyBorder="1" applyAlignment="1">
      <alignment vertical="top"/>
    </xf>
    <xf numFmtId="0" fontId="2192" fillId="0" borderId="2192" xfId="0" applyFont="1" applyBorder="1" applyAlignment="1">
      <alignment vertical="top"/>
    </xf>
    <xf numFmtId="0" fontId="2193" fillId="0" borderId="2193" xfId="0" applyFont="1" applyBorder="1" applyAlignment="1">
      <alignment vertical="top"/>
    </xf>
    <xf numFmtId="49" fontId="2194" fillId="0" borderId="2194" xfId="0" applyNumberFormat="1" applyFont="1" applyBorder="1" applyAlignment="1">
      <alignment vertical="top"/>
    </xf>
    <xf numFmtId="0" fontId="2195" fillId="0" borderId="2195" xfId="0" applyFont="1" applyBorder="1" applyAlignment="1">
      <alignment vertical="top"/>
    </xf>
    <xf numFmtId="0" fontId="2196" fillId="0" borderId="2196" xfId="0" applyFont="1" applyBorder="1" applyAlignment="1">
      <alignment vertical="top"/>
    </xf>
    <xf numFmtId="49" fontId="2197" fillId="0" borderId="2197" xfId="0" applyNumberFormat="1" applyFont="1" applyBorder="1" applyAlignment="1">
      <alignment vertical="top"/>
    </xf>
    <xf numFmtId="0" fontId="2198" fillId="0" borderId="2198" xfId="0" applyFont="1" applyBorder="1" applyAlignment="1">
      <alignment vertical="top"/>
    </xf>
    <xf numFmtId="0" fontId="2199" fillId="0" borderId="2199" xfId="0" applyFont="1" applyBorder="1" applyAlignment="1">
      <alignment vertical="top"/>
    </xf>
    <xf numFmtId="49" fontId="2200" fillId="0" borderId="2200" xfId="0" applyNumberFormat="1" applyFont="1" applyBorder="1" applyAlignment="1">
      <alignment vertical="top"/>
    </xf>
    <xf numFmtId="0" fontId="2201" fillId="0" borderId="2201" xfId="0" applyFont="1" applyBorder="1" applyAlignment="1">
      <alignment vertical="top"/>
    </xf>
    <xf numFmtId="0" fontId="2202" fillId="0" borderId="2202" xfId="0" applyFont="1" applyBorder="1" applyAlignment="1">
      <alignment vertical="top"/>
    </xf>
    <xf numFmtId="49" fontId="2203" fillId="0" borderId="2203" xfId="0" applyNumberFormat="1" applyFont="1" applyBorder="1" applyAlignment="1">
      <alignment vertical="top"/>
    </xf>
    <xf numFmtId="0" fontId="2204" fillId="0" borderId="2204" xfId="0" applyFont="1" applyBorder="1" applyAlignment="1">
      <alignment vertical="top"/>
    </xf>
    <xf numFmtId="0" fontId="2205" fillId="0" borderId="2205" xfId="0" applyFont="1" applyBorder="1" applyAlignment="1">
      <alignment vertical="top"/>
    </xf>
    <xf numFmtId="49" fontId="2206" fillId="0" borderId="2206" xfId="0" applyNumberFormat="1" applyFont="1" applyBorder="1" applyAlignment="1">
      <alignment vertical="top"/>
    </xf>
    <xf numFmtId="0" fontId="2207" fillId="0" borderId="2207" xfId="0" applyFont="1" applyBorder="1" applyAlignment="1">
      <alignment vertical="top"/>
    </xf>
    <xf numFmtId="0" fontId="2208" fillId="0" borderId="2208" xfId="0" applyFont="1" applyBorder="1" applyAlignment="1">
      <alignment vertical="top"/>
    </xf>
    <xf numFmtId="49" fontId="2209" fillId="0" borderId="2209" xfId="0" applyNumberFormat="1" applyFont="1" applyBorder="1" applyAlignment="1">
      <alignment vertical="top"/>
    </xf>
    <xf numFmtId="0" fontId="2210" fillId="0" borderId="2210" xfId="0" applyFont="1" applyBorder="1" applyAlignment="1">
      <alignment vertical="top"/>
    </xf>
    <xf numFmtId="0" fontId="2211" fillId="0" borderId="2211" xfId="0" applyFont="1" applyBorder="1" applyAlignment="1">
      <alignment vertical="top"/>
    </xf>
    <xf numFmtId="49" fontId="2212" fillId="0" borderId="2212" xfId="0" applyNumberFormat="1" applyFont="1" applyBorder="1" applyAlignment="1">
      <alignment vertical="top"/>
    </xf>
    <xf numFmtId="0" fontId="2213" fillId="0" borderId="2213" xfId="0" applyFont="1" applyBorder="1" applyAlignment="1">
      <alignment vertical="top"/>
    </xf>
    <xf numFmtId="0" fontId="2214" fillId="0" borderId="2214" xfId="0" applyFont="1" applyBorder="1" applyAlignment="1">
      <alignment vertical="top"/>
    </xf>
    <xf numFmtId="49" fontId="2215" fillId="0" borderId="2215" xfId="0" applyNumberFormat="1" applyFont="1" applyBorder="1" applyAlignment="1">
      <alignment vertical="top"/>
    </xf>
    <xf numFmtId="0" fontId="2216" fillId="0" borderId="2216" xfId="0" applyFont="1" applyBorder="1" applyAlignment="1">
      <alignment vertical="top"/>
    </xf>
    <xf numFmtId="0" fontId="2217" fillId="0" borderId="2217" xfId="0" applyFont="1" applyBorder="1" applyAlignment="1">
      <alignment vertical="top"/>
    </xf>
    <xf numFmtId="49" fontId="2218" fillId="0" borderId="2218" xfId="0" applyNumberFormat="1" applyFont="1" applyBorder="1" applyAlignment="1">
      <alignment vertical="top"/>
    </xf>
    <xf numFmtId="0" fontId="2219" fillId="0" borderId="2219" xfId="0" applyFont="1" applyBorder="1" applyAlignment="1">
      <alignment vertical="top"/>
    </xf>
    <xf numFmtId="0" fontId="2220" fillId="0" borderId="2220" xfId="0" applyFont="1" applyBorder="1" applyAlignment="1">
      <alignment vertical="top"/>
    </xf>
    <xf numFmtId="49" fontId="2221" fillId="0" borderId="2221" xfId="0" applyNumberFormat="1" applyFont="1" applyBorder="1" applyAlignment="1">
      <alignment vertical="top"/>
    </xf>
    <xf numFmtId="0" fontId="2222" fillId="0" borderId="2222" xfId="0" applyFont="1" applyBorder="1" applyAlignment="1">
      <alignment vertical="top"/>
    </xf>
    <xf numFmtId="0" fontId="2223" fillId="0" borderId="2223" xfId="0" applyFont="1" applyBorder="1" applyAlignment="1">
      <alignment vertical="top"/>
    </xf>
    <xf numFmtId="49" fontId="2224" fillId="0" borderId="2224" xfId="0" applyNumberFormat="1" applyFont="1" applyBorder="1" applyAlignment="1">
      <alignment vertical="top"/>
    </xf>
    <xf numFmtId="0" fontId="2225" fillId="0" borderId="2225" xfId="0" applyFont="1" applyBorder="1" applyAlignment="1">
      <alignment vertical="top"/>
    </xf>
    <xf numFmtId="0" fontId="2226" fillId="0" borderId="2226" xfId="0" applyFont="1" applyBorder="1" applyAlignment="1">
      <alignment vertical="top"/>
    </xf>
    <xf numFmtId="49" fontId="2227" fillId="0" borderId="2227" xfId="0" applyNumberFormat="1" applyFont="1" applyBorder="1" applyAlignment="1">
      <alignment vertical="top"/>
    </xf>
    <xf numFmtId="0" fontId="2228" fillId="0" borderId="2228" xfId="0" applyFont="1" applyBorder="1" applyAlignment="1">
      <alignment vertical="top"/>
    </xf>
    <xf numFmtId="0" fontId="2229" fillId="0" borderId="2229" xfId="0" applyFont="1" applyBorder="1" applyAlignment="1">
      <alignment vertical="top"/>
    </xf>
    <xf numFmtId="49" fontId="2230" fillId="0" borderId="2230" xfId="0" applyNumberFormat="1" applyFont="1" applyBorder="1" applyAlignment="1">
      <alignment vertical="top"/>
    </xf>
    <xf numFmtId="0" fontId="2231" fillId="0" borderId="2231" xfId="0" applyFont="1" applyBorder="1" applyAlignment="1">
      <alignment vertical="top"/>
    </xf>
    <xf numFmtId="0" fontId="2232" fillId="0" borderId="2232" xfId="0" applyFont="1" applyBorder="1" applyAlignment="1">
      <alignment vertical="top"/>
    </xf>
    <xf numFmtId="49" fontId="2233" fillId="0" borderId="2233" xfId="0" applyNumberFormat="1" applyFont="1" applyBorder="1" applyAlignment="1">
      <alignment vertical="top"/>
    </xf>
    <xf numFmtId="0" fontId="2234" fillId="0" borderId="2234" xfId="0" applyFont="1" applyBorder="1" applyAlignment="1">
      <alignment vertical="top"/>
    </xf>
    <xf numFmtId="0" fontId="2235" fillId="0" borderId="2235" xfId="0" applyFont="1" applyBorder="1" applyAlignment="1">
      <alignment vertical="top"/>
    </xf>
    <xf numFmtId="49" fontId="2236" fillId="0" borderId="2236" xfId="0" applyNumberFormat="1" applyFont="1" applyBorder="1" applyAlignment="1">
      <alignment vertical="top"/>
    </xf>
    <xf numFmtId="0" fontId="2237" fillId="0" borderId="2237" xfId="0" applyFont="1" applyBorder="1" applyAlignment="1">
      <alignment vertical="top"/>
    </xf>
    <xf numFmtId="0" fontId="2238" fillId="0" borderId="2238" xfId="0" applyFont="1" applyBorder="1" applyAlignment="1">
      <alignment vertical="top"/>
    </xf>
    <xf numFmtId="49" fontId="2239" fillId="0" borderId="2239" xfId="0" applyNumberFormat="1" applyFont="1" applyBorder="1" applyAlignment="1">
      <alignment vertical="top"/>
    </xf>
    <xf numFmtId="0" fontId="2240" fillId="0" borderId="2240" xfId="0" applyFont="1" applyBorder="1" applyAlignment="1">
      <alignment vertical="top"/>
    </xf>
    <xf numFmtId="0" fontId="2241" fillId="0" borderId="2241" xfId="0" applyFont="1" applyBorder="1" applyAlignment="1">
      <alignment vertical="top"/>
    </xf>
    <xf numFmtId="49" fontId="2242" fillId="0" borderId="2242" xfId="0" applyNumberFormat="1" applyFont="1" applyBorder="1" applyAlignment="1">
      <alignment vertical="top"/>
    </xf>
    <xf numFmtId="0" fontId="2243" fillId="0" borderId="2243" xfId="0" applyFont="1" applyBorder="1" applyAlignment="1">
      <alignment vertical="top"/>
    </xf>
    <xf numFmtId="0" fontId="2244" fillId="0" borderId="2244" xfId="0" applyFont="1" applyBorder="1" applyAlignment="1">
      <alignment vertical="top"/>
    </xf>
    <xf numFmtId="49" fontId="2245" fillId="0" borderId="2245" xfId="0" applyNumberFormat="1" applyFont="1" applyBorder="1" applyAlignment="1">
      <alignment vertical="top"/>
    </xf>
    <xf numFmtId="0" fontId="2246" fillId="0" borderId="2246" xfId="0" applyFont="1" applyBorder="1" applyAlignment="1">
      <alignment vertical="top"/>
    </xf>
    <xf numFmtId="0" fontId="2247" fillId="0" borderId="2247" xfId="0" applyFont="1" applyBorder="1" applyAlignment="1">
      <alignment vertical="top"/>
    </xf>
    <xf numFmtId="49" fontId="2248" fillId="0" borderId="2248" xfId="0" applyNumberFormat="1" applyFont="1" applyBorder="1" applyAlignment="1">
      <alignment vertical="top"/>
    </xf>
    <xf numFmtId="0" fontId="2249" fillId="0" borderId="2249" xfId="0" applyFont="1" applyBorder="1" applyAlignment="1">
      <alignment vertical="top"/>
    </xf>
    <xf numFmtId="0" fontId="2250" fillId="0" borderId="2250" xfId="0" applyFont="1" applyBorder="1" applyAlignment="1">
      <alignment vertical="top"/>
    </xf>
    <xf numFmtId="49" fontId="2251" fillId="0" borderId="2251" xfId="0" applyNumberFormat="1" applyFont="1" applyBorder="1" applyAlignment="1">
      <alignment vertical="top"/>
    </xf>
    <xf numFmtId="0" fontId="2252" fillId="0" borderId="2252" xfId="0" applyFont="1" applyBorder="1" applyAlignment="1">
      <alignment vertical="top"/>
    </xf>
    <xf numFmtId="0" fontId="2253" fillId="0" borderId="2253" xfId="0" applyFont="1" applyBorder="1" applyAlignment="1">
      <alignment vertical="top"/>
    </xf>
    <xf numFmtId="49" fontId="2254" fillId="0" borderId="2254" xfId="0" applyNumberFormat="1" applyFont="1" applyBorder="1" applyAlignment="1">
      <alignment vertical="top"/>
    </xf>
    <xf numFmtId="0" fontId="2255" fillId="0" borderId="2255" xfId="0" applyFont="1" applyBorder="1" applyAlignment="1">
      <alignment vertical="top"/>
    </xf>
    <xf numFmtId="0" fontId="2256" fillId="0" borderId="2256" xfId="0" applyFont="1" applyBorder="1" applyAlignment="1">
      <alignment vertical="top"/>
    </xf>
    <xf numFmtId="49" fontId="2257" fillId="0" borderId="2257" xfId="0" applyNumberFormat="1" applyFont="1" applyBorder="1" applyAlignment="1">
      <alignment vertical="top"/>
    </xf>
    <xf numFmtId="0" fontId="2258" fillId="0" borderId="2258" xfId="0" applyFont="1" applyBorder="1" applyAlignment="1">
      <alignment vertical="top"/>
    </xf>
    <xf numFmtId="0" fontId="2259" fillId="0" borderId="2259" xfId="0" applyFont="1" applyBorder="1" applyAlignment="1">
      <alignment vertical="top"/>
    </xf>
    <xf numFmtId="49" fontId="2260" fillId="0" borderId="2260" xfId="0" applyNumberFormat="1" applyFont="1" applyBorder="1" applyAlignment="1">
      <alignment vertical="top"/>
    </xf>
    <xf numFmtId="0" fontId="2261" fillId="0" borderId="2261" xfId="0" applyFont="1" applyBorder="1" applyAlignment="1">
      <alignment vertical="top"/>
    </xf>
    <xf numFmtId="0" fontId="2262" fillId="0" borderId="2262" xfId="0" applyFont="1" applyBorder="1" applyAlignment="1">
      <alignment vertical="top"/>
    </xf>
    <xf numFmtId="49" fontId="2263" fillId="0" borderId="2263" xfId="0" applyNumberFormat="1" applyFont="1" applyBorder="1" applyAlignment="1">
      <alignment vertical="top"/>
    </xf>
    <xf numFmtId="0" fontId="2264" fillId="0" borderId="2264" xfId="0" applyFont="1" applyBorder="1" applyAlignment="1">
      <alignment vertical="top"/>
    </xf>
    <xf numFmtId="0" fontId="2265" fillId="0" borderId="2265" xfId="0" applyFont="1" applyBorder="1" applyAlignment="1">
      <alignment vertical="top"/>
    </xf>
    <xf numFmtId="49" fontId="2266" fillId="0" borderId="2266" xfId="0" applyNumberFormat="1" applyFont="1" applyBorder="1" applyAlignment="1">
      <alignment vertical="top"/>
    </xf>
    <xf numFmtId="0" fontId="2267" fillId="0" borderId="2267" xfId="0" applyFont="1" applyBorder="1" applyAlignment="1">
      <alignment vertical="top"/>
    </xf>
    <xf numFmtId="0" fontId="2268" fillId="0" borderId="2268" xfId="0" applyFont="1" applyBorder="1" applyAlignment="1">
      <alignment vertical="top"/>
    </xf>
    <xf numFmtId="49" fontId="2269" fillId="0" borderId="2269" xfId="0" applyNumberFormat="1" applyFont="1" applyBorder="1" applyAlignment="1">
      <alignment vertical="top"/>
    </xf>
    <xf numFmtId="0" fontId="2270" fillId="0" borderId="2270" xfId="0" applyFont="1" applyBorder="1" applyAlignment="1">
      <alignment vertical="top"/>
    </xf>
    <xf numFmtId="0" fontId="2271" fillId="0" borderId="2271" xfId="0" applyFont="1" applyBorder="1" applyAlignment="1">
      <alignment vertical="top"/>
    </xf>
    <xf numFmtId="49" fontId="2272" fillId="0" borderId="2272" xfId="0" applyNumberFormat="1" applyFont="1" applyBorder="1" applyAlignment="1">
      <alignment vertical="top"/>
    </xf>
    <xf numFmtId="0" fontId="2273" fillId="0" borderId="2273" xfId="0" applyFont="1" applyBorder="1" applyAlignment="1">
      <alignment vertical="top"/>
    </xf>
    <xf numFmtId="0" fontId="2274" fillId="0" borderId="2274" xfId="0" applyFont="1" applyBorder="1" applyAlignment="1">
      <alignment vertical="top"/>
    </xf>
    <xf numFmtId="49" fontId="2275" fillId="0" borderId="2275" xfId="0" applyNumberFormat="1" applyFont="1" applyBorder="1" applyAlignment="1">
      <alignment vertical="top"/>
    </xf>
    <xf numFmtId="0" fontId="2276" fillId="0" borderId="2276" xfId="0" applyFont="1" applyBorder="1" applyAlignment="1">
      <alignment vertical="top"/>
    </xf>
    <xf numFmtId="0" fontId="2277" fillId="0" borderId="2277" xfId="0" applyFont="1" applyBorder="1" applyAlignment="1">
      <alignment vertical="top"/>
    </xf>
    <xf numFmtId="49" fontId="2278" fillId="0" borderId="2278" xfId="0" applyNumberFormat="1" applyFont="1" applyBorder="1" applyAlignment="1">
      <alignment vertical="top"/>
    </xf>
    <xf numFmtId="0" fontId="2279" fillId="0" borderId="2279" xfId="0" applyFont="1" applyBorder="1" applyAlignment="1">
      <alignment vertical="top"/>
    </xf>
    <xf numFmtId="0" fontId="2280" fillId="0" borderId="2280" xfId="0" applyFont="1" applyBorder="1" applyAlignment="1">
      <alignment vertical="top"/>
    </xf>
    <xf numFmtId="49" fontId="2281" fillId="0" borderId="2281" xfId="0" applyNumberFormat="1" applyFont="1" applyBorder="1" applyAlignment="1">
      <alignment vertical="top"/>
    </xf>
    <xf numFmtId="0" fontId="2282" fillId="0" borderId="2282" xfId="0" applyFont="1" applyBorder="1" applyAlignment="1">
      <alignment vertical="top"/>
    </xf>
    <xf numFmtId="0" fontId="2283" fillId="0" borderId="2283" xfId="0" applyFont="1" applyBorder="1" applyAlignment="1">
      <alignment vertical="top"/>
    </xf>
    <xf numFmtId="49" fontId="2284" fillId="0" borderId="2284" xfId="0" applyNumberFormat="1" applyFont="1" applyBorder="1" applyAlignment="1">
      <alignment vertical="top"/>
    </xf>
    <xf numFmtId="0" fontId="2285" fillId="0" borderId="2285" xfId="0" applyFont="1" applyBorder="1" applyAlignment="1">
      <alignment vertical="top"/>
    </xf>
    <xf numFmtId="0" fontId="2286" fillId="0" borderId="2286" xfId="0" applyFont="1" applyBorder="1" applyAlignment="1">
      <alignment vertical="top"/>
    </xf>
    <xf numFmtId="49" fontId="2287" fillId="0" borderId="2287" xfId="0" applyNumberFormat="1" applyFont="1" applyBorder="1" applyAlignment="1">
      <alignment vertical="top"/>
    </xf>
    <xf numFmtId="0" fontId="2288" fillId="0" borderId="2288" xfId="0" applyFont="1" applyBorder="1" applyAlignment="1">
      <alignment vertical="top"/>
    </xf>
    <xf numFmtId="0" fontId="2289" fillId="0" borderId="2289" xfId="0" applyFont="1" applyBorder="1" applyAlignment="1">
      <alignment vertical="top"/>
    </xf>
    <xf numFmtId="49" fontId="2290" fillId="0" borderId="2290" xfId="0" applyNumberFormat="1" applyFont="1" applyBorder="1" applyAlignment="1">
      <alignment vertical="top"/>
    </xf>
    <xf numFmtId="0" fontId="2291" fillId="0" borderId="2291" xfId="0" applyFont="1" applyBorder="1" applyAlignment="1">
      <alignment vertical="top"/>
    </xf>
    <xf numFmtId="0" fontId="2292" fillId="0" borderId="2292" xfId="0" applyFont="1" applyBorder="1" applyAlignment="1">
      <alignment vertical="top"/>
    </xf>
    <xf numFmtId="49" fontId="2293" fillId="0" borderId="2293" xfId="0" applyNumberFormat="1" applyFont="1" applyBorder="1" applyAlignment="1">
      <alignment vertical="top"/>
    </xf>
    <xf numFmtId="0" fontId="2294" fillId="0" borderId="2294" xfId="0" applyFont="1" applyBorder="1" applyAlignment="1">
      <alignment vertical="top"/>
    </xf>
    <xf numFmtId="0" fontId="2295" fillId="0" borderId="2295" xfId="0" applyFont="1" applyBorder="1" applyAlignment="1">
      <alignment vertical="top"/>
    </xf>
    <xf numFmtId="49" fontId="2296" fillId="0" borderId="2296" xfId="0" applyNumberFormat="1" applyFont="1" applyBorder="1" applyAlignment="1">
      <alignment vertical="top"/>
    </xf>
    <xf numFmtId="0" fontId="2297" fillId="0" borderId="2297" xfId="0" applyFont="1" applyBorder="1" applyAlignment="1">
      <alignment vertical="top"/>
    </xf>
    <xf numFmtId="0" fontId="2298" fillId="0" borderId="2298" xfId="0" applyFont="1" applyBorder="1" applyAlignment="1">
      <alignment vertical="top"/>
    </xf>
    <xf numFmtId="49" fontId="2299" fillId="0" borderId="2299" xfId="0" applyNumberFormat="1" applyFont="1" applyBorder="1" applyAlignment="1">
      <alignment vertical="top"/>
    </xf>
    <xf numFmtId="0" fontId="2300" fillId="0" borderId="2300" xfId="0" applyFont="1" applyBorder="1" applyAlignment="1">
      <alignment vertical="top"/>
    </xf>
    <xf numFmtId="0" fontId="2301" fillId="0" borderId="2301" xfId="0" applyFont="1" applyBorder="1" applyAlignment="1">
      <alignment vertical="top"/>
    </xf>
    <xf numFmtId="49" fontId="2302" fillId="0" borderId="2302" xfId="0" applyNumberFormat="1" applyFont="1" applyBorder="1" applyAlignment="1">
      <alignment vertical="top"/>
    </xf>
    <xf numFmtId="0" fontId="2303" fillId="0" borderId="2303" xfId="0" applyFont="1" applyBorder="1" applyAlignment="1">
      <alignment vertical="top"/>
    </xf>
    <xf numFmtId="0" fontId="2304" fillId="0" borderId="2304" xfId="0" applyFont="1" applyBorder="1" applyAlignment="1">
      <alignment vertical="top"/>
    </xf>
    <xf numFmtId="49" fontId="2305" fillId="0" borderId="2305" xfId="0" applyNumberFormat="1" applyFont="1" applyBorder="1" applyAlignment="1">
      <alignment vertical="top"/>
    </xf>
    <xf numFmtId="0" fontId="2306" fillId="0" borderId="2306" xfId="0" applyFont="1" applyBorder="1" applyAlignment="1">
      <alignment vertical="top"/>
    </xf>
    <xf numFmtId="0" fontId="2307" fillId="0" borderId="2307" xfId="0" applyFont="1" applyBorder="1" applyAlignment="1">
      <alignment vertical="top"/>
    </xf>
    <xf numFmtId="49" fontId="2308" fillId="0" borderId="2308" xfId="0" applyNumberFormat="1" applyFont="1" applyBorder="1" applyAlignment="1">
      <alignment vertical="top"/>
    </xf>
    <xf numFmtId="0" fontId="2309" fillId="0" borderId="2309" xfId="0" applyFont="1" applyBorder="1" applyAlignment="1">
      <alignment vertical="top"/>
    </xf>
    <xf numFmtId="0" fontId="2310" fillId="0" borderId="2310" xfId="0" applyFont="1" applyBorder="1" applyAlignment="1">
      <alignment vertical="top"/>
    </xf>
    <xf numFmtId="49" fontId="2311" fillId="0" borderId="2311" xfId="0" applyNumberFormat="1" applyFont="1" applyBorder="1" applyAlignment="1">
      <alignment vertical="top"/>
    </xf>
    <xf numFmtId="0" fontId="2312" fillId="0" borderId="2312" xfId="0" applyFont="1" applyBorder="1" applyAlignment="1">
      <alignment vertical="top"/>
    </xf>
    <xf numFmtId="0" fontId="2313" fillId="0" borderId="2313" xfId="0" applyFont="1" applyBorder="1" applyAlignment="1">
      <alignment vertical="top"/>
    </xf>
    <xf numFmtId="49" fontId="2314" fillId="0" borderId="2314" xfId="0" applyNumberFormat="1" applyFont="1" applyBorder="1" applyAlignment="1">
      <alignment vertical="top"/>
    </xf>
    <xf numFmtId="0" fontId="2315" fillId="0" borderId="2315" xfId="0" applyFont="1" applyBorder="1" applyAlignment="1">
      <alignment vertical="top"/>
    </xf>
    <xf numFmtId="0" fontId="2316" fillId="0" borderId="2316" xfId="0" applyFont="1" applyBorder="1" applyAlignment="1">
      <alignment vertical="top"/>
    </xf>
    <xf numFmtId="49" fontId="2317" fillId="0" borderId="2317" xfId="0" applyNumberFormat="1" applyFont="1" applyBorder="1" applyAlignment="1">
      <alignment vertical="top"/>
    </xf>
    <xf numFmtId="0" fontId="2318" fillId="0" borderId="2318" xfId="0" applyFont="1" applyBorder="1" applyAlignment="1">
      <alignment vertical="top"/>
    </xf>
    <xf numFmtId="0" fontId="2319" fillId="0" borderId="2319" xfId="0" applyFont="1" applyBorder="1" applyAlignment="1">
      <alignment vertical="top"/>
    </xf>
    <xf numFmtId="49" fontId="2320" fillId="0" borderId="2320" xfId="0" applyNumberFormat="1" applyFont="1" applyBorder="1" applyAlignment="1">
      <alignment vertical="top"/>
    </xf>
    <xf numFmtId="0" fontId="2321" fillId="0" borderId="2321" xfId="0" applyFont="1" applyBorder="1" applyAlignment="1">
      <alignment vertical="top"/>
    </xf>
    <xf numFmtId="0" fontId="2322" fillId="0" borderId="2322" xfId="0" applyFont="1" applyBorder="1" applyAlignment="1">
      <alignment vertical="top"/>
    </xf>
    <xf numFmtId="49" fontId="2323" fillId="0" borderId="2323" xfId="0" applyNumberFormat="1" applyFont="1" applyBorder="1" applyAlignment="1">
      <alignment vertical="top"/>
    </xf>
    <xf numFmtId="0" fontId="2324" fillId="0" borderId="2324" xfId="0" applyFont="1" applyBorder="1" applyAlignment="1">
      <alignment vertical="top"/>
    </xf>
    <xf numFmtId="0" fontId="2325" fillId="0" borderId="2325" xfId="0" applyFont="1" applyBorder="1" applyAlignment="1">
      <alignment vertical="top"/>
    </xf>
    <xf numFmtId="49" fontId="2326" fillId="0" borderId="2326" xfId="0" applyNumberFormat="1" applyFont="1" applyBorder="1" applyAlignment="1">
      <alignment vertical="top"/>
    </xf>
    <xf numFmtId="0" fontId="2327" fillId="0" borderId="2327" xfId="0" applyFont="1" applyBorder="1" applyAlignment="1">
      <alignment vertical="top"/>
    </xf>
    <xf numFmtId="0" fontId="2328" fillId="0" borderId="2328" xfId="0" applyFont="1" applyBorder="1" applyAlignment="1">
      <alignment vertical="top"/>
    </xf>
    <xf numFmtId="49" fontId="2329" fillId="0" borderId="2329" xfId="0" applyNumberFormat="1" applyFont="1" applyBorder="1" applyAlignment="1">
      <alignment vertical="top"/>
    </xf>
    <xf numFmtId="0" fontId="2330" fillId="0" borderId="2330" xfId="0" applyFont="1" applyBorder="1" applyAlignment="1">
      <alignment vertical="top"/>
    </xf>
    <xf numFmtId="0" fontId="2331" fillId="0" borderId="2331" xfId="0" applyFont="1" applyBorder="1" applyAlignment="1">
      <alignment vertical="top"/>
    </xf>
    <xf numFmtId="49" fontId="2332" fillId="0" borderId="2332" xfId="0" applyNumberFormat="1" applyFont="1" applyBorder="1" applyAlignment="1">
      <alignment vertical="top"/>
    </xf>
    <xf numFmtId="0" fontId="2333" fillId="0" borderId="2333" xfId="0" applyFont="1" applyBorder="1" applyAlignment="1">
      <alignment vertical="top"/>
    </xf>
    <xf numFmtId="0" fontId="2334" fillId="0" borderId="2334" xfId="0" applyFont="1" applyBorder="1" applyAlignment="1">
      <alignment vertical="top"/>
    </xf>
    <xf numFmtId="49" fontId="2335" fillId="0" borderId="2335" xfId="0" applyNumberFormat="1" applyFont="1" applyBorder="1" applyAlignment="1">
      <alignment vertical="top"/>
    </xf>
    <xf numFmtId="0" fontId="2336" fillId="0" borderId="2336" xfId="0" applyFont="1" applyBorder="1" applyAlignment="1">
      <alignment vertical="top"/>
    </xf>
    <xf numFmtId="0" fontId="2337" fillId="0" borderId="2337" xfId="0" applyFont="1" applyBorder="1" applyAlignment="1">
      <alignment vertical="top"/>
    </xf>
    <xf numFmtId="49" fontId="2338" fillId="0" borderId="2338" xfId="0" applyNumberFormat="1" applyFont="1" applyBorder="1" applyAlignment="1">
      <alignment vertical="top"/>
    </xf>
    <xf numFmtId="0" fontId="2339" fillId="0" borderId="2339" xfId="0" applyFont="1" applyBorder="1" applyAlignment="1">
      <alignment vertical="top"/>
    </xf>
    <xf numFmtId="0" fontId="2340" fillId="0" borderId="2340" xfId="0" applyFont="1" applyBorder="1" applyAlignment="1">
      <alignment vertical="top"/>
    </xf>
    <xf numFmtId="49" fontId="2341" fillId="0" borderId="2341" xfId="0" applyNumberFormat="1" applyFont="1" applyBorder="1" applyAlignment="1">
      <alignment vertical="top"/>
    </xf>
    <xf numFmtId="0" fontId="2342" fillId="0" borderId="2342" xfId="0" applyFont="1" applyBorder="1" applyAlignment="1">
      <alignment vertical="top"/>
    </xf>
    <xf numFmtId="0" fontId="2343" fillId="0" borderId="2343" xfId="0" applyFont="1" applyBorder="1" applyAlignment="1">
      <alignment vertical="top"/>
    </xf>
    <xf numFmtId="49" fontId="2344" fillId="0" borderId="2344" xfId="0" applyNumberFormat="1" applyFont="1" applyBorder="1" applyAlignment="1">
      <alignment vertical="top"/>
    </xf>
    <xf numFmtId="0" fontId="2345" fillId="0" borderId="2345" xfId="0" applyFont="1" applyBorder="1" applyAlignment="1">
      <alignment vertical="top"/>
    </xf>
    <xf numFmtId="0" fontId="2346" fillId="0" borderId="2346" xfId="0" applyFont="1" applyBorder="1" applyAlignment="1">
      <alignment vertical="top"/>
    </xf>
    <xf numFmtId="49" fontId="2347" fillId="0" borderId="2347" xfId="0" applyNumberFormat="1" applyFont="1" applyBorder="1" applyAlignment="1">
      <alignment vertical="top"/>
    </xf>
    <xf numFmtId="0" fontId="2348" fillId="0" borderId="2348" xfId="0" applyFont="1" applyBorder="1" applyAlignment="1">
      <alignment vertical="top"/>
    </xf>
    <xf numFmtId="0" fontId="2349" fillId="0" borderId="2349" xfId="0" applyFont="1" applyBorder="1" applyAlignment="1">
      <alignment vertical="top"/>
    </xf>
    <xf numFmtId="49" fontId="2350" fillId="0" borderId="2350" xfId="0" applyNumberFormat="1" applyFont="1" applyBorder="1" applyAlignment="1">
      <alignment vertical="top"/>
    </xf>
    <xf numFmtId="0" fontId="2351" fillId="0" borderId="2351" xfId="0" applyFont="1" applyBorder="1" applyAlignment="1">
      <alignment vertical="top"/>
    </xf>
    <xf numFmtId="0" fontId="2352" fillId="0" borderId="2352" xfId="0" applyFont="1" applyBorder="1" applyAlignment="1">
      <alignment vertical="top"/>
    </xf>
    <xf numFmtId="49" fontId="2353" fillId="0" borderId="2353" xfId="0" applyNumberFormat="1" applyFont="1" applyBorder="1" applyAlignment="1">
      <alignment vertical="top"/>
    </xf>
    <xf numFmtId="0" fontId="2354" fillId="0" borderId="2354" xfId="0" applyFont="1" applyBorder="1" applyAlignment="1">
      <alignment vertical="top"/>
    </xf>
    <xf numFmtId="0" fontId="2355" fillId="0" borderId="2355" xfId="0" applyFont="1" applyBorder="1" applyAlignment="1">
      <alignment vertical="top"/>
    </xf>
    <xf numFmtId="49" fontId="2356" fillId="0" borderId="2356" xfId="0" applyNumberFormat="1" applyFont="1" applyBorder="1" applyAlignment="1">
      <alignment vertical="top"/>
    </xf>
    <xf numFmtId="0" fontId="2357" fillId="0" borderId="2357" xfId="0" applyFont="1" applyBorder="1" applyAlignment="1">
      <alignment vertical="top"/>
    </xf>
    <xf numFmtId="0" fontId="2358" fillId="0" borderId="2358" xfId="0" applyFont="1" applyBorder="1" applyAlignment="1">
      <alignment vertical="top"/>
    </xf>
    <xf numFmtId="49" fontId="2359" fillId="0" borderId="2359" xfId="0" applyNumberFormat="1" applyFont="1" applyBorder="1" applyAlignment="1">
      <alignment vertical="top"/>
    </xf>
    <xf numFmtId="0" fontId="2360" fillId="0" borderId="2360" xfId="0" applyFont="1" applyBorder="1" applyAlignment="1">
      <alignment vertical="top"/>
    </xf>
    <xf numFmtId="0" fontId="2361" fillId="0" borderId="2361" xfId="0" applyFont="1" applyBorder="1" applyAlignment="1">
      <alignment vertical="top"/>
    </xf>
    <xf numFmtId="49" fontId="2362" fillId="0" borderId="2362" xfId="0" applyNumberFormat="1" applyFont="1" applyBorder="1" applyAlignment="1">
      <alignment vertical="top"/>
    </xf>
    <xf numFmtId="0" fontId="2363" fillId="0" borderId="2363" xfId="0" applyFont="1" applyBorder="1" applyAlignment="1">
      <alignment vertical="top"/>
    </xf>
    <xf numFmtId="0" fontId="2364" fillId="0" borderId="2364" xfId="0" applyFont="1" applyBorder="1" applyAlignment="1">
      <alignment vertical="top"/>
    </xf>
    <xf numFmtId="49" fontId="2365" fillId="0" borderId="2365" xfId="0" applyNumberFormat="1" applyFont="1" applyBorder="1" applyAlignment="1">
      <alignment vertical="top"/>
    </xf>
    <xf numFmtId="0" fontId="2366" fillId="0" borderId="2366" xfId="0" applyFont="1" applyBorder="1" applyAlignment="1">
      <alignment vertical="top"/>
    </xf>
    <xf numFmtId="0" fontId="2367" fillId="0" borderId="2367" xfId="0" applyFont="1" applyBorder="1" applyAlignment="1">
      <alignment vertical="top"/>
    </xf>
    <xf numFmtId="49" fontId="2368" fillId="0" borderId="2368" xfId="0" applyNumberFormat="1" applyFont="1" applyBorder="1" applyAlignment="1">
      <alignment vertical="top"/>
    </xf>
    <xf numFmtId="0" fontId="2369" fillId="0" borderId="2369" xfId="0" applyFont="1" applyBorder="1" applyAlignment="1">
      <alignment vertical="top"/>
    </xf>
    <xf numFmtId="0" fontId="2370" fillId="0" borderId="2370" xfId="0" applyFont="1" applyBorder="1" applyAlignment="1">
      <alignment vertical="top"/>
    </xf>
    <xf numFmtId="49" fontId="2371" fillId="0" borderId="2371" xfId="0" applyNumberFormat="1" applyFont="1" applyBorder="1" applyAlignment="1">
      <alignment vertical="top"/>
    </xf>
    <xf numFmtId="0" fontId="2372" fillId="0" borderId="2372" xfId="0" applyFont="1" applyBorder="1" applyAlignment="1">
      <alignment vertical="top"/>
    </xf>
    <xf numFmtId="0" fontId="2373" fillId="0" borderId="2373" xfId="0" applyFont="1" applyBorder="1" applyAlignment="1">
      <alignment vertical="top"/>
    </xf>
    <xf numFmtId="49" fontId="2374" fillId="0" borderId="2374" xfId="0" applyNumberFormat="1" applyFont="1" applyBorder="1" applyAlignment="1">
      <alignment vertical="top"/>
    </xf>
    <xf numFmtId="0" fontId="2375" fillId="0" borderId="2375" xfId="0" applyFont="1" applyBorder="1" applyAlignment="1">
      <alignment vertical="top"/>
    </xf>
    <xf numFmtId="0" fontId="2376" fillId="0" borderId="2376" xfId="0" applyFont="1" applyBorder="1" applyAlignment="1">
      <alignment vertical="top"/>
    </xf>
    <xf numFmtId="49" fontId="2377" fillId="0" borderId="2377" xfId="0" applyNumberFormat="1" applyFont="1" applyBorder="1" applyAlignment="1">
      <alignment vertical="top"/>
    </xf>
    <xf numFmtId="0" fontId="2378" fillId="0" borderId="2378" xfId="0" applyFont="1" applyBorder="1" applyAlignment="1">
      <alignment vertical="top"/>
    </xf>
    <xf numFmtId="0" fontId="2379" fillId="0" borderId="2379" xfId="0" applyFont="1" applyBorder="1" applyAlignment="1">
      <alignment vertical="top"/>
    </xf>
    <xf numFmtId="49" fontId="2380" fillId="0" borderId="2380" xfId="0" applyNumberFormat="1" applyFont="1" applyBorder="1" applyAlignment="1">
      <alignment vertical="top"/>
    </xf>
    <xf numFmtId="0" fontId="2381" fillId="0" borderId="2381" xfId="0" applyFont="1" applyBorder="1" applyAlignment="1">
      <alignment vertical="top"/>
    </xf>
    <xf numFmtId="0" fontId="2382" fillId="0" borderId="2382" xfId="0" applyFont="1" applyBorder="1" applyAlignment="1">
      <alignment vertical="top"/>
    </xf>
    <xf numFmtId="49" fontId="2383" fillId="0" borderId="2383" xfId="0" applyNumberFormat="1" applyFont="1" applyBorder="1" applyAlignment="1">
      <alignment vertical="top"/>
    </xf>
    <xf numFmtId="0" fontId="2384" fillId="0" borderId="2384" xfId="0" applyFont="1" applyBorder="1" applyAlignment="1">
      <alignment vertical="top"/>
    </xf>
    <xf numFmtId="0" fontId="2385" fillId="0" borderId="2385" xfId="0" applyFont="1" applyBorder="1" applyAlignment="1">
      <alignment vertical="top"/>
    </xf>
    <xf numFmtId="49" fontId="2386" fillId="0" borderId="2386" xfId="0" applyNumberFormat="1" applyFont="1" applyBorder="1" applyAlignment="1">
      <alignment vertical="top"/>
    </xf>
    <xf numFmtId="0" fontId="2387" fillId="0" borderId="2387" xfId="0" applyFont="1" applyBorder="1" applyAlignment="1">
      <alignment vertical="top"/>
    </xf>
    <xf numFmtId="0" fontId="2388" fillId="0" borderId="2388" xfId="0" applyFont="1" applyBorder="1" applyAlignment="1">
      <alignment vertical="top"/>
    </xf>
    <xf numFmtId="49" fontId="2389" fillId="0" borderId="2389" xfId="0" applyNumberFormat="1" applyFont="1" applyBorder="1" applyAlignment="1">
      <alignment vertical="top"/>
    </xf>
    <xf numFmtId="0" fontId="2390" fillId="0" borderId="2390" xfId="0" applyFont="1" applyBorder="1" applyAlignment="1">
      <alignment vertical="top"/>
    </xf>
    <xf numFmtId="0" fontId="2391" fillId="0" borderId="2391" xfId="0" applyFont="1" applyBorder="1" applyAlignment="1">
      <alignment vertical="top"/>
    </xf>
    <xf numFmtId="49" fontId="2392" fillId="0" borderId="2392" xfId="0" applyNumberFormat="1" applyFont="1" applyBorder="1" applyAlignment="1">
      <alignment vertical="top"/>
    </xf>
    <xf numFmtId="0" fontId="2393" fillId="0" borderId="2393" xfId="0" applyFont="1" applyBorder="1" applyAlignment="1">
      <alignment vertical="top"/>
    </xf>
    <xf numFmtId="0" fontId="2394" fillId="0" borderId="2394" xfId="0" applyFont="1" applyBorder="1" applyAlignment="1">
      <alignment vertical="top"/>
    </xf>
    <xf numFmtId="49" fontId="2395" fillId="0" borderId="2395" xfId="0" applyNumberFormat="1" applyFont="1" applyBorder="1" applyAlignment="1">
      <alignment vertical="top"/>
    </xf>
    <xf numFmtId="0" fontId="2396" fillId="0" borderId="2396" xfId="0" applyFont="1" applyBorder="1" applyAlignment="1">
      <alignment vertical="top"/>
    </xf>
    <xf numFmtId="0" fontId="2397" fillId="0" borderId="2397" xfId="0" applyFont="1" applyBorder="1" applyAlignment="1">
      <alignment vertical="top"/>
    </xf>
    <xf numFmtId="49" fontId="2398" fillId="0" borderId="2398" xfId="0" applyNumberFormat="1" applyFont="1" applyBorder="1" applyAlignment="1">
      <alignment vertical="top"/>
    </xf>
    <xf numFmtId="0" fontId="2399" fillId="0" borderId="2399" xfId="0" applyFont="1" applyBorder="1" applyAlignment="1">
      <alignment vertical="top"/>
    </xf>
    <xf numFmtId="0" fontId="2400" fillId="0" borderId="2400" xfId="0" applyFont="1" applyBorder="1" applyAlignment="1">
      <alignment vertical="top"/>
    </xf>
    <xf numFmtId="49" fontId="2401" fillId="0" borderId="2401" xfId="0" applyNumberFormat="1" applyFont="1" applyBorder="1" applyAlignment="1">
      <alignment vertical="top"/>
    </xf>
    <xf numFmtId="0" fontId="2402" fillId="0" borderId="2402" xfId="0" applyFont="1" applyBorder="1" applyAlignment="1">
      <alignment vertical="top"/>
    </xf>
    <xf numFmtId="0" fontId="2403" fillId="0" borderId="2403" xfId="0" applyFont="1" applyBorder="1" applyAlignment="1">
      <alignment vertical="top"/>
    </xf>
    <xf numFmtId="49" fontId="2404" fillId="0" borderId="2404" xfId="0" applyNumberFormat="1" applyFont="1" applyBorder="1" applyAlignment="1">
      <alignment vertical="top"/>
    </xf>
    <xf numFmtId="0" fontId="2405" fillId="0" borderId="2405" xfId="0" applyFont="1" applyBorder="1" applyAlignment="1">
      <alignment vertical="top"/>
    </xf>
    <xf numFmtId="0" fontId="2406" fillId="0" borderId="2406" xfId="0" applyFont="1" applyBorder="1" applyAlignment="1">
      <alignment vertical="top"/>
    </xf>
    <xf numFmtId="49" fontId="2407" fillId="0" borderId="2407" xfId="0" applyNumberFormat="1" applyFont="1" applyBorder="1" applyAlignment="1">
      <alignment vertical="top"/>
    </xf>
    <xf numFmtId="0" fontId="2408" fillId="0" borderId="2408" xfId="0" applyFont="1" applyBorder="1" applyAlignment="1">
      <alignment vertical="top"/>
    </xf>
    <xf numFmtId="0" fontId="2409" fillId="0" borderId="2409" xfId="0" applyFont="1" applyBorder="1" applyAlignment="1">
      <alignment vertical="top"/>
    </xf>
    <xf numFmtId="49" fontId="2410" fillId="0" borderId="2410" xfId="0" applyNumberFormat="1" applyFont="1" applyBorder="1" applyAlignment="1">
      <alignment vertical="top"/>
    </xf>
    <xf numFmtId="0" fontId="2411" fillId="0" borderId="2411" xfId="0" applyFont="1" applyBorder="1" applyAlignment="1">
      <alignment vertical="top"/>
    </xf>
    <xf numFmtId="0" fontId="2412" fillId="0" borderId="2412" xfId="0" applyFont="1" applyBorder="1" applyAlignment="1">
      <alignment vertical="top"/>
    </xf>
    <xf numFmtId="49" fontId="2413" fillId="0" borderId="2413" xfId="0" applyNumberFormat="1" applyFont="1" applyBorder="1" applyAlignment="1">
      <alignment vertical="top"/>
    </xf>
    <xf numFmtId="0" fontId="2414" fillId="0" borderId="2414" xfId="0" applyFont="1" applyBorder="1" applyAlignment="1">
      <alignment vertical="top"/>
    </xf>
    <xf numFmtId="0" fontId="2415" fillId="0" borderId="2415" xfId="0" applyFont="1" applyBorder="1" applyAlignment="1">
      <alignment vertical="top"/>
    </xf>
    <xf numFmtId="49" fontId="2416" fillId="0" borderId="2416" xfId="0" applyNumberFormat="1" applyFont="1" applyBorder="1" applyAlignment="1">
      <alignment vertical="top"/>
    </xf>
    <xf numFmtId="0" fontId="2417" fillId="0" borderId="2417" xfId="0" applyFont="1" applyBorder="1" applyAlignment="1">
      <alignment vertical="top"/>
    </xf>
    <xf numFmtId="0" fontId="2418" fillId="0" borderId="2418" xfId="0" applyFont="1" applyBorder="1" applyAlignment="1">
      <alignment vertical="top"/>
    </xf>
    <xf numFmtId="49" fontId="2419" fillId="0" borderId="2419" xfId="0" applyNumberFormat="1" applyFont="1" applyBorder="1" applyAlignment="1">
      <alignment vertical="top"/>
    </xf>
    <xf numFmtId="0" fontId="2420" fillId="0" borderId="2420" xfId="0" applyFont="1" applyBorder="1" applyAlignment="1">
      <alignment vertical="top"/>
    </xf>
    <xf numFmtId="0" fontId="2421" fillId="0" borderId="2421" xfId="0" applyFont="1" applyBorder="1" applyAlignment="1">
      <alignment vertical="top"/>
    </xf>
    <xf numFmtId="49" fontId="2422" fillId="0" borderId="2422" xfId="0" applyNumberFormat="1" applyFont="1" applyBorder="1" applyAlignment="1">
      <alignment vertical="top"/>
    </xf>
    <xf numFmtId="0" fontId="2423" fillId="0" borderId="2423" xfId="0" applyFont="1" applyBorder="1" applyAlignment="1">
      <alignment vertical="top"/>
    </xf>
    <xf numFmtId="0" fontId="2424" fillId="0" borderId="2424" xfId="0" applyFont="1" applyBorder="1" applyAlignment="1">
      <alignment vertical="top"/>
    </xf>
    <xf numFmtId="49" fontId="2425" fillId="0" borderId="2425" xfId="0" applyNumberFormat="1" applyFont="1" applyBorder="1" applyAlignment="1">
      <alignment vertical="top"/>
    </xf>
    <xf numFmtId="0" fontId="2426" fillId="0" borderId="2426" xfId="0" applyFont="1" applyBorder="1" applyAlignment="1">
      <alignment vertical="top"/>
    </xf>
    <xf numFmtId="0" fontId="2427" fillId="0" borderId="2427" xfId="0" applyFont="1" applyBorder="1" applyAlignment="1">
      <alignment vertical="top"/>
    </xf>
    <xf numFmtId="49" fontId="2428" fillId="0" borderId="2428" xfId="0" applyNumberFormat="1" applyFont="1" applyBorder="1" applyAlignment="1">
      <alignment vertical="top"/>
    </xf>
    <xf numFmtId="0" fontId="2429" fillId="0" borderId="2429" xfId="0" applyFont="1" applyBorder="1" applyAlignment="1">
      <alignment vertical="top"/>
    </xf>
    <xf numFmtId="0" fontId="2430" fillId="0" borderId="2430" xfId="0" applyFont="1" applyBorder="1" applyAlignment="1">
      <alignment vertical="top"/>
    </xf>
    <xf numFmtId="49" fontId="2431" fillId="0" borderId="2431" xfId="0" applyNumberFormat="1" applyFont="1" applyBorder="1" applyAlignment="1">
      <alignment vertical="top"/>
    </xf>
    <xf numFmtId="0" fontId="2432" fillId="0" borderId="2432" xfId="0" applyFont="1" applyBorder="1" applyAlignment="1">
      <alignment vertical="top"/>
    </xf>
    <xf numFmtId="0" fontId="2433" fillId="0" borderId="2433" xfId="0" applyFont="1" applyBorder="1" applyAlignment="1">
      <alignment vertical="top"/>
    </xf>
    <xf numFmtId="49" fontId="2434" fillId="0" borderId="2434" xfId="0" applyNumberFormat="1" applyFont="1" applyBorder="1" applyAlignment="1">
      <alignment vertical="top"/>
    </xf>
    <xf numFmtId="0" fontId="2435" fillId="0" borderId="2435" xfId="0" applyFont="1" applyBorder="1" applyAlignment="1">
      <alignment vertical="top"/>
    </xf>
    <xf numFmtId="0" fontId="2436" fillId="0" borderId="2436" xfId="0" applyFont="1" applyBorder="1" applyAlignment="1">
      <alignment vertical="top"/>
    </xf>
    <xf numFmtId="49" fontId="2437" fillId="0" borderId="2437" xfId="0" applyNumberFormat="1" applyFont="1" applyBorder="1" applyAlignment="1">
      <alignment vertical="top"/>
    </xf>
    <xf numFmtId="0" fontId="2438" fillId="0" borderId="2438" xfId="0" applyFont="1" applyBorder="1" applyAlignment="1">
      <alignment vertical="top"/>
    </xf>
    <xf numFmtId="0" fontId="2439" fillId="0" borderId="2439" xfId="0" applyFont="1" applyBorder="1" applyAlignment="1">
      <alignment vertical="top"/>
    </xf>
    <xf numFmtId="49" fontId="2440" fillId="0" borderId="2440" xfId="0" applyNumberFormat="1" applyFont="1" applyBorder="1" applyAlignment="1">
      <alignment vertical="top"/>
    </xf>
    <xf numFmtId="0" fontId="2441" fillId="0" borderId="2441" xfId="0" applyFont="1" applyBorder="1" applyAlignment="1">
      <alignment vertical="top"/>
    </xf>
    <xf numFmtId="0" fontId="2442" fillId="0" borderId="2442" xfId="0" applyFont="1" applyBorder="1" applyAlignment="1">
      <alignment vertical="top"/>
    </xf>
    <xf numFmtId="49" fontId="2443" fillId="0" borderId="2443" xfId="0" applyNumberFormat="1" applyFont="1" applyBorder="1" applyAlignment="1">
      <alignment vertical="top"/>
    </xf>
    <xf numFmtId="0" fontId="2444" fillId="0" borderId="2444" xfId="0" applyFont="1" applyBorder="1" applyAlignment="1">
      <alignment vertical="top"/>
    </xf>
    <xf numFmtId="0" fontId="2445" fillId="0" borderId="2445" xfId="0" applyFont="1" applyBorder="1" applyAlignment="1">
      <alignment vertical="top"/>
    </xf>
    <xf numFmtId="49" fontId="2446" fillId="0" borderId="2446" xfId="0" applyNumberFormat="1" applyFont="1" applyBorder="1" applyAlignment="1">
      <alignment vertical="top"/>
    </xf>
    <xf numFmtId="0" fontId="2447" fillId="0" borderId="2447" xfId="0" applyFont="1" applyBorder="1" applyAlignment="1">
      <alignment vertical="top"/>
    </xf>
    <xf numFmtId="0" fontId="2448" fillId="0" borderId="2448" xfId="0" applyFont="1" applyBorder="1" applyAlignment="1">
      <alignment vertical="top"/>
    </xf>
    <xf numFmtId="49" fontId="2449" fillId="0" borderId="2449" xfId="0" applyNumberFormat="1" applyFont="1" applyBorder="1" applyAlignment="1">
      <alignment vertical="top"/>
    </xf>
    <xf numFmtId="0" fontId="2450" fillId="0" borderId="2450" xfId="0" applyFont="1" applyBorder="1" applyAlignment="1">
      <alignment vertical="top"/>
    </xf>
    <xf numFmtId="0" fontId="2451" fillId="0" borderId="2451" xfId="0" applyFont="1" applyBorder="1" applyAlignment="1">
      <alignment vertical="top"/>
    </xf>
    <xf numFmtId="49" fontId="2452" fillId="0" borderId="2452" xfId="0" applyNumberFormat="1" applyFont="1" applyBorder="1" applyAlignment="1">
      <alignment vertical="top"/>
    </xf>
    <xf numFmtId="0" fontId="2453" fillId="0" borderId="2453" xfId="0" applyFont="1" applyBorder="1" applyAlignment="1">
      <alignment vertical="top"/>
    </xf>
    <xf numFmtId="0" fontId="2454" fillId="0" borderId="2454" xfId="0" applyFont="1" applyBorder="1" applyAlignment="1">
      <alignment vertical="top"/>
    </xf>
    <xf numFmtId="49" fontId="2455" fillId="0" borderId="2455" xfId="0" applyNumberFormat="1" applyFont="1" applyBorder="1" applyAlignment="1">
      <alignment vertical="top"/>
    </xf>
    <xf numFmtId="0" fontId="2456" fillId="0" borderId="2456" xfId="0" applyFont="1" applyBorder="1" applyAlignment="1">
      <alignment vertical="top"/>
    </xf>
    <xf numFmtId="0" fontId="2457" fillId="0" borderId="2457" xfId="0" applyFont="1" applyBorder="1" applyAlignment="1">
      <alignment vertical="top"/>
    </xf>
    <xf numFmtId="49" fontId="2458" fillId="0" borderId="2458" xfId="0" applyNumberFormat="1" applyFont="1" applyBorder="1" applyAlignment="1">
      <alignment vertical="top"/>
    </xf>
    <xf numFmtId="0" fontId="2459" fillId="0" borderId="2459" xfId="0" applyFont="1" applyBorder="1" applyAlignment="1">
      <alignment vertical="top"/>
    </xf>
    <xf numFmtId="0" fontId="2460" fillId="0" borderId="2460" xfId="0" applyFont="1" applyBorder="1" applyAlignment="1">
      <alignment vertical="top"/>
    </xf>
    <xf numFmtId="49" fontId="2461" fillId="0" borderId="2461" xfId="0" applyNumberFormat="1" applyFont="1" applyBorder="1" applyAlignment="1">
      <alignment vertical="top"/>
    </xf>
    <xf numFmtId="0" fontId="2462" fillId="0" borderId="2462" xfId="0" applyFont="1" applyBorder="1" applyAlignment="1">
      <alignment vertical="top"/>
    </xf>
    <xf numFmtId="0" fontId="2463" fillId="0" borderId="2463" xfId="0" applyFont="1" applyBorder="1" applyAlignment="1">
      <alignment vertical="top"/>
    </xf>
    <xf numFmtId="49" fontId="2464" fillId="0" borderId="2464" xfId="0" applyNumberFormat="1" applyFont="1" applyBorder="1" applyAlignment="1">
      <alignment vertical="top"/>
    </xf>
    <xf numFmtId="0" fontId="2465" fillId="0" borderId="2465" xfId="0" applyFont="1" applyBorder="1" applyAlignment="1">
      <alignment vertical="top"/>
    </xf>
    <xf numFmtId="0" fontId="2466" fillId="0" borderId="2466" xfId="0" applyFont="1" applyBorder="1" applyAlignment="1">
      <alignment vertical="top"/>
    </xf>
    <xf numFmtId="49" fontId="2467" fillId="0" borderId="2467" xfId="0" applyNumberFormat="1" applyFont="1" applyBorder="1" applyAlignment="1">
      <alignment vertical="top"/>
    </xf>
    <xf numFmtId="0" fontId="2468" fillId="0" borderId="2468" xfId="0" applyFont="1" applyBorder="1" applyAlignment="1">
      <alignment vertical="top"/>
    </xf>
    <xf numFmtId="0" fontId="2469" fillId="0" borderId="2469" xfId="0" applyFont="1" applyBorder="1" applyAlignment="1">
      <alignment vertical="top"/>
    </xf>
    <xf numFmtId="49" fontId="2470" fillId="0" borderId="2470" xfId="0" applyNumberFormat="1" applyFont="1" applyBorder="1" applyAlignment="1">
      <alignment vertical="top"/>
    </xf>
    <xf numFmtId="0" fontId="2471" fillId="0" borderId="2471" xfId="0" applyFont="1" applyBorder="1" applyAlignment="1">
      <alignment vertical="top"/>
    </xf>
    <xf numFmtId="0" fontId="2472" fillId="0" borderId="2472" xfId="0" applyFont="1" applyBorder="1" applyAlignment="1">
      <alignment vertical="top"/>
    </xf>
    <xf numFmtId="49" fontId="2473" fillId="0" borderId="2473" xfId="0" applyNumberFormat="1" applyFont="1" applyBorder="1" applyAlignment="1">
      <alignment vertical="top"/>
    </xf>
    <xf numFmtId="0" fontId="2474" fillId="0" borderId="2474" xfId="0" applyFont="1" applyBorder="1" applyAlignment="1">
      <alignment vertical="top"/>
    </xf>
    <xf numFmtId="0" fontId="2475" fillId="0" borderId="2475" xfId="0" applyFont="1" applyBorder="1" applyAlignment="1">
      <alignment vertical="top"/>
    </xf>
    <xf numFmtId="49" fontId="2476" fillId="0" borderId="2476" xfId="0" applyNumberFormat="1" applyFont="1" applyBorder="1" applyAlignment="1">
      <alignment vertical="top"/>
    </xf>
    <xf numFmtId="0" fontId="2477" fillId="0" borderId="2477" xfId="0" applyFont="1" applyBorder="1" applyAlignment="1">
      <alignment vertical="top"/>
    </xf>
    <xf numFmtId="0" fontId="2478" fillId="0" borderId="2478" xfId="0" applyFont="1" applyBorder="1" applyAlignment="1">
      <alignment vertical="top"/>
    </xf>
    <xf numFmtId="49" fontId="2479" fillId="0" borderId="2479" xfId="0" applyNumberFormat="1" applyFont="1" applyBorder="1" applyAlignment="1">
      <alignment vertical="top"/>
    </xf>
    <xf numFmtId="0" fontId="2480" fillId="0" borderId="2480" xfId="0" applyFont="1" applyBorder="1" applyAlignment="1">
      <alignment vertical="top"/>
    </xf>
    <xf numFmtId="0" fontId="2481" fillId="0" borderId="2481" xfId="0" applyFont="1" applyBorder="1" applyAlignment="1">
      <alignment vertical="top"/>
    </xf>
    <xf numFmtId="49" fontId="2482" fillId="0" borderId="2482" xfId="0" applyNumberFormat="1" applyFont="1" applyBorder="1" applyAlignment="1">
      <alignment vertical="top"/>
    </xf>
    <xf numFmtId="0" fontId="2483" fillId="0" borderId="2483" xfId="0" applyFont="1" applyBorder="1" applyAlignment="1">
      <alignment vertical="top"/>
    </xf>
    <xf numFmtId="0" fontId="2484" fillId="0" borderId="2484" xfId="0" applyFont="1" applyBorder="1" applyAlignment="1">
      <alignment vertical="top"/>
    </xf>
    <xf numFmtId="49" fontId="2485" fillId="0" borderId="2485" xfId="0" applyNumberFormat="1" applyFont="1" applyBorder="1" applyAlignment="1">
      <alignment vertical="top"/>
    </xf>
    <xf numFmtId="0" fontId="2486" fillId="0" borderId="2486" xfId="0" applyFont="1" applyBorder="1" applyAlignment="1">
      <alignment vertical="top"/>
    </xf>
    <xf numFmtId="0" fontId="2487" fillId="0" borderId="2487" xfId="0" applyFont="1" applyBorder="1" applyAlignment="1">
      <alignment vertical="top"/>
    </xf>
    <xf numFmtId="49" fontId="2488" fillId="0" borderId="2488" xfId="0" applyNumberFormat="1" applyFont="1" applyBorder="1" applyAlignment="1">
      <alignment vertical="top"/>
    </xf>
    <xf numFmtId="0" fontId="2489" fillId="0" borderId="2489" xfId="0" applyFont="1" applyBorder="1" applyAlignment="1">
      <alignment vertical="top"/>
    </xf>
    <xf numFmtId="0" fontId="2490" fillId="0" borderId="2490" xfId="0" applyFont="1" applyBorder="1" applyAlignment="1">
      <alignment vertical="top"/>
    </xf>
    <xf numFmtId="49" fontId="2491" fillId="0" borderId="2491" xfId="0" applyNumberFormat="1" applyFont="1" applyBorder="1" applyAlignment="1">
      <alignment vertical="top"/>
    </xf>
    <xf numFmtId="0" fontId="2492" fillId="0" borderId="2492" xfId="0" applyFont="1" applyBorder="1" applyAlignment="1">
      <alignment vertical="top"/>
    </xf>
    <xf numFmtId="0" fontId="2493" fillId="0" borderId="2493" xfId="0" applyFont="1" applyBorder="1" applyAlignment="1">
      <alignment vertical="top"/>
    </xf>
    <xf numFmtId="49" fontId="2494" fillId="0" borderId="2494" xfId="0" applyNumberFormat="1" applyFont="1" applyBorder="1" applyAlignment="1">
      <alignment vertical="top"/>
    </xf>
    <xf numFmtId="0" fontId="2495" fillId="0" borderId="2495" xfId="0" applyFont="1" applyBorder="1" applyAlignment="1">
      <alignment vertical="top"/>
    </xf>
    <xf numFmtId="0" fontId="2496" fillId="0" borderId="2496" xfId="0" applyFont="1" applyBorder="1" applyAlignment="1">
      <alignment vertical="top"/>
    </xf>
    <xf numFmtId="49" fontId="2497" fillId="0" borderId="2497" xfId="0" applyNumberFormat="1" applyFont="1" applyBorder="1" applyAlignment="1">
      <alignment vertical="top"/>
    </xf>
    <xf numFmtId="0" fontId="2498" fillId="0" borderId="2498" xfId="0" applyFont="1" applyBorder="1" applyAlignment="1">
      <alignment vertical="top"/>
    </xf>
    <xf numFmtId="0" fontId="2499" fillId="0" borderId="2499" xfId="0" applyFont="1" applyBorder="1" applyAlignment="1">
      <alignment vertical="top"/>
    </xf>
    <xf numFmtId="49" fontId="2500" fillId="0" borderId="2500" xfId="0" applyNumberFormat="1" applyFont="1" applyBorder="1" applyAlignment="1">
      <alignment vertical="top"/>
    </xf>
    <xf numFmtId="0" fontId="2501" fillId="0" borderId="2501" xfId="0" applyFont="1" applyBorder="1" applyAlignment="1">
      <alignment vertical="top"/>
    </xf>
    <xf numFmtId="0" fontId="2502" fillId="0" borderId="2502" xfId="0" applyFont="1" applyBorder="1" applyAlignment="1">
      <alignment vertical="top"/>
    </xf>
    <xf numFmtId="49" fontId="2503" fillId="0" borderId="2503" xfId="0" applyNumberFormat="1" applyFont="1" applyBorder="1" applyAlignment="1">
      <alignment vertical="top"/>
    </xf>
    <xf numFmtId="0" fontId="2504" fillId="0" borderId="2504" xfId="0" applyFont="1" applyBorder="1" applyAlignment="1">
      <alignment vertical="top"/>
    </xf>
    <xf numFmtId="0" fontId="2505" fillId="0" borderId="2505" xfId="0" applyFont="1" applyBorder="1" applyAlignment="1">
      <alignment vertical="top"/>
    </xf>
    <xf numFmtId="49" fontId="2506" fillId="0" borderId="2506" xfId="0" applyNumberFormat="1" applyFont="1" applyBorder="1" applyAlignment="1">
      <alignment vertical="top"/>
    </xf>
    <xf numFmtId="0" fontId="2507" fillId="0" borderId="2507" xfId="0" applyFont="1" applyBorder="1" applyAlignment="1">
      <alignment vertical="top"/>
    </xf>
    <xf numFmtId="0" fontId="2508" fillId="0" borderId="2508" xfId="0" applyFont="1" applyBorder="1" applyAlignment="1">
      <alignment vertical="top"/>
    </xf>
    <xf numFmtId="49" fontId="2509" fillId="0" borderId="2509" xfId="0" applyNumberFormat="1" applyFont="1" applyBorder="1" applyAlignment="1">
      <alignment vertical="top"/>
    </xf>
    <xf numFmtId="0" fontId="2510" fillId="0" borderId="2510" xfId="0" applyFont="1" applyBorder="1" applyAlignment="1">
      <alignment vertical="top"/>
    </xf>
    <xf numFmtId="0" fontId="2511" fillId="0" borderId="2511" xfId="0" applyFont="1" applyBorder="1" applyAlignment="1">
      <alignment vertical="top"/>
    </xf>
    <xf numFmtId="49" fontId="2512" fillId="0" borderId="2512" xfId="0" applyNumberFormat="1" applyFont="1" applyBorder="1" applyAlignment="1">
      <alignment vertical="top"/>
    </xf>
    <xf numFmtId="0" fontId="2513" fillId="0" borderId="2513" xfId="0" applyFont="1" applyBorder="1" applyAlignment="1">
      <alignment vertical="top"/>
    </xf>
    <xf numFmtId="0" fontId="2514" fillId="0" borderId="2514" xfId="0" applyFont="1" applyBorder="1" applyAlignment="1">
      <alignment vertical="top"/>
    </xf>
    <xf numFmtId="49" fontId="2515" fillId="0" borderId="2515" xfId="0" applyNumberFormat="1" applyFont="1" applyBorder="1" applyAlignment="1">
      <alignment vertical="top"/>
    </xf>
    <xf numFmtId="0" fontId="2516" fillId="0" borderId="2516" xfId="0" applyFont="1" applyBorder="1" applyAlignment="1">
      <alignment vertical="top"/>
    </xf>
    <xf numFmtId="0" fontId="2517" fillId="0" borderId="2517" xfId="0" applyFont="1" applyBorder="1" applyAlignment="1">
      <alignment vertical="top"/>
    </xf>
    <xf numFmtId="49" fontId="2518" fillId="0" borderId="2518" xfId="0" applyNumberFormat="1" applyFont="1" applyBorder="1" applyAlignment="1">
      <alignment vertical="top"/>
    </xf>
    <xf numFmtId="0" fontId="2519" fillId="0" borderId="2519" xfId="0" applyFont="1" applyBorder="1" applyAlignment="1">
      <alignment vertical="top"/>
    </xf>
    <xf numFmtId="0" fontId="2520" fillId="0" borderId="2520" xfId="0" applyFont="1" applyBorder="1" applyAlignment="1">
      <alignment vertical="top"/>
    </xf>
    <xf numFmtId="49" fontId="2521" fillId="0" borderId="2521" xfId="0" applyNumberFormat="1" applyFont="1" applyBorder="1" applyAlignment="1">
      <alignment vertical="top"/>
    </xf>
    <xf numFmtId="0" fontId="2522" fillId="0" borderId="2522" xfId="0" applyFont="1" applyBorder="1" applyAlignment="1">
      <alignment vertical="top"/>
    </xf>
    <xf numFmtId="0" fontId="2523" fillId="0" borderId="2523" xfId="0" applyFont="1" applyBorder="1" applyAlignment="1">
      <alignment vertical="top"/>
    </xf>
    <xf numFmtId="49" fontId="2524" fillId="0" borderId="2524" xfId="0" applyNumberFormat="1" applyFont="1" applyBorder="1" applyAlignment="1">
      <alignment vertical="top"/>
    </xf>
    <xf numFmtId="0" fontId="2525" fillId="0" borderId="2525" xfId="0" applyFont="1" applyBorder="1" applyAlignment="1">
      <alignment vertical="top"/>
    </xf>
    <xf numFmtId="0" fontId="2526" fillId="0" borderId="2526" xfId="0" applyFont="1" applyBorder="1" applyAlignment="1">
      <alignment vertical="top"/>
    </xf>
    <xf numFmtId="49" fontId="2527" fillId="0" borderId="2527" xfId="0" applyNumberFormat="1" applyFont="1" applyBorder="1" applyAlignment="1">
      <alignment vertical="top"/>
    </xf>
    <xf numFmtId="0" fontId="2528" fillId="0" borderId="2528" xfId="0" applyFont="1" applyBorder="1" applyAlignment="1">
      <alignment vertical="top"/>
    </xf>
    <xf numFmtId="0" fontId="2529" fillId="0" borderId="2529" xfId="0" applyFont="1" applyBorder="1" applyAlignment="1">
      <alignment vertical="top"/>
    </xf>
    <xf numFmtId="49" fontId="2530" fillId="0" borderId="2530" xfId="0" applyNumberFormat="1" applyFont="1" applyBorder="1" applyAlignment="1">
      <alignment vertical="top"/>
    </xf>
    <xf numFmtId="0" fontId="2531" fillId="0" borderId="2531" xfId="0" applyFont="1" applyBorder="1" applyAlignment="1">
      <alignment vertical="top"/>
    </xf>
    <xf numFmtId="0" fontId="2532" fillId="0" borderId="2532" xfId="0" applyFont="1" applyBorder="1" applyAlignment="1">
      <alignment vertical="top"/>
    </xf>
    <xf numFmtId="49" fontId="2533" fillId="0" borderId="2533" xfId="0" applyNumberFormat="1" applyFont="1" applyBorder="1" applyAlignment="1">
      <alignment vertical="top"/>
    </xf>
    <xf numFmtId="0" fontId="2534" fillId="0" borderId="2534" xfId="0" applyFont="1" applyBorder="1" applyAlignment="1">
      <alignment vertical="top"/>
    </xf>
    <xf numFmtId="0" fontId="2535" fillId="0" borderId="2535" xfId="0" applyFont="1" applyBorder="1" applyAlignment="1">
      <alignment vertical="top"/>
    </xf>
    <xf numFmtId="49" fontId="2536" fillId="0" borderId="2536" xfId="0" applyNumberFormat="1" applyFont="1" applyBorder="1" applyAlignment="1">
      <alignment vertical="top"/>
    </xf>
    <xf numFmtId="0" fontId="2537" fillId="0" borderId="2537" xfId="0" applyFont="1" applyBorder="1" applyAlignment="1">
      <alignment vertical="top"/>
    </xf>
    <xf numFmtId="0" fontId="2538" fillId="0" borderId="2538" xfId="0" applyFont="1" applyBorder="1" applyAlignment="1">
      <alignment vertical="top"/>
    </xf>
    <xf numFmtId="49" fontId="2539" fillId="0" borderId="2539" xfId="0" applyNumberFormat="1" applyFont="1" applyBorder="1" applyAlignment="1">
      <alignment vertical="top"/>
    </xf>
    <xf numFmtId="0" fontId="2540" fillId="0" borderId="2540" xfId="0" applyFont="1" applyBorder="1" applyAlignment="1">
      <alignment vertical="top"/>
    </xf>
    <xf numFmtId="0" fontId="2541" fillId="0" borderId="2541" xfId="0" applyFont="1" applyBorder="1" applyAlignment="1">
      <alignment vertical="top"/>
    </xf>
    <xf numFmtId="49" fontId="2542" fillId="0" borderId="2542" xfId="0" applyNumberFormat="1" applyFont="1" applyBorder="1" applyAlignment="1">
      <alignment vertical="top"/>
    </xf>
    <xf numFmtId="0" fontId="2543" fillId="0" borderId="2543" xfId="0" applyFont="1" applyBorder="1" applyAlignment="1">
      <alignment vertical="top"/>
    </xf>
    <xf numFmtId="0" fontId="2544" fillId="0" borderId="2544" xfId="0" applyFont="1" applyBorder="1" applyAlignment="1">
      <alignment vertical="top"/>
    </xf>
    <xf numFmtId="49" fontId="2545" fillId="0" borderId="2545" xfId="0" applyNumberFormat="1" applyFont="1" applyBorder="1" applyAlignment="1">
      <alignment vertical="top"/>
    </xf>
    <xf numFmtId="0" fontId="2546" fillId="0" borderId="2546" xfId="0" applyFont="1" applyBorder="1" applyAlignment="1">
      <alignment vertical="top"/>
    </xf>
    <xf numFmtId="0" fontId="2547" fillId="0" borderId="2547" xfId="0" applyFont="1" applyBorder="1" applyAlignment="1">
      <alignment vertical="top"/>
    </xf>
    <xf numFmtId="49" fontId="2548" fillId="0" borderId="2548" xfId="0" applyNumberFormat="1" applyFont="1" applyBorder="1" applyAlignment="1">
      <alignment vertical="top"/>
    </xf>
    <xf numFmtId="0" fontId="2549" fillId="0" borderId="2549" xfId="0" applyFont="1" applyBorder="1" applyAlignment="1">
      <alignment vertical="top"/>
    </xf>
    <xf numFmtId="0" fontId="2550" fillId="0" borderId="2550" xfId="0" applyFont="1" applyBorder="1" applyAlignment="1">
      <alignment vertical="top"/>
    </xf>
    <xf numFmtId="49" fontId="2551" fillId="0" borderId="2551" xfId="0" applyNumberFormat="1" applyFont="1" applyBorder="1" applyAlignment="1">
      <alignment vertical="top"/>
    </xf>
    <xf numFmtId="0" fontId="2552" fillId="0" borderId="2552" xfId="0" applyFont="1" applyBorder="1" applyAlignment="1">
      <alignment vertical="top"/>
    </xf>
    <xf numFmtId="0" fontId="2553" fillId="0" borderId="2553" xfId="0" applyFont="1" applyBorder="1" applyAlignment="1">
      <alignment vertical="top"/>
    </xf>
    <xf numFmtId="49" fontId="2554" fillId="0" borderId="2554" xfId="0" applyNumberFormat="1" applyFont="1" applyBorder="1" applyAlignment="1">
      <alignment vertical="top"/>
    </xf>
    <xf numFmtId="0" fontId="2555" fillId="0" borderId="2555" xfId="0" applyFont="1" applyBorder="1" applyAlignment="1">
      <alignment vertical="top"/>
    </xf>
    <xf numFmtId="0" fontId="2556" fillId="0" borderId="2556" xfId="0" applyFont="1" applyBorder="1" applyAlignment="1">
      <alignment vertical="top"/>
    </xf>
    <xf numFmtId="49" fontId="2557" fillId="0" borderId="2557" xfId="0" applyNumberFormat="1" applyFont="1" applyBorder="1" applyAlignment="1">
      <alignment vertical="top"/>
    </xf>
    <xf numFmtId="0" fontId="2558" fillId="0" borderId="2558" xfId="0" applyFont="1" applyBorder="1" applyAlignment="1">
      <alignment vertical="top"/>
    </xf>
    <xf numFmtId="0" fontId="2559" fillId="0" borderId="2559" xfId="0" applyFont="1" applyBorder="1" applyAlignment="1">
      <alignment vertical="top"/>
    </xf>
    <xf numFmtId="49" fontId="2560" fillId="0" borderId="2560" xfId="0" applyNumberFormat="1" applyFont="1" applyBorder="1" applyAlignment="1">
      <alignment vertical="top"/>
    </xf>
    <xf numFmtId="0" fontId="2561" fillId="0" borderId="2561" xfId="0" applyFont="1" applyBorder="1" applyAlignment="1">
      <alignment vertical="top"/>
    </xf>
    <xf numFmtId="0" fontId="2562" fillId="0" borderId="2562" xfId="0" applyFont="1" applyBorder="1" applyAlignment="1">
      <alignment vertical="top"/>
    </xf>
    <xf numFmtId="49" fontId="2563" fillId="0" borderId="2563" xfId="0" applyNumberFormat="1" applyFont="1" applyBorder="1" applyAlignment="1">
      <alignment vertical="top"/>
    </xf>
    <xf numFmtId="0" fontId="2564" fillId="0" borderId="2564" xfId="0" applyFont="1" applyBorder="1" applyAlignment="1">
      <alignment vertical="top"/>
    </xf>
    <xf numFmtId="0" fontId="2565" fillId="0" borderId="2565" xfId="0" applyFont="1" applyBorder="1" applyAlignment="1">
      <alignment vertical="top"/>
    </xf>
    <xf numFmtId="49" fontId="2566" fillId="0" borderId="2566" xfId="0" applyNumberFormat="1" applyFont="1" applyBorder="1" applyAlignment="1">
      <alignment vertical="top"/>
    </xf>
    <xf numFmtId="0" fontId="2567" fillId="0" borderId="2567" xfId="0" applyFont="1" applyBorder="1" applyAlignment="1">
      <alignment vertical="top"/>
    </xf>
    <xf numFmtId="0" fontId="2568" fillId="0" borderId="2568" xfId="0" applyFont="1" applyBorder="1" applyAlignment="1">
      <alignment vertical="top"/>
    </xf>
    <xf numFmtId="49" fontId="2569" fillId="0" borderId="2569" xfId="0" applyNumberFormat="1" applyFont="1" applyBorder="1" applyAlignment="1">
      <alignment vertical="top"/>
    </xf>
    <xf numFmtId="0" fontId="2570" fillId="0" borderId="2570" xfId="0" applyFont="1" applyBorder="1" applyAlignment="1">
      <alignment vertical="top"/>
    </xf>
    <xf numFmtId="0" fontId="2571" fillId="0" borderId="2571" xfId="0" applyFont="1" applyBorder="1" applyAlignment="1">
      <alignment vertical="top"/>
    </xf>
    <xf numFmtId="49" fontId="2572" fillId="0" borderId="2572" xfId="0" applyNumberFormat="1" applyFont="1" applyBorder="1" applyAlignment="1">
      <alignment vertical="top"/>
    </xf>
    <xf numFmtId="0" fontId="2573" fillId="0" borderId="2573" xfId="0" applyFont="1" applyBorder="1" applyAlignment="1">
      <alignment vertical="top"/>
    </xf>
    <xf numFmtId="0" fontId="2574" fillId="0" borderId="2574" xfId="0" applyFont="1" applyBorder="1" applyAlignment="1">
      <alignment vertical="top"/>
    </xf>
    <xf numFmtId="49" fontId="2575" fillId="0" borderId="2575" xfId="0" applyNumberFormat="1" applyFont="1" applyBorder="1" applyAlignment="1">
      <alignment vertical="top"/>
    </xf>
    <xf numFmtId="0" fontId="2576" fillId="0" borderId="2576" xfId="0" applyFont="1" applyBorder="1" applyAlignment="1">
      <alignment vertical="top"/>
    </xf>
    <xf numFmtId="0" fontId="2577" fillId="0" borderId="2577" xfId="0" applyFont="1" applyBorder="1" applyAlignment="1">
      <alignment vertical="top"/>
    </xf>
    <xf numFmtId="49" fontId="2578" fillId="0" borderId="2578" xfId="0" applyNumberFormat="1" applyFont="1" applyBorder="1" applyAlignment="1">
      <alignment vertical="top"/>
    </xf>
    <xf numFmtId="0" fontId="2579" fillId="0" borderId="2579" xfId="0" applyFont="1" applyBorder="1" applyAlignment="1">
      <alignment vertical="top"/>
    </xf>
    <xf numFmtId="0" fontId="2580" fillId="0" borderId="2580" xfId="0" applyFont="1" applyBorder="1" applyAlignment="1">
      <alignment vertical="top"/>
    </xf>
    <xf numFmtId="49" fontId="2581" fillId="0" borderId="2581" xfId="0" applyNumberFormat="1" applyFont="1" applyBorder="1" applyAlignment="1">
      <alignment vertical="top"/>
    </xf>
    <xf numFmtId="0" fontId="2582" fillId="0" borderId="2582" xfId="0" applyFont="1" applyBorder="1" applyAlignment="1">
      <alignment vertical="top"/>
    </xf>
    <xf numFmtId="0" fontId="2583" fillId="0" borderId="2583" xfId="0" applyFont="1" applyBorder="1" applyAlignment="1">
      <alignment vertical="top"/>
    </xf>
    <xf numFmtId="49" fontId="2584" fillId="0" borderId="2584" xfId="0" applyNumberFormat="1" applyFont="1" applyBorder="1" applyAlignment="1">
      <alignment vertical="top"/>
    </xf>
    <xf numFmtId="0" fontId="2585" fillId="0" borderId="2585" xfId="0" applyFont="1" applyBorder="1" applyAlignment="1">
      <alignment vertical="top"/>
    </xf>
    <xf numFmtId="0" fontId="2586" fillId="0" borderId="2586" xfId="0" applyFont="1" applyBorder="1" applyAlignment="1">
      <alignment vertical="top"/>
    </xf>
    <xf numFmtId="49" fontId="2587" fillId="0" borderId="2587" xfId="0" applyNumberFormat="1" applyFont="1" applyBorder="1" applyAlignment="1">
      <alignment vertical="top"/>
    </xf>
    <xf numFmtId="0" fontId="2588" fillId="0" borderId="2588" xfId="0" applyFont="1" applyBorder="1" applyAlignment="1">
      <alignment vertical="top"/>
    </xf>
    <xf numFmtId="0" fontId="2589" fillId="0" borderId="2589" xfId="0" applyFont="1" applyBorder="1" applyAlignment="1">
      <alignment vertical="top"/>
    </xf>
    <xf numFmtId="49" fontId="2590" fillId="0" borderId="2590" xfId="0" applyNumberFormat="1" applyFont="1" applyBorder="1" applyAlignment="1">
      <alignment vertical="top"/>
    </xf>
    <xf numFmtId="0" fontId="2591" fillId="0" borderId="2591" xfId="0" applyFont="1" applyBorder="1" applyAlignment="1">
      <alignment vertical="top"/>
    </xf>
    <xf numFmtId="0" fontId="2592" fillId="0" borderId="2592" xfId="0" applyFont="1" applyBorder="1" applyAlignment="1">
      <alignment vertical="top"/>
    </xf>
    <xf numFmtId="49" fontId="2593" fillId="0" borderId="2593" xfId="0" applyNumberFormat="1" applyFont="1" applyBorder="1" applyAlignment="1">
      <alignment vertical="top"/>
    </xf>
    <xf numFmtId="0" fontId="2594" fillId="0" borderId="2594" xfId="0" applyFont="1" applyBorder="1" applyAlignment="1">
      <alignment vertical="top"/>
    </xf>
    <xf numFmtId="0" fontId="2595" fillId="0" borderId="2595" xfId="0" applyFont="1" applyBorder="1" applyAlignment="1">
      <alignment vertical="top"/>
    </xf>
    <xf numFmtId="49" fontId="2596" fillId="0" borderId="2596" xfId="0" applyNumberFormat="1" applyFont="1" applyBorder="1" applyAlignment="1">
      <alignment vertical="top"/>
    </xf>
    <xf numFmtId="0" fontId="2597" fillId="0" borderId="2597" xfId="0" applyFont="1" applyBorder="1" applyAlignment="1">
      <alignment vertical="top"/>
    </xf>
    <xf numFmtId="0" fontId="2598" fillId="0" borderId="2598" xfId="0" applyFont="1" applyBorder="1" applyAlignment="1">
      <alignment vertical="top"/>
    </xf>
    <xf numFmtId="49" fontId="2599" fillId="0" borderId="2599" xfId="0" applyNumberFormat="1" applyFont="1" applyBorder="1" applyAlignment="1">
      <alignment vertical="top"/>
    </xf>
    <xf numFmtId="0" fontId="2600" fillId="0" borderId="2600" xfId="0" applyFont="1" applyBorder="1" applyAlignment="1">
      <alignment vertical="top"/>
    </xf>
    <xf numFmtId="0" fontId="2601" fillId="0" borderId="2601" xfId="0" applyFont="1" applyBorder="1" applyAlignment="1">
      <alignment vertical="top"/>
    </xf>
    <xf numFmtId="49" fontId="2602" fillId="0" borderId="2602" xfId="0" applyNumberFormat="1" applyFont="1" applyBorder="1" applyAlignment="1">
      <alignment vertical="top"/>
    </xf>
    <xf numFmtId="0" fontId="2603" fillId="0" borderId="2603" xfId="0" applyFont="1" applyBorder="1" applyAlignment="1">
      <alignment vertical="top"/>
    </xf>
    <xf numFmtId="0" fontId="2604" fillId="0" borderId="2604" xfId="0" applyFont="1" applyBorder="1" applyAlignment="1">
      <alignment vertical="top"/>
    </xf>
    <xf numFmtId="49" fontId="2605" fillId="0" borderId="2605" xfId="0" applyNumberFormat="1" applyFont="1" applyBorder="1" applyAlignment="1">
      <alignment vertical="top"/>
    </xf>
    <xf numFmtId="0" fontId="2606" fillId="0" borderId="2606" xfId="0" applyFont="1" applyBorder="1" applyAlignment="1">
      <alignment vertical="top"/>
    </xf>
    <xf numFmtId="0" fontId="2607" fillId="0" borderId="2607" xfId="0" applyFont="1" applyBorder="1" applyAlignment="1">
      <alignment vertical="top"/>
    </xf>
    <xf numFmtId="49" fontId="2608" fillId="0" borderId="2608" xfId="0" applyNumberFormat="1" applyFont="1" applyBorder="1" applyAlignment="1">
      <alignment vertical="top"/>
    </xf>
    <xf numFmtId="0" fontId="2609" fillId="0" borderId="2609" xfId="0" applyFont="1" applyBorder="1" applyAlignment="1">
      <alignment vertical="top"/>
    </xf>
    <xf numFmtId="0" fontId="2610" fillId="0" borderId="2610" xfId="0" applyFont="1" applyBorder="1" applyAlignment="1">
      <alignment vertical="top"/>
    </xf>
    <xf numFmtId="49" fontId="2611" fillId="0" borderId="2611" xfId="0" applyNumberFormat="1" applyFont="1" applyBorder="1" applyAlignment="1">
      <alignment vertical="top"/>
    </xf>
    <xf numFmtId="0" fontId="2612" fillId="0" borderId="2612" xfId="0" applyFont="1" applyBorder="1" applyAlignment="1">
      <alignment vertical="top"/>
    </xf>
    <xf numFmtId="0" fontId="2613" fillId="0" borderId="2613" xfId="0" applyFont="1" applyBorder="1" applyAlignment="1">
      <alignment vertical="top"/>
    </xf>
    <xf numFmtId="49" fontId="2614" fillId="0" borderId="2614" xfId="0" applyNumberFormat="1" applyFont="1" applyBorder="1" applyAlignment="1">
      <alignment vertical="top"/>
    </xf>
    <xf numFmtId="0" fontId="2615" fillId="0" borderId="2615" xfId="0" applyFont="1" applyBorder="1" applyAlignment="1">
      <alignment vertical="top"/>
    </xf>
    <xf numFmtId="0" fontId="2616" fillId="0" borderId="2616" xfId="0" applyFont="1" applyBorder="1" applyAlignment="1">
      <alignment vertical="top"/>
    </xf>
    <xf numFmtId="49" fontId="2617" fillId="0" borderId="2617" xfId="0" applyNumberFormat="1" applyFont="1" applyBorder="1" applyAlignment="1">
      <alignment vertical="top"/>
    </xf>
    <xf numFmtId="0" fontId="2618" fillId="0" borderId="2618" xfId="0" applyFont="1" applyBorder="1" applyAlignment="1">
      <alignment vertical="top"/>
    </xf>
    <xf numFmtId="0" fontId="2619" fillId="0" borderId="2619" xfId="0" applyFont="1" applyBorder="1" applyAlignment="1">
      <alignment vertical="top"/>
    </xf>
    <xf numFmtId="49" fontId="2620" fillId="0" borderId="2620" xfId="0" applyNumberFormat="1" applyFont="1" applyBorder="1" applyAlignment="1">
      <alignment vertical="top"/>
    </xf>
    <xf numFmtId="0" fontId="2621" fillId="0" borderId="2621" xfId="0" applyFont="1" applyBorder="1" applyAlignment="1">
      <alignment vertical="top"/>
    </xf>
    <xf numFmtId="0" fontId="2622" fillId="0" borderId="2622" xfId="0" applyFont="1" applyBorder="1" applyAlignment="1">
      <alignment vertical="top"/>
    </xf>
    <xf numFmtId="49" fontId="2623" fillId="0" borderId="2623" xfId="0" applyNumberFormat="1" applyFont="1" applyBorder="1" applyAlignment="1">
      <alignment vertical="top"/>
    </xf>
    <xf numFmtId="0" fontId="2624" fillId="0" borderId="2624" xfId="0" applyFont="1" applyBorder="1" applyAlignment="1">
      <alignment vertical="top"/>
    </xf>
    <xf numFmtId="0" fontId="2625" fillId="0" borderId="2625" xfId="0" applyFont="1" applyBorder="1" applyAlignment="1">
      <alignment vertical="top"/>
    </xf>
    <xf numFmtId="49" fontId="2626" fillId="0" borderId="2626" xfId="0" applyNumberFormat="1" applyFont="1" applyBorder="1" applyAlignment="1">
      <alignment vertical="top"/>
    </xf>
    <xf numFmtId="0" fontId="2627" fillId="0" borderId="2627" xfId="0" applyFont="1" applyBorder="1" applyAlignment="1">
      <alignment vertical="top"/>
    </xf>
    <xf numFmtId="0" fontId="2628" fillId="0" borderId="2628" xfId="0" applyFont="1" applyBorder="1" applyAlignment="1">
      <alignment vertical="top"/>
    </xf>
    <xf numFmtId="49" fontId="2629" fillId="0" borderId="2629" xfId="0" applyNumberFormat="1" applyFont="1" applyBorder="1" applyAlignment="1">
      <alignment vertical="top"/>
    </xf>
    <xf numFmtId="0" fontId="2630" fillId="0" borderId="2630" xfId="0" applyFont="1" applyBorder="1" applyAlignment="1">
      <alignment vertical="top"/>
    </xf>
    <xf numFmtId="0" fontId="2631" fillId="0" borderId="2631" xfId="0" applyFont="1" applyBorder="1" applyAlignment="1">
      <alignment vertical="top"/>
    </xf>
    <xf numFmtId="49" fontId="2632" fillId="0" borderId="2632" xfId="0" applyNumberFormat="1" applyFont="1" applyBorder="1" applyAlignment="1">
      <alignment vertical="top"/>
    </xf>
    <xf numFmtId="0" fontId="2633" fillId="0" borderId="2633" xfId="0" applyFont="1" applyBorder="1" applyAlignment="1">
      <alignment vertical="top"/>
    </xf>
    <xf numFmtId="0" fontId="2634" fillId="0" borderId="2634" xfId="0" applyFont="1" applyBorder="1" applyAlignment="1">
      <alignment vertical="top"/>
    </xf>
    <xf numFmtId="49" fontId="2635" fillId="0" borderId="2635" xfId="0" applyNumberFormat="1" applyFont="1" applyBorder="1" applyAlignment="1">
      <alignment vertical="top"/>
    </xf>
    <xf numFmtId="0" fontId="2636" fillId="0" borderId="2636" xfId="0" applyFont="1" applyBorder="1" applyAlignment="1">
      <alignment vertical="top"/>
    </xf>
    <xf numFmtId="0" fontId="2637" fillId="0" borderId="2637" xfId="0" applyFont="1" applyBorder="1" applyAlignment="1">
      <alignment vertical="top"/>
    </xf>
    <xf numFmtId="49" fontId="2638" fillId="0" borderId="2638" xfId="0" applyNumberFormat="1" applyFont="1" applyBorder="1" applyAlignment="1">
      <alignment vertical="top"/>
    </xf>
    <xf numFmtId="0" fontId="2639" fillId="0" borderId="2639" xfId="0" applyFont="1" applyBorder="1" applyAlignment="1">
      <alignment vertical="top"/>
    </xf>
    <xf numFmtId="0" fontId="2640" fillId="0" borderId="2640" xfId="0" applyFont="1" applyBorder="1" applyAlignment="1">
      <alignment vertical="top"/>
    </xf>
    <xf numFmtId="49" fontId="2641" fillId="0" borderId="2641" xfId="0" applyNumberFormat="1" applyFont="1" applyBorder="1" applyAlignment="1">
      <alignment vertical="top"/>
    </xf>
    <xf numFmtId="0" fontId="2642" fillId="0" borderId="2642" xfId="0" applyFont="1" applyBorder="1" applyAlignment="1">
      <alignment vertical="top"/>
    </xf>
    <xf numFmtId="0" fontId="2643" fillId="0" borderId="2643" xfId="0" applyFont="1" applyBorder="1" applyAlignment="1">
      <alignment vertical="top"/>
    </xf>
    <xf numFmtId="49" fontId="2644" fillId="0" borderId="2644" xfId="0" applyNumberFormat="1" applyFont="1" applyBorder="1" applyAlignment="1">
      <alignment vertical="top"/>
    </xf>
    <xf numFmtId="0" fontId="2645" fillId="0" borderId="2645" xfId="0" applyFont="1" applyBorder="1" applyAlignment="1">
      <alignment vertical="top"/>
    </xf>
    <xf numFmtId="0" fontId="2646" fillId="0" borderId="2646" xfId="0" applyFont="1" applyBorder="1" applyAlignment="1">
      <alignment vertical="top"/>
    </xf>
    <xf numFmtId="49" fontId="2647" fillId="0" borderId="2647" xfId="0" applyNumberFormat="1" applyFont="1" applyBorder="1" applyAlignment="1">
      <alignment vertical="top"/>
    </xf>
    <xf numFmtId="0" fontId="2648" fillId="0" borderId="2648" xfId="0" applyFont="1" applyBorder="1" applyAlignment="1">
      <alignment vertical="top"/>
    </xf>
    <xf numFmtId="0" fontId="2649" fillId="0" borderId="2649" xfId="0" applyFont="1" applyBorder="1" applyAlignment="1">
      <alignment vertical="top"/>
    </xf>
    <xf numFmtId="49" fontId="2650" fillId="0" borderId="2650" xfId="0" applyNumberFormat="1" applyFont="1" applyBorder="1" applyAlignment="1">
      <alignment vertical="top"/>
    </xf>
    <xf numFmtId="0" fontId="2651" fillId="0" borderId="2651" xfId="0" applyFont="1" applyBorder="1" applyAlignment="1">
      <alignment vertical="top"/>
    </xf>
    <xf numFmtId="0" fontId="2652" fillId="0" borderId="2652" xfId="0" applyFont="1" applyBorder="1" applyAlignment="1">
      <alignment vertical="top"/>
    </xf>
    <xf numFmtId="49" fontId="2653" fillId="0" borderId="2653" xfId="0" applyNumberFormat="1" applyFont="1" applyBorder="1" applyAlignment="1">
      <alignment vertical="top"/>
    </xf>
    <xf numFmtId="0" fontId="2654" fillId="0" borderId="2654" xfId="0" applyFont="1" applyBorder="1" applyAlignment="1">
      <alignment vertical="top"/>
    </xf>
    <xf numFmtId="0" fontId="2655" fillId="0" borderId="2655" xfId="0" applyFont="1" applyBorder="1" applyAlignment="1">
      <alignment vertical="top"/>
    </xf>
    <xf numFmtId="49" fontId="2656" fillId="0" borderId="2656" xfId="0" applyNumberFormat="1" applyFont="1" applyBorder="1" applyAlignment="1">
      <alignment vertical="top"/>
    </xf>
    <xf numFmtId="0" fontId="2657" fillId="0" borderId="2657" xfId="0" applyFont="1" applyBorder="1" applyAlignment="1">
      <alignment vertical="top"/>
    </xf>
    <xf numFmtId="0" fontId="2658" fillId="0" borderId="2658" xfId="0" applyFont="1" applyBorder="1" applyAlignment="1">
      <alignment vertical="top"/>
    </xf>
    <xf numFmtId="49" fontId="2659" fillId="0" borderId="2659" xfId="0" applyNumberFormat="1" applyFont="1" applyBorder="1" applyAlignment="1">
      <alignment vertical="top"/>
    </xf>
    <xf numFmtId="0" fontId="2660" fillId="0" borderId="2660" xfId="0" applyFont="1" applyBorder="1" applyAlignment="1">
      <alignment vertical="top"/>
    </xf>
    <xf numFmtId="0" fontId="2661" fillId="0" borderId="2661" xfId="0" applyFont="1" applyBorder="1" applyAlignment="1">
      <alignment vertical="top"/>
    </xf>
    <xf numFmtId="49" fontId="2662" fillId="0" borderId="2662" xfId="0" applyNumberFormat="1" applyFont="1" applyBorder="1" applyAlignment="1">
      <alignment vertical="top"/>
    </xf>
    <xf numFmtId="0" fontId="2663" fillId="0" borderId="2663" xfId="0" applyFont="1" applyBorder="1" applyAlignment="1">
      <alignment vertical="top"/>
    </xf>
    <xf numFmtId="0" fontId="2664" fillId="0" borderId="2664" xfId="0" applyFont="1" applyBorder="1" applyAlignment="1">
      <alignment vertical="top"/>
    </xf>
    <xf numFmtId="49" fontId="2665" fillId="0" borderId="2665" xfId="0" applyNumberFormat="1" applyFont="1" applyBorder="1" applyAlignment="1">
      <alignment vertical="top"/>
    </xf>
    <xf numFmtId="0" fontId="2666" fillId="0" borderId="2666" xfId="0" applyFont="1" applyBorder="1" applyAlignment="1">
      <alignment vertical="top"/>
    </xf>
    <xf numFmtId="0" fontId="2667" fillId="0" borderId="2667" xfId="0" applyFont="1" applyBorder="1" applyAlignment="1">
      <alignment vertical="top"/>
    </xf>
    <xf numFmtId="49" fontId="2668" fillId="0" borderId="2668" xfId="0" applyNumberFormat="1" applyFont="1" applyBorder="1" applyAlignment="1">
      <alignment vertical="top"/>
    </xf>
    <xf numFmtId="0" fontId="2669" fillId="0" borderId="2669" xfId="0" applyFont="1" applyBorder="1" applyAlignment="1">
      <alignment vertical="top"/>
    </xf>
    <xf numFmtId="0" fontId="2670" fillId="0" borderId="2670" xfId="0" applyFont="1" applyBorder="1" applyAlignment="1">
      <alignment vertical="top"/>
    </xf>
    <xf numFmtId="49" fontId="2671" fillId="0" borderId="2671" xfId="0" applyNumberFormat="1" applyFont="1" applyBorder="1" applyAlignment="1">
      <alignment vertical="top"/>
    </xf>
    <xf numFmtId="0" fontId="2672" fillId="0" borderId="2672" xfId="0" applyFont="1" applyBorder="1" applyAlignment="1">
      <alignment vertical="top"/>
    </xf>
    <xf numFmtId="0" fontId="2673" fillId="0" borderId="2673" xfId="0" applyFont="1" applyBorder="1" applyAlignment="1">
      <alignment vertical="top"/>
    </xf>
    <xf numFmtId="49" fontId="2674" fillId="0" borderId="2674" xfId="0" applyNumberFormat="1" applyFont="1" applyBorder="1" applyAlignment="1">
      <alignment vertical="top"/>
    </xf>
    <xf numFmtId="0" fontId="2675" fillId="0" borderId="2675" xfId="0" applyFont="1" applyBorder="1" applyAlignment="1">
      <alignment vertical="top"/>
    </xf>
    <xf numFmtId="0" fontId="2676" fillId="0" borderId="2676" xfId="0" applyFont="1" applyBorder="1" applyAlignment="1">
      <alignment vertical="top"/>
    </xf>
    <xf numFmtId="49" fontId="2677" fillId="0" borderId="2677" xfId="0" applyNumberFormat="1" applyFont="1" applyBorder="1" applyAlignment="1">
      <alignment vertical="top"/>
    </xf>
    <xf numFmtId="0" fontId="2678" fillId="0" borderId="2678" xfId="0" applyFont="1" applyBorder="1" applyAlignment="1">
      <alignment vertical="top"/>
    </xf>
    <xf numFmtId="0" fontId="2679" fillId="0" borderId="2679" xfId="0" applyFont="1" applyBorder="1" applyAlignment="1">
      <alignment vertical="top"/>
    </xf>
    <xf numFmtId="49" fontId="2680" fillId="0" borderId="2680" xfId="0" applyNumberFormat="1" applyFont="1" applyBorder="1" applyAlignment="1">
      <alignment vertical="top"/>
    </xf>
    <xf numFmtId="0" fontId="2681" fillId="0" borderId="2681" xfId="0" applyFont="1" applyBorder="1" applyAlignment="1">
      <alignment vertical="top"/>
    </xf>
    <xf numFmtId="0" fontId="2682" fillId="0" borderId="2682" xfId="0" applyFont="1" applyBorder="1" applyAlignment="1">
      <alignment vertical="top"/>
    </xf>
    <xf numFmtId="49" fontId="2683" fillId="0" borderId="2683" xfId="0" applyNumberFormat="1" applyFont="1" applyBorder="1" applyAlignment="1">
      <alignment vertical="top"/>
    </xf>
    <xf numFmtId="0" fontId="2684" fillId="0" borderId="2684" xfId="0" applyFont="1" applyBorder="1" applyAlignment="1">
      <alignment vertical="top"/>
    </xf>
    <xf numFmtId="0" fontId="2685" fillId="0" borderId="2685" xfId="0" applyFont="1" applyBorder="1" applyAlignment="1">
      <alignment vertical="top"/>
    </xf>
    <xf numFmtId="49" fontId="2686" fillId="0" borderId="2686" xfId="0" applyNumberFormat="1" applyFont="1" applyBorder="1" applyAlignment="1">
      <alignment vertical="top"/>
    </xf>
    <xf numFmtId="0" fontId="2687" fillId="0" borderId="2687" xfId="0" applyFont="1" applyBorder="1" applyAlignment="1">
      <alignment vertical="top"/>
    </xf>
    <xf numFmtId="0" fontId="2688" fillId="0" borderId="2688" xfId="0" applyFont="1" applyBorder="1" applyAlignment="1">
      <alignment vertical="top"/>
    </xf>
    <xf numFmtId="49" fontId="2689" fillId="0" borderId="2689" xfId="0" applyNumberFormat="1" applyFont="1" applyBorder="1" applyAlignment="1">
      <alignment vertical="top"/>
    </xf>
    <xf numFmtId="0" fontId="2690" fillId="0" borderId="2690" xfId="0" applyFont="1" applyBorder="1" applyAlignment="1">
      <alignment vertical="top"/>
    </xf>
    <xf numFmtId="0" fontId="2691" fillId="0" borderId="2691" xfId="0" applyFont="1" applyBorder="1" applyAlignment="1">
      <alignment vertical="top"/>
    </xf>
    <xf numFmtId="49" fontId="2692" fillId="0" borderId="2692" xfId="0" applyNumberFormat="1" applyFont="1" applyBorder="1" applyAlignment="1">
      <alignment vertical="top"/>
    </xf>
    <xf numFmtId="0" fontId="2693" fillId="0" borderId="2693" xfId="0" applyFont="1" applyBorder="1" applyAlignment="1">
      <alignment vertical="top"/>
    </xf>
    <xf numFmtId="0" fontId="2694" fillId="0" borderId="2694" xfId="0" applyFont="1" applyBorder="1" applyAlignment="1">
      <alignment vertical="top"/>
    </xf>
    <xf numFmtId="49" fontId="2695" fillId="0" borderId="2695" xfId="0" applyNumberFormat="1" applyFont="1" applyBorder="1" applyAlignment="1">
      <alignment vertical="top"/>
    </xf>
    <xf numFmtId="0" fontId="2696" fillId="0" borderId="2696" xfId="0" applyFont="1" applyBorder="1" applyAlignment="1">
      <alignment vertical="top"/>
    </xf>
    <xf numFmtId="0" fontId="2697" fillId="0" borderId="2697" xfId="0" applyFont="1" applyBorder="1" applyAlignment="1">
      <alignment vertical="top"/>
    </xf>
    <xf numFmtId="49" fontId="2698" fillId="0" borderId="2698" xfId="0" applyNumberFormat="1" applyFont="1" applyBorder="1" applyAlignment="1">
      <alignment vertical="top"/>
    </xf>
    <xf numFmtId="0" fontId="2699" fillId="0" borderId="2699" xfId="0" applyFont="1" applyBorder="1" applyAlignment="1">
      <alignment vertical="top"/>
    </xf>
    <xf numFmtId="0" fontId="2700" fillId="0" borderId="2700" xfId="0" applyFont="1" applyBorder="1" applyAlignment="1">
      <alignment vertical="top"/>
    </xf>
    <xf numFmtId="49" fontId="2701" fillId="0" borderId="2701" xfId="0" applyNumberFormat="1" applyFont="1" applyBorder="1" applyAlignment="1">
      <alignment vertical="top"/>
    </xf>
    <xf numFmtId="0" fontId="2702" fillId="0" borderId="2702" xfId="0" applyFont="1" applyBorder="1" applyAlignment="1">
      <alignment vertical="top"/>
    </xf>
    <xf numFmtId="0" fontId="2703" fillId="0" borderId="2703" xfId="0" applyFont="1" applyBorder="1" applyAlignment="1">
      <alignment vertical="top"/>
    </xf>
    <xf numFmtId="49" fontId="2704" fillId="0" borderId="2704" xfId="0" applyNumberFormat="1" applyFont="1" applyBorder="1" applyAlignment="1">
      <alignment vertical="top"/>
    </xf>
    <xf numFmtId="0" fontId="2705" fillId="0" borderId="2705" xfId="0" applyFont="1" applyBorder="1" applyAlignment="1">
      <alignment vertical="top"/>
    </xf>
    <xf numFmtId="0" fontId="2706" fillId="0" borderId="2706" xfId="0" applyFont="1" applyBorder="1" applyAlignment="1">
      <alignment vertical="top"/>
    </xf>
    <xf numFmtId="49" fontId="2707" fillId="0" borderId="2707" xfId="0" applyNumberFormat="1" applyFont="1" applyBorder="1" applyAlignment="1">
      <alignment vertical="top"/>
    </xf>
    <xf numFmtId="0" fontId="2708" fillId="0" borderId="2708" xfId="0" applyFont="1" applyBorder="1" applyAlignment="1">
      <alignment vertical="top"/>
    </xf>
    <xf numFmtId="0" fontId="2709" fillId="0" borderId="2709" xfId="0" applyFont="1" applyBorder="1" applyAlignment="1">
      <alignment vertical="top"/>
    </xf>
    <xf numFmtId="49" fontId="2710" fillId="0" borderId="2710" xfId="0" applyNumberFormat="1" applyFont="1" applyBorder="1" applyAlignment="1">
      <alignment vertical="top"/>
    </xf>
    <xf numFmtId="0" fontId="2711" fillId="0" borderId="2711" xfId="0" applyFont="1" applyBorder="1" applyAlignment="1">
      <alignment vertical="top"/>
    </xf>
    <xf numFmtId="0" fontId="2712" fillId="0" borderId="2712" xfId="0" applyFont="1" applyBorder="1" applyAlignment="1">
      <alignment vertical="top"/>
    </xf>
    <xf numFmtId="49" fontId="2713" fillId="0" borderId="2713" xfId="0" applyNumberFormat="1" applyFont="1" applyBorder="1" applyAlignment="1">
      <alignment vertical="top"/>
    </xf>
    <xf numFmtId="0" fontId="2714" fillId="0" borderId="2714" xfId="0" applyFont="1" applyBorder="1" applyAlignment="1">
      <alignment vertical="top"/>
    </xf>
    <xf numFmtId="0" fontId="2715" fillId="0" borderId="2715" xfId="0" applyFont="1" applyBorder="1" applyAlignment="1">
      <alignment vertical="top"/>
    </xf>
    <xf numFmtId="49" fontId="2716" fillId="0" borderId="2716" xfId="0" applyNumberFormat="1" applyFont="1" applyBorder="1" applyAlignment="1">
      <alignment vertical="top"/>
    </xf>
    <xf numFmtId="0" fontId="2717" fillId="0" borderId="2717" xfId="0" applyFont="1" applyBorder="1" applyAlignment="1">
      <alignment vertical="top"/>
    </xf>
    <xf numFmtId="0" fontId="2718" fillId="0" borderId="2718" xfId="0" applyFont="1" applyBorder="1" applyAlignment="1">
      <alignment vertical="top"/>
    </xf>
    <xf numFmtId="49" fontId="2719" fillId="0" borderId="2719" xfId="0" applyNumberFormat="1" applyFont="1" applyBorder="1" applyAlignment="1">
      <alignment vertical="top"/>
    </xf>
    <xf numFmtId="0" fontId="2720" fillId="0" borderId="2720" xfId="0" applyFont="1" applyBorder="1" applyAlignment="1">
      <alignment vertical="top"/>
    </xf>
    <xf numFmtId="0" fontId="2721" fillId="0" borderId="2721" xfId="0" applyFont="1" applyBorder="1" applyAlignment="1">
      <alignment vertical="top"/>
    </xf>
    <xf numFmtId="49" fontId="2722" fillId="0" borderId="2722" xfId="0" applyNumberFormat="1" applyFont="1" applyBorder="1" applyAlignment="1">
      <alignment vertical="top"/>
    </xf>
    <xf numFmtId="0" fontId="2723" fillId="0" borderId="2723" xfId="0" applyFont="1" applyBorder="1" applyAlignment="1">
      <alignment vertical="top"/>
    </xf>
    <xf numFmtId="0" fontId="2724" fillId="0" borderId="2724" xfId="0" applyFont="1" applyBorder="1" applyAlignment="1">
      <alignment vertical="top"/>
    </xf>
    <xf numFmtId="49" fontId="2725" fillId="0" borderId="2725" xfId="0" applyNumberFormat="1" applyFont="1" applyBorder="1" applyAlignment="1">
      <alignment vertical="top"/>
    </xf>
    <xf numFmtId="0" fontId="2726" fillId="0" borderId="2726" xfId="0" applyFont="1" applyBorder="1" applyAlignment="1">
      <alignment vertical="top"/>
    </xf>
    <xf numFmtId="0" fontId="2727" fillId="0" borderId="2727" xfId="0" applyFont="1" applyBorder="1" applyAlignment="1">
      <alignment vertical="top"/>
    </xf>
    <xf numFmtId="49" fontId="2728" fillId="0" borderId="2728" xfId="0" applyNumberFormat="1" applyFont="1" applyBorder="1" applyAlignment="1">
      <alignment vertical="top"/>
    </xf>
    <xf numFmtId="0" fontId="2729" fillId="0" borderId="2729" xfId="0" applyFont="1" applyBorder="1" applyAlignment="1">
      <alignment vertical="top"/>
    </xf>
    <xf numFmtId="0" fontId="2730" fillId="0" borderId="2730" xfId="0" applyFont="1" applyBorder="1" applyAlignment="1">
      <alignment vertical="top"/>
    </xf>
    <xf numFmtId="49" fontId="2731" fillId="0" borderId="2731" xfId="0" applyNumberFormat="1" applyFont="1" applyBorder="1" applyAlignment="1">
      <alignment vertical="top"/>
    </xf>
    <xf numFmtId="0" fontId="2732" fillId="0" borderId="2732" xfId="0" applyFont="1" applyBorder="1" applyAlignment="1">
      <alignment vertical="top"/>
    </xf>
    <xf numFmtId="0" fontId="2733" fillId="0" borderId="2733" xfId="0" applyFont="1" applyBorder="1" applyAlignment="1">
      <alignment vertical="top"/>
    </xf>
    <xf numFmtId="49" fontId="2734" fillId="0" borderId="2734" xfId="0" applyNumberFormat="1" applyFont="1" applyBorder="1" applyAlignment="1">
      <alignment vertical="top"/>
    </xf>
    <xf numFmtId="0" fontId="2735" fillId="0" borderId="2735" xfId="0" applyFont="1" applyBorder="1" applyAlignment="1">
      <alignment vertical="top"/>
    </xf>
    <xf numFmtId="0" fontId="2736" fillId="0" borderId="2736" xfId="0" applyFont="1" applyBorder="1" applyAlignment="1">
      <alignment vertical="top"/>
    </xf>
    <xf numFmtId="49" fontId="2737" fillId="0" borderId="2737" xfId="0" applyNumberFormat="1" applyFont="1" applyBorder="1" applyAlignment="1">
      <alignment vertical="top"/>
    </xf>
    <xf numFmtId="0" fontId="2738" fillId="0" borderId="2738" xfId="0" applyFont="1" applyBorder="1" applyAlignment="1">
      <alignment vertical="top"/>
    </xf>
    <xf numFmtId="0" fontId="2739" fillId="0" borderId="2739" xfId="0" applyFont="1" applyBorder="1" applyAlignment="1">
      <alignment vertical="top"/>
    </xf>
    <xf numFmtId="49" fontId="2740" fillId="0" borderId="2740" xfId="0" applyNumberFormat="1" applyFont="1" applyBorder="1" applyAlignment="1">
      <alignment vertical="top"/>
    </xf>
    <xf numFmtId="0" fontId="2741" fillId="0" borderId="2741" xfId="0" applyFont="1" applyBorder="1" applyAlignment="1">
      <alignment vertical="top"/>
    </xf>
    <xf numFmtId="0" fontId="2742" fillId="0" borderId="2742" xfId="0" applyFont="1" applyBorder="1" applyAlignment="1">
      <alignment vertical="top"/>
    </xf>
    <xf numFmtId="49" fontId="2743" fillId="0" borderId="2743" xfId="0" applyNumberFormat="1" applyFont="1" applyBorder="1" applyAlignment="1">
      <alignment vertical="top"/>
    </xf>
    <xf numFmtId="0" fontId="2744" fillId="0" borderId="2744" xfId="0" applyFont="1" applyBorder="1" applyAlignment="1">
      <alignment vertical="top"/>
    </xf>
    <xf numFmtId="0" fontId="2745" fillId="0" borderId="2745" xfId="0" applyFont="1" applyBorder="1" applyAlignment="1">
      <alignment vertical="top"/>
    </xf>
    <xf numFmtId="49" fontId="2746" fillId="0" borderId="2746" xfId="0" applyNumberFormat="1" applyFont="1" applyBorder="1" applyAlignment="1">
      <alignment vertical="top"/>
    </xf>
    <xf numFmtId="0" fontId="2747" fillId="0" borderId="2747" xfId="0" applyFont="1" applyBorder="1" applyAlignment="1">
      <alignment vertical="top"/>
    </xf>
    <xf numFmtId="0" fontId="2748" fillId="0" borderId="2748" xfId="0" applyFont="1" applyBorder="1" applyAlignment="1">
      <alignment vertical="top"/>
    </xf>
    <xf numFmtId="49" fontId="2749" fillId="0" borderId="2749" xfId="0" applyNumberFormat="1" applyFont="1" applyBorder="1" applyAlignment="1">
      <alignment vertical="top"/>
    </xf>
    <xf numFmtId="0" fontId="2750" fillId="0" borderId="2750" xfId="0" applyFont="1" applyBorder="1" applyAlignment="1">
      <alignment vertical="top"/>
    </xf>
    <xf numFmtId="0" fontId="2751" fillId="0" borderId="2751" xfId="0" applyFont="1" applyBorder="1" applyAlignment="1">
      <alignment vertical="top"/>
    </xf>
    <xf numFmtId="49" fontId="2752" fillId="0" borderId="2752" xfId="0" applyNumberFormat="1" applyFont="1" applyBorder="1" applyAlignment="1">
      <alignment vertical="top"/>
    </xf>
    <xf numFmtId="0" fontId="2753" fillId="0" borderId="2753" xfId="0" applyFont="1" applyBorder="1" applyAlignment="1">
      <alignment vertical="top"/>
    </xf>
    <xf numFmtId="0" fontId="2754" fillId="0" borderId="2754" xfId="0" applyFont="1" applyBorder="1" applyAlignment="1">
      <alignment vertical="top"/>
    </xf>
    <xf numFmtId="49" fontId="2755" fillId="0" borderId="2755" xfId="0" applyNumberFormat="1" applyFont="1" applyBorder="1" applyAlignment="1">
      <alignment vertical="top"/>
    </xf>
    <xf numFmtId="0" fontId="2756" fillId="0" borderId="2756" xfId="0" applyFont="1" applyBorder="1" applyAlignment="1">
      <alignment vertical="top"/>
    </xf>
    <xf numFmtId="0" fontId="2757" fillId="0" borderId="2757" xfId="0" applyFont="1" applyBorder="1" applyAlignment="1">
      <alignment vertical="top"/>
    </xf>
    <xf numFmtId="49" fontId="2758" fillId="0" borderId="2758" xfId="0" applyNumberFormat="1" applyFont="1" applyBorder="1" applyAlignment="1">
      <alignment vertical="top"/>
    </xf>
    <xf numFmtId="0" fontId="2759" fillId="0" borderId="2759" xfId="0" applyFont="1" applyBorder="1" applyAlignment="1">
      <alignment vertical="top"/>
    </xf>
    <xf numFmtId="0" fontId="2760" fillId="0" borderId="2760" xfId="0" applyFont="1" applyBorder="1" applyAlignment="1">
      <alignment vertical="top"/>
    </xf>
    <xf numFmtId="49" fontId="2761" fillId="0" borderId="2761" xfId="0" applyNumberFormat="1" applyFont="1" applyBorder="1" applyAlignment="1">
      <alignment vertical="top"/>
    </xf>
    <xf numFmtId="0" fontId="2762" fillId="0" borderId="2762" xfId="0" applyFont="1" applyBorder="1" applyAlignment="1">
      <alignment vertical="top"/>
    </xf>
    <xf numFmtId="0" fontId="2763" fillId="0" borderId="2763" xfId="0" applyFont="1" applyBorder="1" applyAlignment="1">
      <alignment vertical="top"/>
    </xf>
    <xf numFmtId="49" fontId="2764" fillId="0" borderId="2764" xfId="0" applyNumberFormat="1" applyFont="1" applyBorder="1" applyAlignment="1">
      <alignment vertical="top"/>
    </xf>
    <xf numFmtId="0" fontId="2765" fillId="0" borderId="2765" xfId="0" applyFont="1" applyBorder="1" applyAlignment="1">
      <alignment vertical="top"/>
    </xf>
    <xf numFmtId="0" fontId="2766" fillId="0" borderId="2766" xfId="0" applyFont="1" applyBorder="1" applyAlignment="1">
      <alignment vertical="top"/>
    </xf>
    <xf numFmtId="49" fontId="2767" fillId="0" borderId="2767" xfId="0" applyNumberFormat="1" applyFont="1" applyBorder="1" applyAlignment="1">
      <alignment vertical="top"/>
    </xf>
    <xf numFmtId="0" fontId="2768" fillId="0" borderId="2768" xfId="0" applyFont="1" applyBorder="1" applyAlignment="1">
      <alignment vertical="top"/>
    </xf>
    <xf numFmtId="0" fontId="2769" fillId="0" borderId="2769" xfId="0" applyFont="1" applyBorder="1" applyAlignment="1">
      <alignment vertical="top"/>
    </xf>
    <xf numFmtId="49" fontId="2770" fillId="0" borderId="2770" xfId="0" applyNumberFormat="1" applyFont="1" applyBorder="1" applyAlignment="1">
      <alignment vertical="top"/>
    </xf>
    <xf numFmtId="0" fontId="2771" fillId="0" borderId="2771" xfId="0" applyFont="1" applyBorder="1" applyAlignment="1">
      <alignment vertical="top"/>
    </xf>
    <xf numFmtId="0" fontId="2772" fillId="0" borderId="2772" xfId="0" applyFont="1" applyBorder="1" applyAlignment="1">
      <alignment vertical="top"/>
    </xf>
    <xf numFmtId="49" fontId="2773" fillId="0" borderId="2773" xfId="0" applyNumberFormat="1" applyFont="1" applyBorder="1" applyAlignment="1">
      <alignment vertical="top"/>
    </xf>
    <xf numFmtId="0" fontId="2774" fillId="0" borderId="2774" xfId="0" applyFont="1" applyBorder="1" applyAlignment="1">
      <alignment vertical="top"/>
    </xf>
    <xf numFmtId="0" fontId="2775" fillId="0" borderId="2775" xfId="0" applyFont="1" applyBorder="1" applyAlignment="1">
      <alignment vertical="top"/>
    </xf>
    <xf numFmtId="49" fontId="2776" fillId="0" borderId="2776" xfId="0" applyNumberFormat="1" applyFont="1" applyBorder="1" applyAlignment="1">
      <alignment vertical="top"/>
    </xf>
    <xf numFmtId="0" fontId="2777" fillId="0" borderId="2777" xfId="0" applyFont="1" applyBorder="1" applyAlignment="1">
      <alignment vertical="top"/>
    </xf>
    <xf numFmtId="0" fontId="2778" fillId="0" borderId="2778" xfId="0" applyFont="1" applyBorder="1" applyAlignment="1">
      <alignment vertical="top"/>
    </xf>
    <xf numFmtId="49" fontId="2779" fillId="0" borderId="2779" xfId="0" applyNumberFormat="1" applyFont="1" applyBorder="1" applyAlignment="1">
      <alignment vertical="top"/>
    </xf>
    <xf numFmtId="0" fontId="2780" fillId="0" borderId="2780" xfId="0" applyFont="1" applyBorder="1" applyAlignment="1">
      <alignment vertical="top"/>
    </xf>
    <xf numFmtId="0" fontId="2781" fillId="0" borderId="2781" xfId="0" applyFont="1" applyBorder="1" applyAlignment="1">
      <alignment vertical="top"/>
    </xf>
    <xf numFmtId="49" fontId="2782" fillId="0" borderId="2782" xfId="0" applyNumberFormat="1" applyFont="1" applyBorder="1" applyAlignment="1">
      <alignment vertical="top"/>
    </xf>
    <xf numFmtId="0" fontId="2783" fillId="0" borderId="2783" xfId="0" applyFont="1" applyBorder="1" applyAlignment="1">
      <alignment vertical="top"/>
    </xf>
    <xf numFmtId="0" fontId="2784" fillId="0" borderId="2784" xfId="0" applyFont="1" applyBorder="1" applyAlignment="1">
      <alignment vertical="top"/>
    </xf>
    <xf numFmtId="49" fontId="2785" fillId="0" borderId="2785" xfId="0" applyNumberFormat="1" applyFont="1" applyBorder="1" applyAlignment="1">
      <alignment vertical="top"/>
    </xf>
    <xf numFmtId="0" fontId="2786" fillId="0" borderId="2786" xfId="0" applyFont="1" applyBorder="1" applyAlignment="1">
      <alignment vertical="top"/>
    </xf>
    <xf numFmtId="0" fontId="2787" fillId="0" borderId="2787" xfId="0" applyFont="1" applyBorder="1" applyAlignment="1">
      <alignment vertical="top"/>
    </xf>
    <xf numFmtId="49" fontId="2788" fillId="0" borderId="2788" xfId="0" applyNumberFormat="1" applyFont="1" applyBorder="1" applyAlignment="1">
      <alignment vertical="top"/>
    </xf>
    <xf numFmtId="0" fontId="2789" fillId="0" borderId="2789" xfId="0" applyFont="1" applyBorder="1" applyAlignment="1">
      <alignment vertical="top"/>
    </xf>
    <xf numFmtId="0" fontId="2790" fillId="0" borderId="2790" xfId="0" applyFont="1" applyBorder="1" applyAlignment="1">
      <alignment vertical="top"/>
    </xf>
    <xf numFmtId="49" fontId="2791" fillId="0" borderId="2791" xfId="0" applyNumberFormat="1" applyFont="1" applyBorder="1" applyAlignment="1">
      <alignment vertical="top"/>
    </xf>
    <xf numFmtId="0" fontId="2792" fillId="0" borderId="2792" xfId="0" applyFont="1" applyBorder="1" applyAlignment="1">
      <alignment vertical="top"/>
    </xf>
    <xf numFmtId="0" fontId="2793" fillId="0" borderId="2793" xfId="0" applyFont="1" applyBorder="1" applyAlignment="1">
      <alignment vertical="top"/>
    </xf>
    <xf numFmtId="49" fontId="2794" fillId="0" borderId="2794" xfId="0" applyNumberFormat="1" applyFont="1" applyBorder="1" applyAlignment="1">
      <alignment vertical="top"/>
    </xf>
    <xf numFmtId="0" fontId="2795" fillId="0" borderId="2795" xfId="0" applyFont="1" applyBorder="1" applyAlignment="1">
      <alignment vertical="top"/>
    </xf>
    <xf numFmtId="0" fontId="2796" fillId="0" borderId="2796" xfId="0" applyFont="1" applyBorder="1" applyAlignment="1">
      <alignment vertical="top"/>
    </xf>
    <xf numFmtId="49" fontId="2797" fillId="0" borderId="2797" xfId="0" applyNumberFormat="1" applyFont="1" applyBorder="1" applyAlignment="1">
      <alignment vertical="top"/>
    </xf>
    <xf numFmtId="0" fontId="2798" fillId="0" borderId="2798" xfId="0" applyFont="1" applyBorder="1" applyAlignment="1">
      <alignment vertical="top"/>
    </xf>
    <xf numFmtId="0" fontId="2799" fillId="0" borderId="2799" xfId="0" applyFont="1" applyBorder="1" applyAlignment="1">
      <alignment vertical="top"/>
    </xf>
    <xf numFmtId="49" fontId="2800" fillId="0" borderId="2800" xfId="0" applyNumberFormat="1" applyFont="1" applyBorder="1" applyAlignment="1">
      <alignment vertical="top"/>
    </xf>
    <xf numFmtId="0" fontId="2801" fillId="0" borderId="2801" xfId="0" applyFont="1" applyBorder="1" applyAlignment="1">
      <alignment vertical="top"/>
    </xf>
    <xf numFmtId="0" fontId="2802" fillId="0" borderId="2802" xfId="0" applyFont="1" applyBorder="1" applyAlignment="1">
      <alignment vertical="top"/>
    </xf>
    <xf numFmtId="49" fontId="2803" fillId="0" borderId="2803" xfId="0" applyNumberFormat="1" applyFont="1" applyBorder="1" applyAlignment="1">
      <alignment vertical="top"/>
    </xf>
    <xf numFmtId="0" fontId="2804" fillId="0" borderId="2804" xfId="0" applyFont="1" applyBorder="1" applyAlignment="1">
      <alignment vertical="top"/>
    </xf>
    <xf numFmtId="0" fontId="2805" fillId="0" borderId="2805" xfId="0" applyFont="1" applyBorder="1" applyAlignment="1">
      <alignment vertical="top"/>
    </xf>
    <xf numFmtId="49" fontId="2806" fillId="0" borderId="2806" xfId="0" applyNumberFormat="1" applyFont="1" applyBorder="1" applyAlignment="1">
      <alignment vertical="top"/>
    </xf>
    <xf numFmtId="0" fontId="2807" fillId="0" borderId="2807" xfId="0" applyFont="1" applyBorder="1" applyAlignment="1">
      <alignment vertical="top"/>
    </xf>
    <xf numFmtId="0" fontId="2808" fillId="0" borderId="2808" xfId="0" applyFont="1" applyBorder="1" applyAlignment="1">
      <alignment vertical="top"/>
    </xf>
    <xf numFmtId="49" fontId="2809" fillId="0" borderId="2809" xfId="0" applyNumberFormat="1" applyFont="1" applyBorder="1" applyAlignment="1">
      <alignment vertical="top"/>
    </xf>
    <xf numFmtId="0" fontId="2810" fillId="0" borderId="2810" xfId="0" applyFont="1" applyBorder="1" applyAlignment="1">
      <alignment vertical="top"/>
    </xf>
    <xf numFmtId="0" fontId="2811" fillId="0" borderId="2811" xfId="0" applyFont="1" applyBorder="1" applyAlignment="1">
      <alignment vertical="top"/>
    </xf>
    <xf numFmtId="49" fontId="2812" fillId="0" borderId="2812" xfId="0" applyNumberFormat="1" applyFont="1" applyBorder="1" applyAlignment="1">
      <alignment vertical="top"/>
    </xf>
    <xf numFmtId="0" fontId="2813" fillId="0" borderId="2813" xfId="0" applyFont="1" applyBorder="1" applyAlignment="1">
      <alignment vertical="top"/>
    </xf>
    <xf numFmtId="0" fontId="2814" fillId="0" borderId="2814" xfId="0" applyFont="1" applyBorder="1" applyAlignment="1">
      <alignment vertical="top"/>
    </xf>
    <xf numFmtId="49" fontId="2815" fillId="0" borderId="2815" xfId="0" applyNumberFormat="1" applyFont="1" applyBorder="1" applyAlignment="1">
      <alignment vertical="top"/>
    </xf>
    <xf numFmtId="0" fontId="2816" fillId="0" borderId="2816" xfId="0" applyFont="1" applyBorder="1" applyAlignment="1">
      <alignment vertical="top"/>
    </xf>
    <xf numFmtId="0" fontId="2817" fillId="0" borderId="2817" xfId="0" applyFont="1" applyBorder="1" applyAlignment="1">
      <alignment vertical="top"/>
    </xf>
    <xf numFmtId="49" fontId="2818" fillId="0" borderId="2818" xfId="0" applyNumberFormat="1" applyFont="1" applyBorder="1" applyAlignment="1">
      <alignment vertical="top"/>
    </xf>
    <xf numFmtId="0" fontId="2819" fillId="0" borderId="2819" xfId="0" applyFont="1" applyBorder="1" applyAlignment="1">
      <alignment vertical="top"/>
    </xf>
    <xf numFmtId="0" fontId="2820" fillId="0" borderId="2820" xfId="0" applyFont="1" applyBorder="1" applyAlignment="1">
      <alignment vertical="top"/>
    </xf>
    <xf numFmtId="49" fontId="2821" fillId="0" borderId="2821" xfId="0" applyNumberFormat="1" applyFont="1" applyBorder="1" applyAlignment="1">
      <alignment vertical="top"/>
    </xf>
    <xf numFmtId="0" fontId="2822" fillId="0" borderId="2822" xfId="0" applyFont="1" applyBorder="1" applyAlignment="1">
      <alignment vertical="top"/>
    </xf>
    <xf numFmtId="0" fontId="2823" fillId="0" borderId="2823" xfId="0" applyFont="1" applyBorder="1" applyAlignment="1">
      <alignment vertical="top"/>
    </xf>
    <xf numFmtId="49" fontId="2824" fillId="0" borderId="2824" xfId="0" applyNumberFormat="1" applyFont="1" applyBorder="1" applyAlignment="1">
      <alignment vertical="top"/>
    </xf>
    <xf numFmtId="0" fontId="2825" fillId="0" borderId="2825" xfId="0" applyFont="1" applyBorder="1" applyAlignment="1">
      <alignment vertical="top"/>
    </xf>
    <xf numFmtId="0" fontId="2826" fillId="0" borderId="2826" xfId="0" applyFont="1" applyBorder="1" applyAlignment="1">
      <alignment vertical="top"/>
    </xf>
    <xf numFmtId="49" fontId="2827" fillId="0" borderId="2827" xfId="0" applyNumberFormat="1" applyFont="1" applyBorder="1" applyAlignment="1">
      <alignment vertical="top"/>
    </xf>
    <xf numFmtId="0" fontId="2828" fillId="0" borderId="2828" xfId="0" applyFont="1" applyBorder="1" applyAlignment="1">
      <alignment vertical="top"/>
    </xf>
    <xf numFmtId="0" fontId="2829" fillId="0" borderId="2829" xfId="0" applyFont="1" applyBorder="1" applyAlignment="1">
      <alignment vertical="top"/>
    </xf>
    <xf numFmtId="49" fontId="2830" fillId="0" borderId="2830" xfId="0" applyNumberFormat="1" applyFont="1" applyBorder="1" applyAlignment="1">
      <alignment vertical="top"/>
    </xf>
    <xf numFmtId="0" fontId="2831" fillId="0" borderId="2831" xfId="0" applyFont="1" applyBorder="1" applyAlignment="1">
      <alignment vertical="top"/>
    </xf>
    <xf numFmtId="0" fontId="2832" fillId="0" borderId="2832" xfId="0" applyFont="1" applyBorder="1" applyAlignment="1">
      <alignment vertical="top"/>
    </xf>
    <xf numFmtId="49" fontId="2833" fillId="0" borderId="2833" xfId="0" applyNumberFormat="1" applyFont="1" applyBorder="1" applyAlignment="1">
      <alignment vertical="top"/>
    </xf>
    <xf numFmtId="0" fontId="2834" fillId="0" borderId="2834" xfId="0" applyFont="1" applyBorder="1" applyAlignment="1">
      <alignment vertical="top"/>
    </xf>
    <xf numFmtId="0" fontId="2835" fillId="0" borderId="2835" xfId="0" applyFont="1" applyBorder="1" applyAlignment="1">
      <alignment vertical="top"/>
    </xf>
    <xf numFmtId="49" fontId="2836" fillId="0" borderId="2836" xfId="0" applyNumberFormat="1" applyFont="1" applyBorder="1" applyAlignment="1">
      <alignment vertical="top"/>
    </xf>
    <xf numFmtId="0" fontId="2837" fillId="0" borderId="2837" xfId="0" applyFont="1" applyBorder="1" applyAlignment="1">
      <alignment vertical="top"/>
    </xf>
    <xf numFmtId="0" fontId="2838" fillId="0" borderId="2838" xfId="0" applyFont="1" applyBorder="1" applyAlignment="1">
      <alignment vertical="top"/>
    </xf>
    <xf numFmtId="49" fontId="2839" fillId="0" borderId="2839" xfId="0" applyNumberFormat="1" applyFont="1" applyBorder="1" applyAlignment="1">
      <alignment vertical="top"/>
    </xf>
    <xf numFmtId="0" fontId="2840" fillId="0" borderId="2840" xfId="0" applyFont="1" applyBorder="1" applyAlignment="1">
      <alignment vertical="top"/>
    </xf>
    <xf numFmtId="0" fontId="2841" fillId="0" borderId="2841" xfId="0" applyFont="1" applyBorder="1" applyAlignment="1">
      <alignment vertical="top"/>
    </xf>
    <xf numFmtId="49" fontId="2842" fillId="0" borderId="2842" xfId="0" applyNumberFormat="1" applyFont="1" applyBorder="1" applyAlignment="1">
      <alignment vertical="top"/>
    </xf>
    <xf numFmtId="0" fontId="2843" fillId="0" borderId="2843" xfId="0" applyFont="1" applyBorder="1" applyAlignment="1">
      <alignment vertical="top"/>
    </xf>
    <xf numFmtId="0" fontId="2844" fillId="0" borderId="2844" xfId="0" applyFont="1" applyBorder="1" applyAlignment="1">
      <alignment vertical="top"/>
    </xf>
    <xf numFmtId="49" fontId="2845" fillId="0" borderId="2845" xfId="0" applyNumberFormat="1" applyFont="1" applyBorder="1" applyAlignment="1">
      <alignment vertical="top"/>
    </xf>
    <xf numFmtId="0" fontId="2846" fillId="0" borderId="2846" xfId="0" applyFont="1" applyBorder="1" applyAlignment="1">
      <alignment vertical="top"/>
    </xf>
    <xf numFmtId="0" fontId="2847" fillId="0" borderId="2847" xfId="0" applyFont="1" applyBorder="1" applyAlignment="1">
      <alignment vertical="top"/>
    </xf>
    <xf numFmtId="49" fontId="2848" fillId="0" borderId="2848" xfId="0" applyNumberFormat="1" applyFont="1" applyBorder="1" applyAlignment="1">
      <alignment vertical="top"/>
    </xf>
    <xf numFmtId="0" fontId="2849" fillId="0" borderId="2849" xfId="0" applyFont="1" applyBorder="1" applyAlignment="1">
      <alignment vertical="top"/>
    </xf>
    <xf numFmtId="0" fontId="2850" fillId="0" borderId="2850" xfId="0" applyFont="1" applyBorder="1" applyAlignment="1">
      <alignment vertical="top"/>
    </xf>
    <xf numFmtId="49" fontId="2851" fillId="0" borderId="2851" xfId="0" applyNumberFormat="1" applyFont="1" applyBorder="1" applyAlignment="1">
      <alignment vertical="top"/>
    </xf>
    <xf numFmtId="0" fontId="2852" fillId="0" borderId="2852" xfId="0" applyFont="1" applyBorder="1" applyAlignment="1">
      <alignment vertical="top"/>
    </xf>
    <xf numFmtId="0" fontId="2853" fillId="0" borderId="2853" xfId="0" applyFont="1" applyBorder="1" applyAlignment="1">
      <alignment vertical="top"/>
    </xf>
    <xf numFmtId="49" fontId="2854" fillId="0" borderId="2854" xfId="0" applyNumberFormat="1" applyFont="1" applyBorder="1" applyAlignment="1">
      <alignment vertical="top"/>
    </xf>
    <xf numFmtId="0" fontId="2855" fillId="0" borderId="2855" xfId="0" applyFont="1" applyBorder="1" applyAlignment="1">
      <alignment vertical="top"/>
    </xf>
    <xf numFmtId="0" fontId="2856" fillId="0" borderId="2856" xfId="0" applyFont="1" applyBorder="1" applyAlignment="1">
      <alignment vertical="top"/>
    </xf>
    <xf numFmtId="49" fontId="2857" fillId="0" borderId="2857" xfId="0" applyNumberFormat="1" applyFont="1" applyBorder="1" applyAlignment="1">
      <alignment vertical="top"/>
    </xf>
    <xf numFmtId="0" fontId="2858" fillId="0" borderId="2858" xfId="0" applyFont="1" applyBorder="1" applyAlignment="1">
      <alignment vertical="top"/>
    </xf>
    <xf numFmtId="0" fontId="2859" fillId="0" borderId="2859" xfId="0" applyFont="1" applyBorder="1" applyAlignment="1">
      <alignment vertical="top"/>
    </xf>
    <xf numFmtId="49" fontId="2860" fillId="0" borderId="2860" xfId="0" applyNumberFormat="1" applyFont="1" applyBorder="1" applyAlignment="1">
      <alignment vertical="top"/>
    </xf>
    <xf numFmtId="0" fontId="2861" fillId="0" borderId="2861" xfId="0" applyFont="1" applyBorder="1" applyAlignment="1">
      <alignment vertical="top"/>
    </xf>
    <xf numFmtId="0" fontId="2862" fillId="0" borderId="2862" xfId="0" applyFont="1" applyBorder="1" applyAlignment="1">
      <alignment vertical="top"/>
    </xf>
    <xf numFmtId="49" fontId="2863" fillId="0" borderId="2863" xfId="0" applyNumberFormat="1" applyFont="1" applyBorder="1" applyAlignment="1">
      <alignment vertical="top"/>
    </xf>
    <xf numFmtId="0" fontId="2864" fillId="0" borderId="2864" xfId="0" applyFont="1" applyBorder="1" applyAlignment="1">
      <alignment vertical="top"/>
    </xf>
    <xf numFmtId="0" fontId="2865" fillId="0" borderId="2865" xfId="0" applyFont="1" applyBorder="1" applyAlignment="1">
      <alignment vertical="top"/>
    </xf>
    <xf numFmtId="49" fontId="2866" fillId="0" borderId="2866" xfId="0" applyNumberFormat="1" applyFont="1" applyBorder="1" applyAlignment="1">
      <alignment vertical="top"/>
    </xf>
    <xf numFmtId="0" fontId="2867" fillId="0" borderId="2867" xfId="0" applyFont="1" applyBorder="1" applyAlignment="1">
      <alignment vertical="top"/>
    </xf>
    <xf numFmtId="0" fontId="2868" fillId="0" borderId="2868" xfId="0" applyFont="1" applyBorder="1" applyAlignment="1">
      <alignment vertical="top"/>
    </xf>
    <xf numFmtId="49" fontId="2869" fillId="0" borderId="2869" xfId="0" applyNumberFormat="1" applyFont="1" applyBorder="1" applyAlignment="1">
      <alignment vertical="top"/>
    </xf>
    <xf numFmtId="0" fontId="2870" fillId="0" borderId="2870" xfId="0" applyFont="1" applyBorder="1" applyAlignment="1">
      <alignment vertical="top"/>
    </xf>
    <xf numFmtId="0" fontId="2871" fillId="0" borderId="2871" xfId="0" applyFont="1" applyBorder="1" applyAlignment="1">
      <alignment vertical="top"/>
    </xf>
    <xf numFmtId="49" fontId="2872" fillId="0" borderId="2872" xfId="0" applyNumberFormat="1" applyFont="1" applyBorder="1" applyAlignment="1">
      <alignment vertical="top"/>
    </xf>
    <xf numFmtId="0" fontId="2873" fillId="0" borderId="2873" xfId="0" applyFont="1" applyBorder="1" applyAlignment="1">
      <alignment vertical="top"/>
    </xf>
    <xf numFmtId="0" fontId="2874" fillId="0" borderId="2874" xfId="0" applyFont="1" applyBorder="1" applyAlignment="1">
      <alignment vertical="top"/>
    </xf>
    <xf numFmtId="49" fontId="2875" fillId="0" borderId="2875" xfId="0" applyNumberFormat="1" applyFont="1" applyBorder="1" applyAlignment="1">
      <alignment vertical="top"/>
    </xf>
    <xf numFmtId="0" fontId="2876" fillId="0" borderId="2876" xfId="0" applyFont="1" applyBorder="1" applyAlignment="1">
      <alignment vertical="top"/>
    </xf>
    <xf numFmtId="0" fontId="2877" fillId="0" borderId="2877" xfId="0" applyFont="1" applyBorder="1" applyAlignment="1">
      <alignment vertical="top"/>
    </xf>
    <xf numFmtId="49" fontId="2878" fillId="0" borderId="2878" xfId="0" applyNumberFormat="1" applyFont="1" applyBorder="1" applyAlignment="1">
      <alignment vertical="top"/>
    </xf>
    <xf numFmtId="0" fontId="2879" fillId="0" borderId="2879" xfId="0" applyFont="1" applyBorder="1" applyAlignment="1">
      <alignment vertical="top"/>
    </xf>
    <xf numFmtId="0" fontId="2880" fillId="0" borderId="2880" xfId="0" applyFont="1" applyBorder="1" applyAlignment="1">
      <alignment vertical="top"/>
    </xf>
    <xf numFmtId="49" fontId="2881" fillId="0" borderId="2881" xfId="0" applyNumberFormat="1" applyFont="1" applyBorder="1" applyAlignment="1">
      <alignment vertical="top"/>
    </xf>
    <xf numFmtId="0" fontId="2882" fillId="0" borderId="2882" xfId="0" applyFont="1" applyBorder="1" applyAlignment="1">
      <alignment vertical="top"/>
    </xf>
    <xf numFmtId="0" fontId="2883" fillId="0" borderId="2883" xfId="0" applyFont="1" applyBorder="1" applyAlignment="1">
      <alignment vertical="top"/>
    </xf>
    <xf numFmtId="49" fontId="2884" fillId="0" borderId="2884" xfId="0" applyNumberFormat="1" applyFont="1" applyBorder="1" applyAlignment="1">
      <alignment vertical="top"/>
    </xf>
    <xf numFmtId="0" fontId="2885" fillId="0" borderId="2885" xfId="0" applyFont="1" applyBorder="1" applyAlignment="1">
      <alignment vertical="top"/>
    </xf>
    <xf numFmtId="0" fontId="2886" fillId="0" borderId="2886" xfId="0" applyFont="1" applyBorder="1" applyAlignment="1">
      <alignment vertical="top"/>
    </xf>
    <xf numFmtId="49" fontId="2887" fillId="0" borderId="2887" xfId="0" applyNumberFormat="1" applyFont="1" applyBorder="1" applyAlignment="1">
      <alignment vertical="top"/>
    </xf>
    <xf numFmtId="0" fontId="2888" fillId="0" borderId="2888" xfId="0" applyFont="1" applyBorder="1" applyAlignment="1">
      <alignment vertical="top"/>
    </xf>
    <xf numFmtId="0" fontId="2889" fillId="0" borderId="2889" xfId="0" applyFont="1" applyBorder="1" applyAlignment="1">
      <alignment vertical="top"/>
    </xf>
    <xf numFmtId="49" fontId="2890" fillId="0" borderId="2890" xfId="0" applyNumberFormat="1" applyFont="1" applyBorder="1" applyAlignment="1">
      <alignment vertical="top"/>
    </xf>
    <xf numFmtId="0" fontId="2891" fillId="0" borderId="2891" xfId="0" applyFont="1" applyBorder="1" applyAlignment="1">
      <alignment vertical="top"/>
    </xf>
    <xf numFmtId="0" fontId="2892" fillId="0" borderId="2892" xfId="0" applyFont="1" applyBorder="1" applyAlignment="1">
      <alignment vertical="top"/>
    </xf>
    <xf numFmtId="49" fontId="2893" fillId="0" borderId="2893" xfId="0" applyNumberFormat="1" applyFont="1" applyBorder="1" applyAlignment="1">
      <alignment vertical="top"/>
    </xf>
    <xf numFmtId="0" fontId="2894" fillId="0" borderId="2894" xfId="0" applyFont="1" applyBorder="1" applyAlignment="1">
      <alignment vertical="top"/>
    </xf>
    <xf numFmtId="0" fontId="2895" fillId="0" borderId="2895" xfId="0" applyFont="1" applyBorder="1" applyAlignment="1">
      <alignment vertical="top"/>
    </xf>
    <xf numFmtId="49" fontId="2896" fillId="0" borderId="2896" xfId="0" applyNumberFormat="1" applyFont="1" applyBorder="1" applyAlignment="1">
      <alignment vertical="top"/>
    </xf>
    <xf numFmtId="0" fontId="2897" fillId="0" borderId="2897" xfId="0" applyFont="1" applyBorder="1" applyAlignment="1">
      <alignment vertical="top"/>
    </xf>
    <xf numFmtId="0" fontId="2898" fillId="0" borderId="2898" xfId="0" applyFont="1" applyBorder="1" applyAlignment="1">
      <alignment vertical="top"/>
    </xf>
    <xf numFmtId="49" fontId="2899" fillId="0" borderId="2899" xfId="0" applyNumberFormat="1" applyFont="1" applyBorder="1" applyAlignment="1">
      <alignment vertical="top"/>
    </xf>
    <xf numFmtId="0" fontId="2900" fillId="0" borderId="2900" xfId="0" applyFont="1" applyBorder="1" applyAlignment="1">
      <alignment vertical="top"/>
    </xf>
    <xf numFmtId="0" fontId="2901" fillId="0" borderId="2901" xfId="0" applyFont="1" applyBorder="1" applyAlignment="1">
      <alignment vertical="top"/>
    </xf>
    <xf numFmtId="49" fontId="2902" fillId="0" borderId="2902" xfId="0" applyNumberFormat="1" applyFont="1" applyBorder="1" applyAlignment="1">
      <alignment vertical="top"/>
    </xf>
    <xf numFmtId="0" fontId="2903" fillId="0" borderId="2903" xfId="0" applyFont="1" applyBorder="1" applyAlignment="1">
      <alignment vertical="top"/>
    </xf>
    <xf numFmtId="0" fontId="2904" fillId="0" borderId="2904" xfId="0" applyFont="1" applyBorder="1" applyAlignment="1">
      <alignment vertical="top"/>
    </xf>
    <xf numFmtId="49" fontId="2905" fillId="0" borderId="2905" xfId="0" applyNumberFormat="1" applyFont="1" applyBorder="1" applyAlignment="1">
      <alignment vertical="top"/>
    </xf>
    <xf numFmtId="0" fontId="2906" fillId="0" borderId="2906" xfId="0" applyFont="1" applyBorder="1" applyAlignment="1">
      <alignment vertical="top"/>
    </xf>
    <xf numFmtId="0" fontId="2907" fillId="0" borderId="2907" xfId="0" applyFont="1" applyBorder="1" applyAlignment="1">
      <alignment vertical="top"/>
    </xf>
    <xf numFmtId="49" fontId="2908" fillId="0" borderId="2908" xfId="0" applyNumberFormat="1" applyFont="1" applyBorder="1" applyAlignment="1">
      <alignment vertical="top"/>
    </xf>
    <xf numFmtId="0" fontId="2909" fillId="0" borderId="2909" xfId="0" applyFont="1" applyBorder="1" applyAlignment="1">
      <alignment vertical="top"/>
    </xf>
    <xf numFmtId="0" fontId="2910" fillId="0" borderId="2910" xfId="0" applyFont="1" applyBorder="1" applyAlignment="1">
      <alignment vertical="top"/>
    </xf>
    <xf numFmtId="49" fontId="2911" fillId="0" borderId="2911" xfId="0" applyNumberFormat="1" applyFont="1" applyBorder="1" applyAlignment="1">
      <alignment vertical="top"/>
    </xf>
    <xf numFmtId="0" fontId="2912" fillId="0" borderId="2912" xfId="0" applyFont="1" applyBorder="1" applyAlignment="1">
      <alignment vertical="top"/>
    </xf>
    <xf numFmtId="0" fontId="2913" fillId="0" borderId="2913" xfId="0" applyFont="1" applyBorder="1" applyAlignment="1">
      <alignment vertical="top"/>
    </xf>
    <xf numFmtId="49" fontId="2914" fillId="0" borderId="2914" xfId="0" applyNumberFormat="1" applyFont="1" applyBorder="1" applyAlignment="1">
      <alignment vertical="top"/>
    </xf>
    <xf numFmtId="0" fontId="2915" fillId="0" borderId="2915" xfId="0" applyFont="1" applyBorder="1" applyAlignment="1">
      <alignment vertical="top"/>
    </xf>
    <xf numFmtId="0" fontId="2916" fillId="0" borderId="2916" xfId="0" applyFont="1" applyBorder="1" applyAlignment="1">
      <alignment vertical="top"/>
    </xf>
    <xf numFmtId="49" fontId="2917" fillId="0" borderId="2917" xfId="0" applyNumberFormat="1" applyFont="1" applyBorder="1" applyAlignment="1">
      <alignment vertical="top"/>
    </xf>
    <xf numFmtId="0" fontId="2918" fillId="0" borderId="2918" xfId="0" applyFont="1" applyBorder="1" applyAlignment="1">
      <alignment vertical="top"/>
    </xf>
    <xf numFmtId="0" fontId="2919" fillId="0" borderId="2919" xfId="0" applyFont="1" applyBorder="1" applyAlignment="1">
      <alignment vertical="top"/>
    </xf>
    <xf numFmtId="49" fontId="2920" fillId="0" borderId="2920" xfId="0" applyNumberFormat="1" applyFont="1" applyBorder="1" applyAlignment="1">
      <alignment vertical="top"/>
    </xf>
    <xf numFmtId="0" fontId="2921" fillId="0" borderId="2921" xfId="0" applyFont="1" applyBorder="1" applyAlignment="1">
      <alignment vertical="top"/>
    </xf>
    <xf numFmtId="0" fontId="2922" fillId="0" borderId="2922" xfId="0" applyFont="1" applyBorder="1" applyAlignment="1">
      <alignment vertical="top"/>
    </xf>
    <xf numFmtId="49" fontId="2923" fillId="0" borderId="2923" xfId="0" applyNumberFormat="1" applyFont="1" applyBorder="1" applyAlignment="1">
      <alignment vertical="top"/>
    </xf>
    <xf numFmtId="0" fontId="2924" fillId="0" borderId="2924" xfId="0" applyFont="1" applyBorder="1" applyAlignment="1">
      <alignment vertical="top"/>
    </xf>
    <xf numFmtId="0" fontId="2925" fillId="0" borderId="2925" xfId="0" applyFont="1" applyBorder="1" applyAlignment="1">
      <alignment vertical="top"/>
    </xf>
    <xf numFmtId="49" fontId="2926" fillId="0" borderId="2926" xfId="0" applyNumberFormat="1" applyFont="1" applyBorder="1" applyAlignment="1">
      <alignment vertical="top"/>
    </xf>
    <xf numFmtId="0" fontId="2927" fillId="0" borderId="2927" xfId="0" applyFont="1" applyBorder="1" applyAlignment="1">
      <alignment vertical="top"/>
    </xf>
    <xf numFmtId="0" fontId="2928" fillId="0" borderId="2928" xfId="0" applyFont="1" applyBorder="1" applyAlignment="1">
      <alignment vertical="top"/>
    </xf>
    <xf numFmtId="49" fontId="2929" fillId="0" borderId="2929" xfId="0" applyNumberFormat="1" applyFont="1" applyBorder="1" applyAlignment="1">
      <alignment vertical="top"/>
    </xf>
    <xf numFmtId="0" fontId="2930" fillId="0" borderId="2930" xfId="0" applyFont="1" applyBorder="1" applyAlignment="1">
      <alignment vertical="top"/>
    </xf>
    <xf numFmtId="0" fontId="2931" fillId="0" borderId="2931" xfId="0" applyFont="1" applyBorder="1" applyAlignment="1">
      <alignment vertical="top"/>
    </xf>
    <xf numFmtId="49" fontId="2932" fillId="0" borderId="2932" xfId="0" applyNumberFormat="1" applyFont="1" applyBorder="1" applyAlignment="1">
      <alignment vertical="top"/>
    </xf>
    <xf numFmtId="0" fontId="2933" fillId="0" borderId="2933" xfId="0" applyFont="1" applyBorder="1" applyAlignment="1">
      <alignment vertical="top"/>
    </xf>
    <xf numFmtId="0" fontId="2934" fillId="0" borderId="2934" xfId="0" applyFont="1" applyBorder="1" applyAlignment="1">
      <alignment vertical="top"/>
    </xf>
    <xf numFmtId="49" fontId="2935" fillId="0" borderId="2935" xfId="0" applyNumberFormat="1" applyFont="1" applyBorder="1" applyAlignment="1">
      <alignment vertical="top"/>
    </xf>
    <xf numFmtId="0" fontId="2936" fillId="0" borderId="2936" xfId="0" applyFont="1" applyBorder="1" applyAlignment="1">
      <alignment vertical="top"/>
    </xf>
    <xf numFmtId="0" fontId="2937" fillId="0" borderId="2937" xfId="0" applyFont="1" applyBorder="1" applyAlignment="1">
      <alignment vertical="top"/>
    </xf>
    <xf numFmtId="49" fontId="2938" fillId="0" borderId="2938" xfId="0" applyNumberFormat="1" applyFont="1" applyBorder="1" applyAlignment="1">
      <alignment vertical="top"/>
    </xf>
    <xf numFmtId="0" fontId="2939" fillId="0" borderId="2939" xfId="0" applyFont="1" applyBorder="1" applyAlignment="1">
      <alignment vertical="top"/>
    </xf>
    <xf numFmtId="0" fontId="2940" fillId="0" borderId="2940" xfId="0" applyFont="1" applyBorder="1" applyAlignment="1">
      <alignment vertical="top"/>
    </xf>
    <xf numFmtId="49" fontId="2941" fillId="0" borderId="2941" xfId="0" applyNumberFormat="1" applyFont="1" applyBorder="1" applyAlignment="1">
      <alignment vertical="top"/>
    </xf>
    <xf numFmtId="0" fontId="2942" fillId="0" borderId="2942" xfId="0" applyFont="1" applyBorder="1" applyAlignment="1">
      <alignment vertical="top"/>
    </xf>
    <xf numFmtId="0" fontId="2943" fillId="0" borderId="2943" xfId="0" applyFont="1" applyBorder="1" applyAlignment="1">
      <alignment vertical="top"/>
    </xf>
    <xf numFmtId="49" fontId="2944" fillId="0" borderId="2944" xfId="0" applyNumberFormat="1" applyFont="1" applyBorder="1" applyAlignment="1">
      <alignment vertical="top"/>
    </xf>
    <xf numFmtId="0" fontId="2945" fillId="0" borderId="2945" xfId="0" applyFont="1" applyBorder="1" applyAlignment="1">
      <alignment vertical="top"/>
    </xf>
    <xf numFmtId="0" fontId="2946" fillId="0" borderId="2946" xfId="0" applyFont="1" applyBorder="1" applyAlignment="1">
      <alignment vertical="top"/>
    </xf>
    <xf numFmtId="49" fontId="2947" fillId="0" borderId="2947" xfId="0" applyNumberFormat="1" applyFont="1" applyBorder="1" applyAlignment="1">
      <alignment vertical="top"/>
    </xf>
    <xf numFmtId="0" fontId="2948" fillId="0" borderId="2948" xfId="0" applyFont="1" applyBorder="1" applyAlignment="1">
      <alignment vertical="top"/>
    </xf>
    <xf numFmtId="0" fontId="2949" fillId="0" borderId="2949" xfId="0" applyFont="1" applyBorder="1" applyAlignment="1">
      <alignment vertical="top"/>
    </xf>
    <xf numFmtId="49" fontId="2950" fillId="0" borderId="2950" xfId="0" applyNumberFormat="1" applyFont="1" applyBorder="1" applyAlignment="1">
      <alignment vertical="top"/>
    </xf>
    <xf numFmtId="0" fontId="2951" fillId="0" borderId="2951" xfId="0" applyFont="1" applyBorder="1" applyAlignment="1">
      <alignment vertical="top"/>
    </xf>
    <xf numFmtId="0" fontId="2952" fillId="0" borderId="2952" xfId="0" applyFont="1" applyBorder="1" applyAlignment="1">
      <alignment vertical="top"/>
    </xf>
    <xf numFmtId="49" fontId="2953" fillId="0" borderId="2953" xfId="0" applyNumberFormat="1" applyFont="1" applyBorder="1" applyAlignment="1">
      <alignment vertical="top"/>
    </xf>
    <xf numFmtId="0" fontId="2954" fillId="0" borderId="2954" xfId="0" applyFont="1" applyBorder="1" applyAlignment="1">
      <alignment vertical="top"/>
    </xf>
    <xf numFmtId="0" fontId="2955" fillId="0" borderId="2955" xfId="0" applyFont="1" applyBorder="1" applyAlignment="1">
      <alignment vertical="top"/>
    </xf>
    <xf numFmtId="49" fontId="2956" fillId="0" borderId="2956" xfId="0" applyNumberFormat="1" applyFont="1" applyBorder="1" applyAlignment="1">
      <alignment vertical="top"/>
    </xf>
    <xf numFmtId="0" fontId="2957" fillId="0" borderId="2957" xfId="0" applyFont="1" applyBorder="1" applyAlignment="1">
      <alignment vertical="top"/>
    </xf>
    <xf numFmtId="0" fontId="2958" fillId="0" borderId="2958" xfId="0" applyFont="1" applyBorder="1" applyAlignment="1">
      <alignment vertical="top"/>
    </xf>
    <xf numFmtId="49" fontId="2959" fillId="0" borderId="2959" xfId="0" applyNumberFormat="1" applyFont="1" applyBorder="1" applyAlignment="1">
      <alignment vertical="top"/>
    </xf>
    <xf numFmtId="0" fontId="2960" fillId="0" borderId="2960" xfId="0" applyFont="1" applyBorder="1" applyAlignment="1">
      <alignment vertical="top"/>
    </xf>
    <xf numFmtId="0" fontId="2961" fillId="0" borderId="2961" xfId="0" applyFont="1" applyBorder="1" applyAlignment="1">
      <alignment vertical="top"/>
    </xf>
    <xf numFmtId="49" fontId="2962" fillId="0" borderId="2962" xfId="0" applyNumberFormat="1" applyFont="1" applyBorder="1" applyAlignment="1">
      <alignment vertical="top"/>
    </xf>
    <xf numFmtId="0" fontId="2963" fillId="0" borderId="2963" xfId="0" applyFont="1" applyBorder="1" applyAlignment="1">
      <alignment vertical="top"/>
    </xf>
    <xf numFmtId="0" fontId="2964" fillId="0" borderId="2964" xfId="0" applyFont="1" applyBorder="1" applyAlignment="1">
      <alignment vertical="top"/>
    </xf>
    <xf numFmtId="49" fontId="2965" fillId="0" borderId="2965" xfId="0" applyNumberFormat="1" applyFont="1" applyBorder="1" applyAlignment="1">
      <alignment vertical="top"/>
    </xf>
    <xf numFmtId="0" fontId="2966" fillId="0" borderId="2966" xfId="0" applyFont="1" applyBorder="1" applyAlignment="1">
      <alignment vertical="top"/>
    </xf>
    <xf numFmtId="0" fontId="2967" fillId="0" borderId="2967" xfId="0" applyFont="1" applyBorder="1" applyAlignment="1">
      <alignment vertical="top"/>
    </xf>
    <xf numFmtId="49" fontId="2968" fillId="0" borderId="2968" xfId="0" applyNumberFormat="1" applyFont="1" applyBorder="1" applyAlignment="1">
      <alignment vertical="top"/>
    </xf>
    <xf numFmtId="0" fontId="2969" fillId="0" borderId="2969" xfId="0" applyFont="1" applyBorder="1" applyAlignment="1">
      <alignment vertical="top"/>
    </xf>
    <xf numFmtId="0" fontId="2970" fillId="0" borderId="2970" xfId="0" applyFont="1" applyBorder="1" applyAlignment="1">
      <alignment vertical="top"/>
    </xf>
    <xf numFmtId="49" fontId="2971" fillId="0" borderId="2971" xfId="0" applyNumberFormat="1" applyFont="1" applyBorder="1" applyAlignment="1">
      <alignment vertical="top"/>
    </xf>
    <xf numFmtId="0" fontId="2972" fillId="0" borderId="2972" xfId="0" applyFont="1" applyBorder="1" applyAlignment="1">
      <alignment vertical="top"/>
    </xf>
    <xf numFmtId="0" fontId="2973" fillId="0" borderId="2973" xfId="0" applyFont="1" applyBorder="1" applyAlignment="1">
      <alignment vertical="top"/>
    </xf>
    <xf numFmtId="49" fontId="2974" fillId="0" borderId="2974" xfId="0" applyNumberFormat="1" applyFont="1" applyBorder="1" applyAlignment="1">
      <alignment vertical="top"/>
    </xf>
    <xf numFmtId="0" fontId="2975" fillId="0" borderId="2975" xfId="0" applyFont="1" applyBorder="1" applyAlignment="1">
      <alignment vertical="top"/>
    </xf>
    <xf numFmtId="0" fontId="2976" fillId="0" borderId="2976" xfId="0" applyFont="1" applyBorder="1" applyAlignment="1">
      <alignment vertical="top"/>
    </xf>
    <xf numFmtId="49" fontId="2977" fillId="0" borderId="2977" xfId="0" applyNumberFormat="1" applyFont="1" applyBorder="1" applyAlignment="1">
      <alignment vertical="top"/>
    </xf>
    <xf numFmtId="0" fontId="2978" fillId="0" borderId="2978" xfId="0" applyFont="1" applyBorder="1" applyAlignment="1">
      <alignment vertical="top"/>
    </xf>
    <xf numFmtId="0" fontId="2979" fillId="0" borderId="2979" xfId="0" applyFont="1" applyBorder="1" applyAlignment="1">
      <alignment vertical="top"/>
    </xf>
    <xf numFmtId="49" fontId="2980" fillId="0" borderId="2980" xfId="0" applyNumberFormat="1" applyFont="1" applyBorder="1" applyAlignment="1">
      <alignment vertical="top"/>
    </xf>
    <xf numFmtId="0" fontId="2981" fillId="0" borderId="2981" xfId="0" applyFont="1" applyBorder="1" applyAlignment="1">
      <alignment vertical="top"/>
    </xf>
    <xf numFmtId="0" fontId="2982" fillId="0" borderId="2982" xfId="0" applyFont="1" applyBorder="1" applyAlignment="1">
      <alignment vertical="top"/>
    </xf>
    <xf numFmtId="49" fontId="2983" fillId="0" borderId="2983" xfId="0" applyNumberFormat="1" applyFont="1" applyBorder="1" applyAlignment="1">
      <alignment vertical="top"/>
    </xf>
    <xf numFmtId="0" fontId="2984" fillId="0" borderId="2984" xfId="0" applyFont="1" applyBorder="1" applyAlignment="1">
      <alignment vertical="top"/>
    </xf>
    <xf numFmtId="0" fontId="2985" fillId="0" borderId="2985" xfId="0" applyFont="1" applyBorder="1" applyAlignment="1">
      <alignment vertical="top"/>
    </xf>
    <xf numFmtId="49" fontId="2986" fillId="0" borderId="2986" xfId="0" applyNumberFormat="1" applyFont="1" applyBorder="1" applyAlignment="1">
      <alignment vertical="top"/>
    </xf>
    <xf numFmtId="0" fontId="2987" fillId="0" borderId="2987" xfId="0" applyFont="1" applyBorder="1" applyAlignment="1">
      <alignment vertical="top"/>
    </xf>
    <xf numFmtId="0" fontId="2988" fillId="0" borderId="2988" xfId="0" applyFont="1" applyBorder="1" applyAlignment="1">
      <alignment vertical="top"/>
    </xf>
    <xf numFmtId="49" fontId="2989" fillId="0" borderId="2989" xfId="0" applyNumberFormat="1" applyFont="1" applyBorder="1" applyAlignment="1">
      <alignment vertical="top"/>
    </xf>
    <xf numFmtId="0" fontId="2990" fillId="0" borderId="2990" xfId="0" applyFont="1" applyBorder="1" applyAlignment="1">
      <alignment vertical="top"/>
    </xf>
    <xf numFmtId="0" fontId="2991" fillId="0" borderId="2991" xfId="0" applyFont="1" applyBorder="1" applyAlignment="1">
      <alignment vertical="top"/>
    </xf>
    <xf numFmtId="49" fontId="2992" fillId="0" borderId="2992" xfId="0" applyNumberFormat="1" applyFont="1" applyBorder="1" applyAlignment="1">
      <alignment vertical="top"/>
    </xf>
    <xf numFmtId="0" fontId="2993" fillId="0" borderId="2993" xfId="0" applyFont="1" applyBorder="1" applyAlignment="1">
      <alignment vertical="top"/>
    </xf>
    <xf numFmtId="0" fontId="2994" fillId="0" borderId="2994" xfId="0" applyFont="1" applyBorder="1" applyAlignment="1">
      <alignment vertical="top"/>
    </xf>
    <xf numFmtId="49" fontId="2995" fillId="0" borderId="2995" xfId="0" applyNumberFormat="1" applyFont="1" applyBorder="1" applyAlignment="1">
      <alignment vertical="top"/>
    </xf>
    <xf numFmtId="0" fontId="2996" fillId="0" borderId="2996" xfId="0" applyFont="1" applyBorder="1" applyAlignment="1">
      <alignment vertical="top"/>
    </xf>
    <xf numFmtId="0" fontId="2997" fillId="0" borderId="2997" xfId="0" applyFont="1" applyBorder="1" applyAlignment="1">
      <alignment vertical="top"/>
    </xf>
    <xf numFmtId="49" fontId="2998" fillId="0" borderId="2998" xfId="0" applyNumberFormat="1" applyFont="1" applyBorder="1" applyAlignment="1">
      <alignment vertical="top"/>
    </xf>
    <xf numFmtId="0" fontId="2999" fillId="0" borderId="2999" xfId="0" applyFont="1" applyBorder="1" applyAlignment="1">
      <alignment vertical="top"/>
    </xf>
    <xf numFmtId="0" fontId="3000" fillId="0" borderId="3000" xfId="0" applyFont="1" applyBorder="1" applyAlignment="1">
      <alignment vertical="top"/>
    </xf>
    <xf numFmtId="49" fontId="3001" fillId="0" borderId="3001" xfId="0" applyNumberFormat="1" applyFont="1" applyBorder="1" applyAlignment="1">
      <alignment vertical="top"/>
    </xf>
    <xf numFmtId="0" fontId="3002" fillId="0" borderId="3002" xfId="0" applyFont="1" applyBorder="1" applyAlignment="1">
      <alignment vertical="top"/>
    </xf>
    <xf numFmtId="0" fontId="3003" fillId="0" borderId="3003" xfId="0" applyFont="1" applyBorder="1" applyAlignment="1">
      <alignment vertical="top"/>
    </xf>
    <xf numFmtId="49" fontId="3004" fillId="0" borderId="3004" xfId="0" applyNumberFormat="1" applyFont="1" applyBorder="1" applyAlignment="1">
      <alignment vertical="top"/>
    </xf>
    <xf numFmtId="0" fontId="3005" fillId="0" borderId="3005" xfId="0" applyFont="1" applyBorder="1" applyAlignment="1">
      <alignment vertical="top"/>
    </xf>
    <xf numFmtId="0" fontId="3006" fillId="0" borderId="3006" xfId="0" applyFont="1" applyBorder="1" applyAlignment="1">
      <alignment vertical="top"/>
    </xf>
    <xf numFmtId="49" fontId="3007" fillId="0" borderId="3007" xfId="0" applyNumberFormat="1" applyFont="1" applyBorder="1" applyAlignment="1">
      <alignment vertical="top"/>
    </xf>
    <xf numFmtId="0" fontId="3008" fillId="0" borderId="3008" xfId="0" applyFont="1" applyBorder="1" applyAlignment="1">
      <alignment vertical="top"/>
    </xf>
    <xf numFmtId="0" fontId="3009" fillId="0" borderId="3009" xfId="0" applyFont="1" applyBorder="1" applyAlignment="1">
      <alignment vertical="top"/>
    </xf>
    <xf numFmtId="49" fontId="3010" fillId="0" borderId="3010" xfId="0" applyNumberFormat="1" applyFont="1" applyBorder="1" applyAlignment="1">
      <alignment vertical="top"/>
    </xf>
    <xf numFmtId="0" fontId="3011" fillId="0" borderId="3011" xfId="0" applyFont="1" applyBorder="1" applyAlignment="1">
      <alignment vertical="top"/>
    </xf>
    <xf numFmtId="0" fontId="3012" fillId="0" borderId="3012" xfId="0" applyFont="1" applyBorder="1" applyAlignment="1">
      <alignment vertical="top"/>
    </xf>
    <xf numFmtId="49" fontId="3013" fillId="0" borderId="3013" xfId="0" applyNumberFormat="1" applyFont="1" applyBorder="1" applyAlignment="1">
      <alignment vertical="top"/>
    </xf>
    <xf numFmtId="0" fontId="3014" fillId="0" borderId="3014" xfId="0" applyFont="1" applyBorder="1" applyAlignment="1">
      <alignment vertical="top"/>
    </xf>
    <xf numFmtId="0" fontId="3015" fillId="0" borderId="3015" xfId="0" applyFont="1" applyBorder="1" applyAlignment="1">
      <alignment vertical="top"/>
    </xf>
    <xf numFmtId="49" fontId="3016" fillId="0" borderId="3016" xfId="0" applyNumberFormat="1" applyFont="1" applyBorder="1" applyAlignment="1">
      <alignment vertical="top"/>
    </xf>
    <xf numFmtId="0" fontId="3017" fillId="0" borderId="3017" xfId="0" applyFont="1" applyBorder="1" applyAlignment="1">
      <alignment vertical="top"/>
    </xf>
    <xf numFmtId="0" fontId="3018" fillId="0" borderId="3018" xfId="0" applyFont="1" applyBorder="1" applyAlignment="1">
      <alignment vertical="top"/>
    </xf>
    <xf numFmtId="49" fontId="3019" fillId="0" borderId="3019" xfId="0" applyNumberFormat="1" applyFont="1" applyBorder="1" applyAlignment="1">
      <alignment vertical="top"/>
    </xf>
    <xf numFmtId="0" fontId="3020" fillId="0" borderId="3020" xfId="0" applyFont="1" applyBorder="1" applyAlignment="1">
      <alignment vertical="top"/>
    </xf>
    <xf numFmtId="0" fontId="3021" fillId="0" borderId="3021" xfId="0" applyFont="1" applyBorder="1" applyAlignment="1">
      <alignment vertical="top"/>
    </xf>
    <xf numFmtId="49" fontId="3022" fillId="0" borderId="3022" xfId="0" applyNumberFormat="1" applyFont="1" applyBorder="1" applyAlignment="1">
      <alignment vertical="top"/>
    </xf>
    <xf numFmtId="0" fontId="3023" fillId="0" borderId="3023" xfId="0" applyFont="1" applyBorder="1" applyAlignment="1">
      <alignment vertical="top"/>
    </xf>
    <xf numFmtId="0" fontId="3024" fillId="0" borderId="3024" xfId="0" applyFont="1" applyBorder="1" applyAlignment="1">
      <alignment vertical="top"/>
    </xf>
    <xf numFmtId="49" fontId="3025" fillId="0" borderId="3025" xfId="0" applyNumberFormat="1" applyFont="1" applyBorder="1" applyAlignment="1">
      <alignment vertical="top"/>
    </xf>
    <xf numFmtId="0" fontId="3026" fillId="0" borderId="3026" xfId="0" applyFont="1" applyBorder="1" applyAlignment="1">
      <alignment vertical="top"/>
    </xf>
    <xf numFmtId="0" fontId="3027" fillId="0" borderId="3027" xfId="0" applyFont="1" applyBorder="1" applyAlignment="1">
      <alignment vertical="top"/>
    </xf>
    <xf numFmtId="49" fontId="3028" fillId="0" borderId="3028" xfId="0" applyNumberFormat="1" applyFont="1" applyBorder="1" applyAlignment="1">
      <alignment vertical="top"/>
    </xf>
    <xf numFmtId="0" fontId="3029" fillId="0" borderId="3029" xfId="0" applyFont="1" applyBorder="1" applyAlignment="1">
      <alignment vertical="top"/>
    </xf>
    <xf numFmtId="0" fontId="3030" fillId="0" borderId="3030" xfId="0" applyFont="1" applyBorder="1" applyAlignment="1">
      <alignment vertical="top"/>
    </xf>
    <xf numFmtId="49" fontId="3031" fillId="0" borderId="3031" xfId="0" applyNumberFormat="1" applyFont="1" applyBorder="1" applyAlignment="1">
      <alignment vertical="top"/>
    </xf>
    <xf numFmtId="0" fontId="3032" fillId="0" borderId="3032" xfId="0" applyFont="1" applyBorder="1" applyAlignment="1">
      <alignment vertical="top"/>
    </xf>
    <xf numFmtId="0" fontId="3033" fillId="0" borderId="3033" xfId="0" applyFont="1" applyBorder="1" applyAlignment="1">
      <alignment vertical="top"/>
    </xf>
    <xf numFmtId="49" fontId="3034" fillId="0" borderId="3034" xfId="0" applyNumberFormat="1" applyFont="1" applyBorder="1" applyAlignment="1">
      <alignment vertical="top"/>
    </xf>
    <xf numFmtId="0" fontId="3035" fillId="0" borderId="3035" xfId="0" applyFont="1" applyBorder="1" applyAlignment="1">
      <alignment vertical="top"/>
    </xf>
    <xf numFmtId="0" fontId="3036" fillId="0" borderId="3036" xfId="0" applyFont="1" applyBorder="1" applyAlignment="1">
      <alignment vertical="top"/>
    </xf>
    <xf numFmtId="49" fontId="3037" fillId="0" borderId="3037" xfId="0" applyNumberFormat="1" applyFont="1" applyBorder="1" applyAlignment="1">
      <alignment vertical="top"/>
    </xf>
    <xf numFmtId="0" fontId="3038" fillId="0" borderId="3038" xfId="0" applyFont="1" applyBorder="1" applyAlignment="1">
      <alignment vertical="top"/>
    </xf>
    <xf numFmtId="0" fontId="3039" fillId="0" borderId="3039" xfId="0" applyFont="1" applyBorder="1" applyAlignment="1">
      <alignment vertical="top"/>
    </xf>
    <xf numFmtId="49" fontId="3040" fillId="0" borderId="3040" xfId="0" applyNumberFormat="1" applyFont="1" applyBorder="1" applyAlignment="1">
      <alignment vertical="top"/>
    </xf>
    <xf numFmtId="0" fontId="3041" fillId="0" borderId="3041" xfId="0" applyFont="1" applyBorder="1" applyAlignment="1">
      <alignment vertical="top"/>
    </xf>
    <xf numFmtId="0" fontId="3042" fillId="0" borderId="3042" xfId="0" applyFont="1" applyBorder="1" applyAlignment="1">
      <alignment vertical="top"/>
    </xf>
    <xf numFmtId="49" fontId="3043" fillId="0" borderId="3043" xfId="0" applyNumberFormat="1" applyFont="1" applyBorder="1" applyAlignment="1">
      <alignment vertical="top"/>
    </xf>
    <xf numFmtId="0" fontId="3044" fillId="0" borderId="3044" xfId="0" applyFont="1" applyBorder="1" applyAlignment="1">
      <alignment vertical="top"/>
    </xf>
    <xf numFmtId="0" fontId="3045" fillId="0" borderId="3045" xfId="0" applyFont="1" applyBorder="1" applyAlignment="1">
      <alignment vertical="top"/>
    </xf>
    <xf numFmtId="49" fontId="3046" fillId="0" borderId="3046" xfId="0" applyNumberFormat="1" applyFont="1" applyBorder="1" applyAlignment="1">
      <alignment vertical="top"/>
    </xf>
    <xf numFmtId="0" fontId="3047" fillId="0" borderId="3047" xfId="0" applyFont="1" applyBorder="1" applyAlignment="1">
      <alignment vertical="top"/>
    </xf>
    <xf numFmtId="0" fontId="3048" fillId="0" borderId="3048" xfId="0" applyFont="1" applyBorder="1" applyAlignment="1">
      <alignment vertical="top"/>
    </xf>
    <xf numFmtId="49" fontId="3049" fillId="0" borderId="3049" xfId="0" applyNumberFormat="1" applyFont="1" applyBorder="1" applyAlignment="1">
      <alignment vertical="top"/>
    </xf>
    <xf numFmtId="0" fontId="3050" fillId="0" borderId="3050" xfId="0" applyFont="1" applyBorder="1" applyAlignment="1">
      <alignment vertical="top"/>
    </xf>
    <xf numFmtId="0" fontId="3051" fillId="0" borderId="3051" xfId="0" applyFont="1" applyBorder="1" applyAlignment="1">
      <alignment vertical="top"/>
    </xf>
    <xf numFmtId="49" fontId="3052" fillId="0" borderId="3052" xfId="0" applyNumberFormat="1" applyFont="1" applyBorder="1" applyAlignment="1">
      <alignment vertical="top"/>
    </xf>
    <xf numFmtId="0" fontId="3053" fillId="0" borderId="3053" xfId="0" applyFont="1" applyBorder="1" applyAlignment="1">
      <alignment vertical="top"/>
    </xf>
    <xf numFmtId="0" fontId="3054" fillId="0" borderId="3054" xfId="0" applyFont="1" applyBorder="1" applyAlignment="1">
      <alignment vertical="top"/>
    </xf>
    <xf numFmtId="49" fontId="3055" fillId="0" borderId="3055" xfId="0" applyNumberFormat="1" applyFont="1" applyBorder="1" applyAlignment="1">
      <alignment vertical="top"/>
    </xf>
    <xf numFmtId="0" fontId="3056" fillId="0" borderId="3056" xfId="0" applyFont="1" applyBorder="1" applyAlignment="1">
      <alignment vertical="top"/>
    </xf>
    <xf numFmtId="0" fontId="3057" fillId="0" borderId="3057" xfId="0" applyFont="1" applyBorder="1" applyAlignment="1">
      <alignment vertical="top"/>
    </xf>
    <xf numFmtId="49" fontId="3058" fillId="0" borderId="3058" xfId="0" applyNumberFormat="1" applyFont="1" applyBorder="1" applyAlignment="1">
      <alignment vertical="top"/>
    </xf>
    <xf numFmtId="0" fontId="3059" fillId="0" borderId="3059" xfId="0" applyFont="1" applyBorder="1" applyAlignment="1">
      <alignment vertical="top"/>
    </xf>
    <xf numFmtId="0" fontId="3060" fillId="0" borderId="3060" xfId="0" applyFont="1" applyBorder="1" applyAlignment="1">
      <alignment vertical="top"/>
    </xf>
    <xf numFmtId="49" fontId="3061" fillId="0" borderId="3061" xfId="0" applyNumberFormat="1" applyFont="1" applyBorder="1" applyAlignment="1">
      <alignment vertical="top"/>
    </xf>
    <xf numFmtId="0" fontId="3062" fillId="0" borderId="3062" xfId="0" applyFont="1" applyBorder="1" applyAlignment="1">
      <alignment vertical="top"/>
    </xf>
    <xf numFmtId="0" fontId="3063" fillId="0" borderId="3063" xfId="0" applyFont="1" applyBorder="1" applyAlignment="1">
      <alignment vertical="top"/>
    </xf>
    <xf numFmtId="49" fontId="3064" fillId="0" borderId="3064" xfId="0" applyNumberFormat="1" applyFont="1" applyBorder="1" applyAlignment="1">
      <alignment vertical="top"/>
    </xf>
    <xf numFmtId="0" fontId="3065" fillId="0" borderId="3065" xfId="0" applyFont="1" applyBorder="1" applyAlignment="1">
      <alignment vertical="top"/>
    </xf>
    <xf numFmtId="0" fontId="3066" fillId="0" borderId="3066" xfId="0" applyFont="1" applyBorder="1" applyAlignment="1">
      <alignment vertical="top"/>
    </xf>
    <xf numFmtId="49" fontId="3067" fillId="0" borderId="3067" xfId="0" applyNumberFormat="1" applyFont="1" applyBorder="1" applyAlignment="1">
      <alignment vertical="top"/>
    </xf>
    <xf numFmtId="0" fontId="3068" fillId="0" borderId="3068" xfId="0" applyFont="1" applyBorder="1" applyAlignment="1">
      <alignment vertical="top"/>
    </xf>
    <xf numFmtId="0" fontId="3069" fillId="0" borderId="3069" xfId="0" applyFont="1" applyBorder="1" applyAlignment="1">
      <alignment vertical="top"/>
    </xf>
    <xf numFmtId="49" fontId="3070" fillId="0" borderId="3070" xfId="0" applyNumberFormat="1" applyFont="1" applyBorder="1" applyAlignment="1">
      <alignment vertical="top"/>
    </xf>
    <xf numFmtId="0" fontId="3071" fillId="0" borderId="3071" xfId="0" applyFont="1" applyBorder="1" applyAlignment="1">
      <alignment vertical="top"/>
    </xf>
    <xf numFmtId="0" fontId="3072" fillId="0" borderId="3072" xfId="0" applyFont="1" applyBorder="1" applyAlignment="1">
      <alignment vertical="top"/>
    </xf>
    <xf numFmtId="49" fontId="3073" fillId="0" borderId="3073" xfId="0" applyNumberFormat="1" applyFont="1" applyBorder="1" applyAlignment="1">
      <alignment vertical="top"/>
    </xf>
    <xf numFmtId="0" fontId="3074" fillId="0" borderId="3074" xfId="0" applyFont="1" applyBorder="1" applyAlignment="1">
      <alignment vertical="top"/>
    </xf>
    <xf numFmtId="0" fontId="3075" fillId="0" borderId="3075" xfId="0" applyFont="1" applyBorder="1" applyAlignment="1">
      <alignment vertical="top"/>
    </xf>
    <xf numFmtId="49" fontId="3076" fillId="0" borderId="3076" xfId="0" applyNumberFormat="1" applyFont="1" applyBorder="1" applyAlignment="1">
      <alignment vertical="top"/>
    </xf>
    <xf numFmtId="0" fontId="3077" fillId="0" borderId="3077" xfId="0" applyFont="1" applyBorder="1" applyAlignment="1">
      <alignment vertical="top"/>
    </xf>
    <xf numFmtId="0" fontId="3078" fillId="0" borderId="3078" xfId="0" applyFont="1" applyBorder="1" applyAlignment="1">
      <alignment vertical="top"/>
    </xf>
    <xf numFmtId="49" fontId="3079" fillId="0" borderId="3079" xfId="0" applyNumberFormat="1" applyFont="1" applyBorder="1" applyAlignment="1">
      <alignment vertical="top"/>
    </xf>
    <xf numFmtId="0" fontId="3080" fillId="0" borderId="3080" xfId="0" applyFont="1" applyBorder="1" applyAlignment="1">
      <alignment vertical="top"/>
    </xf>
    <xf numFmtId="0" fontId="3081" fillId="0" borderId="3081" xfId="0" applyFont="1" applyBorder="1" applyAlignment="1">
      <alignment vertical="top"/>
    </xf>
    <xf numFmtId="49" fontId="3082" fillId="0" borderId="3082" xfId="0" applyNumberFormat="1" applyFont="1" applyBorder="1" applyAlignment="1">
      <alignment vertical="top"/>
    </xf>
    <xf numFmtId="0" fontId="3083" fillId="0" borderId="3083" xfId="0" applyFont="1" applyBorder="1" applyAlignment="1">
      <alignment vertical="top"/>
    </xf>
    <xf numFmtId="0" fontId="3084" fillId="0" borderId="3084" xfId="0" applyFont="1" applyBorder="1" applyAlignment="1">
      <alignment vertical="top"/>
    </xf>
    <xf numFmtId="49" fontId="3085" fillId="0" borderId="3085" xfId="0" applyNumberFormat="1" applyFont="1" applyBorder="1" applyAlignment="1">
      <alignment vertical="top"/>
    </xf>
    <xf numFmtId="0" fontId="3086" fillId="0" borderId="3086" xfId="0" applyFont="1" applyBorder="1" applyAlignment="1">
      <alignment vertical="top"/>
    </xf>
    <xf numFmtId="0" fontId="3087" fillId="0" borderId="3087" xfId="0" applyFont="1" applyBorder="1" applyAlignment="1">
      <alignment vertical="top"/>
    </xf>
    <xf numFmtId="49" fontId="3088" fillId="0" borderId="3088" xfId="0" applyNumberFormat="1" applyFont="1" applyBorder="1" applyAlignment="1">
      <alignment vertical="top"/>
    </xf>
    <xf numFmtId="0" fontId="3089" fillId="0" borderId="3089" xfId="0" applyFont="1" applyBorder="1" applyAlignment="1">
      <alignment vertical="top"/>
    </xf>
    <xf numFmtId="0" fontId="3090" fillId="0" borderId="3090" xfId="0" applyFont="1" applyBorder="1" applyAlignment="1">
      <alignment vertical="top"/>
    </xf>
    <xf numFmtId="49" fontId="3091" fillId="0" borderId="3091" xfId="0" applyNumberFormat="1" applyFont="1" applyBorder="1" applyAlignment="1">
      <alignment vertical="top"/>
    </xf>
    <xf numFmtId="0" fontId="3092" fillId="0" borderId="3092" xfId="0" applyFont="1" applyBorder="1" applyAlignment="1">
      <alignment vertical="top"/>
    </xf>
    <xf numFmtId="0" fontId="3093" fillId="0" borderId="3093" xfId="0" applyFont="1" applyBorder="1" applyAlignment="1">
      <alignment vertical="top"/>
    </xf>
    <xf numFmtId="49" fontId="3094" fillId="0" borderId="3094" xfId="0" applyNumberFormat="1" applyFont="1" applyBorder="1" applyAlignment="1">
      <alignment vertical="top"/>
    </xf>
    <xf numFmtId="0" fontId="3095" fillId="0" borderId="3095" xfId="0" applyFont="1" applyBorder="1" applyAlignment="1">
      <alignment vertical="top"/>
    </xf>
    <xf numFmtId="0" fontId="3096" fillId="0" borderId="3096" xfId="0" applyFont="1" applyBorder="1" applyAlignment="1">
      <alignment vertical="top"/>
    </xf>
    <xf numFmtId="49" fontId="3097" fillId="0" borderId="3097" xfId="0" applyNumberFormat="1" applyFont="1" applyBorder="1" applyAlignment="1">
      <alignment vertical="top"/>
    </xf>
    <xf numFmtId="0" fontId="3098" fillId="0" borderId="3098" xfId="0" applyFont="1" applyBorder="1" applyAlignment="1">
      <alignment vertical="top"/>
    </xf>
    <xf numFmtId="0" fontId="3099" fillId="0" borderId="3099" xfId="0" applyFont="1" applyBorder="1" applyAlignment="1">
      <alignment vertical="top"/>
    </xf>
    <xf numFmtId="49" fontId="3100" fillId="0" borderId="3100" xfId="0" applyNumberFormat="1" applyFont="1" applyBorder="1" applyAlignment="1">
      <alignment vertical="top"/>
    </xf>
    <xf numFmtId="0" fontId="3101" fillId="0" borderId="3101" xfId="0" applyFont="1" applyBorder="1" applyAlignment="1">
      <alignment vertical="top"/>
    </xf>
    <xf numFmtId="0" fontId="3102" fillId="0" borderId="3102" xfId="0" applyFont="1" applyBorder="1" applyAlignment="1">
      <alignment vertical="top"/>
    </xf>
    <xf numFmtId="49" fontId="3103" fillId="0" borderId="3103" xfId="0" applyNumberFormat="1" applyFont="1" applyBorder="1" applyAlignment="1">
      <alignment vertical="top"/>
    </xf>
    <xf numFmtId="0" fontId="3104" fillId="0" borderId="3104" xfId="0" applyFont="1" applyBorder="1" applyAlignment="1">
      <alignment vertical="top"/>
    </xf>
    <xf numFmtId="0" fontId="3105" fillId="0" borderId="3105" xfId="0" applyFont="1" applyBorder="1" applyAlignment="1">
      <alignment vertical="top"/>
    </xf>
    <xf numFmtId="49" fontId="3106" fillId="0" borderId="3106" xfId="0" applyNumberFormat="1" applyFont="1" applyBorder="1" applyAlignment="1">
      <alignment vertical="top"/>
    </xf>
    <xf numFmtId="0" fontId="3107" fillId="0" borderId="3107" xfId="0" applyFont="1" applyBorder="1" applyAlignment="1">
      <alignment vertical="top"/>
    </xf>
    <xf numFmtId="0" fontId="3108" fillId="0" borderId="3108" xfId="0" applyFont="1" applyBorder="1" applyAlignment="1">
      <alignment vertical="top"/>
    </xf>
    <xf numFmtId="49" fontId="3109" fillId="0" borderId="3109" xfId="0" applyNumberFormat="1" applyFont="1" applyBorder="1" applyAlignment="1">
      <alignment vertical="top"/>
    </xf>
    <xf numFmtId="0" fontId="3110" fillId="0" borderId="3110" xfId="0" applyFont="1" applyBorder="1" applyAlignment="1">
      <alignment vertical="top"/>
    </xf>
    <xf numFmtId="0" fontId="3111" fillId="0" borderId="3111" xfId="0" applyFont="1" applyBorder="1" applyAlignment="1">
      <alignment vertical="top"/>
    </xf>
    <xf numFmtId="49" fontId="3112" fillId="0" borderId="3112" xfId="0" applyNumberFormat="1" applyFont="1" applyBorder="1" applyAlignment="1">
      <alignment vertical="top"/>
    </xf>
    <xf numFmtId="0" fontId="3113" fillId="0" borderId="3113" xfId="0" applyFont="1" applyBorder="1" applyAlignment="1">
      <alignment vertical="top"/>
    </xf>
    <xf numFmtId="0" fontId="3114" fillId="0" borderId="3114" xfId="0" applyFont="1" applyBorder="1" applyAlignment="1">
      <alignment vertical="top"/>
    </xf>
    <xf numFmtId="49" fontId="3115" fillId="0" borderId="3115" xfId="0" applyNumberFormat="1" applyFont="1" applyBorder="1" applyAlignment="1">
      <alignment vertical="top"/>
    </xf>
    <xf numFmtId="0" fontId="3116" fillId="0" borderId="3116" xfId="0" applyFont="1" applyBorder="1" applyAlignment="1">
      <alignment vertical="top"/>
    </xf>
    <xf numFmtId="0" fontId="3117" fillId="0" borderId="3117" xfId="0" applyFont="1" applyBorder="1" applyAlignment="1">
      <alignment vertical="top"/>
    </xf>
    <xf numFmtId="49" fontId="3118" fillId="0" borderId="3118" xfId="0" applyNumberFormat="1" applyFont="1" applyBorder="1" applyAlignment="1">
      <alignment vertical="top"/>
    </xf>
    <xf numFmtId="0" fontId="3119" fillId="0" borderId="3119" xfId="0" applyFont="1" applyBorder="1" applyAlignment="1">
      <alignment vertical="top"/>
    </xf>
    <xf numFmtId="0" fontId="3120" fillId="0" borderId="3120" xfId="0" applyFont="1" applyBorder="1" applyAlignment="1">
      <alignment vertical="top"/>
    </xf>
    <xf numFmtId="49" fontId="3121" fillId="0" borderId="3121" xfId="0" applyNumberFormat="1" applyFont="1" applyBorder="1" applyAlignment="1">
      <alignment vertical="top"/>
    </xf>
    <xf numFmtId="0" fontId="3122" fillId="0" borderId="3122" xfId="0" applyFont="1" applyBorder="1" applyAlignment="1">
      <alignment vertical="top"/>
    </xf>
    <xf numFmtId="0" fontId="3123" fillId="0" borderId="3123" xfId="0" applyFont="1" applyBorder="1" applyAlignment="1">
      <alignment vertical="top"/>
    </xf>
    <xf numFmtId="49" fontId="3124" fillId="0" borderId="3124" xfId="0" applyNumberFormat="1" applyFont="1" applyBorder="1" applyAlignment="1">
      <alignment vertical="top"/>
    </xf>
    <xf numFmtId="0" fontId="3125" fillId="0" borderId="3125" xfId="0" applyFont="1" applyBorder="1" applyAlignment="1">
      <alignment vertical="top"/>
    </xf>
    <xf numFmtId="0" fontId="3126" fillId="0" borderId="3126" xfId="0" applyFont="1" applyBorder="1" applyAlignment="1">
      <alignment vertical="top"/>
    </xf>
    <xf numFmtId="49" fontId="3127" fillId="0" borderId="3127" xfId="0" applyNumberFormat="1" applyFont="1" applyBorder="1" applyAlignment="1">
      <alignment vertical="top"/>
    </xf>
    <xf numFmtId="0" fontId="3128" fillId="0" borderId="3128" xfId="0" applyFont="1" applyBorder="1" applyAlignment="1">
      <alignment vertical="top"/>
    </xf>
    <xf numFmtId="0" fontId="3129" fillId="0" borderId="3129" xfId="0" applyFont="1" applyBorder="1" applyAlignment="1">
      <alignment vertical="top"/>
    </xf>
    <xf numFmtId="49" fontId="3130" fillId="0" borderId="3130" xfId="0" applyNumberFormat="1" applyFont="1" applyBorder="1" applyAlignment="1">
      <alignment vertical="top"/>
    </xf>
    <xf numFmtId="0" fontId="3131" fillId="0" borderId="3131" xfId="0" applyFont="1" applyBorder="1" applyAlignment="1">
      <alignment vertical="top"/>
    </xf>
    <xf numFmtId="0" fontId="3132" fillId="0" borderId="3132" xfId="0" applyFont="1" applyBorder="1" applyAlignment="1">
      <alignment vertical="top"/>
    </xf>
    <xf numFmtId="49" fontId="3133" fillId="0" borderId="3133" xfId="0" applyNumberFormat="1" applyFont="1" applyBorder="1" applyAlignment="1">
      <alignment vertical="top"/>
    </xf>
    <xf numFmtId="0" fontId="3134" fillId="0" borderId="3134" xfId="0" applyFont="1" applyBorder="1" applyAlignment="1">
      <alignment vertical="top"/>
    </xf>
    <xf numFmtId="0" fontId="3135" fillId="0" borderId="3135" xfId="0" applyFont="1" applyBorder="1" applyAlignment="1">
      <alignment vertical="top"/>
    </xf>
    <xf numFmtId="49" fontId="3136" fillId="0" borderId="3136" xfId="0" applyNumberFormat="1" applyFont="1" applyBorder="1" applyAlignment="1">
      <alignment vertical="top"/>
    </xf>
    <xf numFmtId="0" fontId="3137" fillId="0" borderId="3137" xfId="0" applyFont="1" applyBorder="1" applyAlignment="1">
      <alignment vertical="top"/>
    </xf>
    <xf numFmtId="0" fontId="3138" fillId="0" borderId="3138" xfId="0" applyFont="1" applyBorder="1" applyAlignment="1">
      <alignment vertical="top"/>
    </xf>
    <xf numFmtId="49" fontId="3139" fillId="0" borderId="3139" xfId="0" applyNumberFormat="1" applyFont="1" applyBorder="1" applyAlignment="1">
      <alignment vertical="top"/>
    </xf>
    <xf numFmtId="0" fontId="3140" fillId="0" borderId="3140" xfId="0" applyFont="1" applyBorder="1" applyAlignment="1">
      <alignment vertical="top"/>
    </xf>
    <xf numFmtId="0" fontId="3141" fillId="0" borderId="3141" xfId="0" applyFont="1" applyBorder="1" applyAlignment="1">
      <alignment vertical="top"/>
    </xf>
    <xf numFmtId="49" fontId="3142" fillId="0" borderId="3142" xfId="0" applyNumberFormat="1" applyFont="1" applyBorder="1" applyAlignment="1">
      <alignment vertical="top"/>
    </xf>
    <xf numFmtId="0" fontId="3143" fillId="0" borderId="3143" xfId="0" applyFont="1" applyBorder="1" applyAlignment="1">
      <alignment vertical="top"/>
    </xf>
    <xf numFmtId="0" fontId="3144" fillId="0" borderId="3144" xfId="0" applyFont="1" applyBorder="1" applyAlignment="1">
      <alignment vertical="top"/>
    </xf>
    <xf numFmtId="49" fontId="3145" fillId="0" borderId="3145" xfId="0" applyNumberFormat="1" applyFont="1" applyBorder="1" applyAlignment="1">
      <alignment vertical="top"/>
    </xf>
    <xf numFmtId="0" fontId="3146" fillId="0" borderId="3146" xfId="0" applyFont="1" applyBorder="1" applyAlignment="1">
      <alignment vertical="top"/>
    </xf>
    <xf numFmtId="0" fontId="3147" fillId="0" borderId="3147" xfId="0" applyFont="1" applyBorder="1" applyAlignment="1">
      <alignment vertical="top"/>
    </xf>
    <xf numFmtId="49" fontId="3148" fillId="0" borderId="3148" xfId="0" applyNumberFormat="1" applyFont="1" applyBorder="1" applyAlignment="1">
      <alignment vertical="top"/>
    </xf>
    <xf numFmtId="0" fontId="3149" fillId="0" borderId="3149" xfId="0" applyFont="1" applyBorder="1" applyAlignment="1">
      <alignment vertical="top"/>
    </xf>
    <xf numFmtId="0" fontId="3150" fillId="0" borderId="3150" xfId="0" applyFont="1" applyBorder="1" applyAlignment="1">
      <alignment vertical="top"/>
    </xf>
    <xf numFmtId="49" fontId="3151" fillId="0" borderId="3151" xfId="0" applyNumberFormat="1" applyFont="1" applyBorder="1" applyAlignment="1">
      <alignment vertical="top"/>
    </xf>
    <xf numFmtId="0" fontId="3152" fillId="0" borderId="3152" xfId="0" applyFont="1" applyBorder="1" applyAlignment="1">
      <alignment vertical="top"/>
    </xf>
    <xf numFmtId="0" fontId="3153" fillId="0" borderId="3153" xfId="0" applyFont="1" applyBorder="1" applyAlignment="1">
      <alignment vertical="top"/>
    </xf>
    <xf numFmtId="49" fontId="3154" fillId="0" borderId="3154" xfId="0" applyNumberFormat="1" applyFont="1" applyBorder="1" applyAlignment="1">
      <alignment vertical="top"/>
    </xf>
    <xf numFmtId="0" fontId="3155" fillId="0" borderId="3155" xfId="0" applyFont="1" applyBorder="1" applyAlignment="1">
      <alignment vertical="top"/>
    </xf>
    <xf numFmtId="0" fontId="3156" fillId="0" borderId="3156" xfId="0" applyFont="1" applyBorder="1" applyAlignment="1">
      <alignment vertical="top"/>
    </xf>
    <xf numFmtId="49" fontId="3157" fillId="0" borderId="3157" xfId="0" applyNumberFormat="1" applyFont="1" applyBorder="1" applyAlignment="1">
      <alignment vertical="top"/>
    </xf>
    <xf numFmtId="0" fontId="3158" fillId="0" borderId="3158" xfId="0" applyFont="1" applyBorder="1" applyAlignment="1">
      <alignment vertical="top"/>
    </xf>
    <xf numFmtId="0" fontId="3159" fillId="0" borderId="3159" xfId="0" applyFont="1" applyBorder="1" applyAlignment="1">
      <alignment vertical="top"/>
    </xf>
    <xf numFmtId="49" fontId="3160" fillId="0" borderId="3160" xfId="0" applyNumberFormat="1" applyFont="1" applyBorder="1" applyAlignment="1">
      <alignment vertical="top"/>
    </xf>
    <xf numFmtId="0" fontId="3161" fillId="0" borderId="3161" xfId="0" applyFont="1" applyBorder="1" applyAlignment="1">
      <alignment vertical="top"/>
    </xf>
    <xf numFmtId="0" fontId="3162" fillId="0" borderId="3162" xfId="0" applyFont="1" applyBorder="1" applyAlignment="1">
      <alignment vertical="top"/>
    </xf>
    <xf numFmtId="49" fontId="3163" fillId="0" borderId="3163" xfId="0" applyNumberFormat="1" applyFont="1" applyBorder="1" applyAlignment="1">
      <alignment vertical="top"/>
    </xf>
    <xf numFmtId="0" fontId="3164" fillId="0" borderId="3164" xfId="0" applyFont="1" applyBorder="1" applyAlignment="1">
      <alignment vertical="top"/>
    </xf>
    <xf numFmtId="0" fontId="3165" fillId="0" borderId="3165" xfId="0" applyFont="1" applyBorder="1" applyAlignment="1">
      <alignment vertical="top"/>
    </xf>
    <xf numFmtId="49" fontId="3166" fillId="0" borderId="3166" xfId="0" applyNumberFormat="1" applyFont="1" applyBorder="1" applyAlignment="1">
      <alignment vertical="top"/>
    </xf>
    <xf numFmtId="0" fontId="3167" fillId="0" borderId="3167" xfId="0" applyFont="1" applyBorder="1" applyAlignment="1">
      <alignment vertical="top"/>
    </xf>
    <xf numFmtId="0" fontId="3168" fillId="0" borderId="3168" xfId="0" applyFont="1" applyBorder="1" applyAlignment="1">
      <alignment vertical="top"/>
    </xf>
    <xf numFmtId="49" fontId="3169" fillId="0" borderId="3169" xfId="0" applyNumberFormat="1" applyFont="1" applyBorder="1" applyAlignment="1">
      <alignment vertical="top"/>
    </xf>
    <xf numFmtId="0" fontId="3170" fillId="0" borderId="3170" xfId="0" applyFont="1" applyBorder="1" applyAlignment="1">
      <alignment vertical="top"/>
    </xf>
    <xf numFmtId="0" fontId="3171" fillId="0" borderId="3171" xfId="0" applyFont="1" applyBorder="1" applyAlignment="1">
      <alignment vertical="top"/>
    </xf>
    <xf numFmtId="49" fontId="3172" fillId="0" borderId="3172" xfId="0" applyNumberFormat="1" applyFont="1" applyBorder="1" applyAlignment="1">
      <alignment vertical="top"/>
    </xf>
    <xf numFmtId="0" fontId="3173" fillId="0" borderId="3173" xfId="0" applyFont="1" applyBorder="1" applyAlignment="1">
      <alignment vertical="top"/>
    </xf>
    <xf numFmtId="0" fontId="3174" fillId="0" borderId="3174" xfId="0" applyFont="1" applyBorder="1" applyAlignment="1">
      <alignment vertical="top"/>
    </xf>
    <xf numFmtId="49" fontId="3175" fillId="0" borderId="3175" xfId="0" applyNumberFormat="1" applyFont="1" applyBorder="1" applyAlignment="1">
      <alignment vertical="top"/>
    </xf>
    <xf numFmtId="0" fontId="3176" fillId="0" borderId="3176" xfId="0" applyFont="1" applyBorder="1" applyAlignment="1">
      <alignment vertical="top"/>
    </xf>
    <xf numFmtId="0" fontId="3177" fillId="0" borderId="3177" xfId="0" applyFont="1" applyBorder="1" applyAlignment="1">
      <alignment vertical="top"/>
    </xf>
    <xf numFmtId="49" fontId="3178" fillId="0" borderId="3178" xfId="0" applyNumberFormat="1" applyFont="1" applyBorder="1" applyAlignment="1">
      <alignment vertical="top"/>
    </xf>
    <xf numFmtId="0" fontId="3179" fillId="0" borderId="3179" xfId="0" applyFont="1" applyBorder="1" applyAlignment="1">
      <alignment vertical="top"/>
    </xf>
    <xf numFmtId="0" fontId="3180" fillId="0" borderId="3180" xfId="0" applyFont="1" applyBorder="1" applyAlignment="1">
      <alignment vertical="top"/>
    </xf>
    <xf numFmtId="49" fontId="3181" fillId="0" borderId="3181" xfId="0" applyNumberFormat="1" applyFont="1" applyBorder="1" applyAlignment="1">
      <alignment vertical="top"/>
    </xf>
    <xf numFmtId="0" fontId="3182" fillId="0" borderId="3182" xfId="0" applyFont="1" applyBorder="1" applyAlignment="1">
      <alignment vertical="top"/>
    </xf>
    <xf numFmtId="0" fontId="3183" fillId="0" borderId="3183" xfId="0" applyFont="1" applyBorder="1" applyAlignment="1">
      <alignment vertical="top"/>
    </xf>
    <xf numFmtId="49" fontId="3184" fillId="0" borderId="3184" xfId="0" applyNumberFormat="1" applyFont="1" applyBorder="1" applyAlignment="1">
      <alignment vertical="top"/>
    </xf>
    <xf numFmtId="0" fontId="3185" fillId="0" borderId="3185" xfId="0" applyFont="1" applyBorder="1" applyAlignment="1">
      <alignment vertical="top"/>
    </xf>
    <xf numFmtId="0" fontId="3186" fillId="0" borderId="3186" xfId="0" applyFont="1" applyBorder="1" applyAlignment="1">
      <alignment vertical="top"/>
    </xf>
    <xf numFmtId="49" fontId="3187" fillId="0" borderId="3187" xfId="0" applyNumberFormat="1" applyFont="1" applyBorder="1" applyAlignment="1">
      <alignment vertical="top"/>
    </xf>
    <xf numFmtId="0" fontId="3188" fillId="0" borderId="3188" xfId="0" applyFont="1" applyBorder="1" applyAlignment="1">
      <alignment vertical="top"/>
    </xf>
    <xf numFmtId="0" fontId="3189" fillId="0" borderId="3189" xfId="0" applyFont="1" applyBorder="1" applyAlignment="1">
      <alignment vertical="top"/>
    </xf>
    <xf numFmtId="49" fontId="3190" fillId="0" borderId="3190" xfId="0" applyNumberFormat="1" applyFont="1" applyBorder="1" applyAlignment="1">
      <alignment vertical="top"/>
    </xf>
    <xf numFmtId="0" fontId="3191" fillId="0" borderId="3191" xfId="0" applyFont="1" applyBorder="1" applyAlignment="1">
      <alignment vertical="top"/>
    </xf>
    <xf numFmtId="0" fontId="3192" fillId="0" borderId="3192" xfId="0" applyFont="1" applyBorder="1" applyAlignment="1">
      <alignment vertical="top"/>
    </xf>
    <xf numFmtId="49" fontId="3193" fillId="0" borderId="3193" xfId="0" applyNumberFormat="1" applyFont="1" applyBorder="1" applyAlignment="1">
      <alignment vertical="top"/>
    </xf>
    <xf numFmtId="0" fontId="3194" fillId="0" borderId="3194" xfId="0" applyFont="1" applyBorder="1" applyAlignment="1">
      <alignment vertical="top"/>
    </xf>
    <xf numFmtId="0" fontId="3195" fillId="0" borderId="3195" xfId="0" applyFont="1" applyBorder="1" applyAlignment="1">
      <alignment vertical="top"/>
    </xf>
    <xf numFmtId="49" fontId="3196" fillId="0" borderId="3196" xfId="0" applyNumberFormat="1" applyFont="1" applyBorder="1" applyAlignment="1">
      <alignment vertical="top"/>
    </xf>
    <xf numFmtId="0" fontId="3197" fillId="0" borderId="3197" xfId="0" applyFont="1" applyBorder="1" applyAlignment="1">
      <alignment vertical="top"/>
    </xf>
    <xf numFmtId="0" fontId="3198" fillId="0" borderId="3198" xfId="0" applyFont="1" applyBorder="1" applyAlignment="1">
      <alignment vertical="top"/>
    </xf>
    <xf numFmtId="49" fontId="3199" fillId="0" borderId="3199" xfId="0" applyNumberFormat="1" applyFont="1" applyBorder="1" applyAlignment="1">
      <alignment vertical="top"/>
    </xf>
    <xf numFmtId="0" fontId="3200" fillId="0" borderId="3200" xfId="0" applyFont="1" applyBorder="1" applyAlignment="1">
      <alignment vertical="top"/>
    </xf>
    <xf numFmtId="0" fontId="3201" fillId="0" borderId="3201" xfId="0" applyFont="1" applyBorder="1" applyAlignment="1">
      <alignment vertical="top"/>
    </xf>
    <xf numFmtId="49" fontId="3202" fillId="0" borderId="3202" xfId="0" applyNumberFormat="1" applyFont="1" applyBorder="1" applyAlignment="1">
      <alignment vertical="top"/>
    </xf>
    <xf numFmtId="0" fontId="3203" fillId="0" borderId="3203" xfId="0" applyFont="1" applyBorder="1" applyAlignment="1">
      <alignment vertical="top"/>
    </xf>
    <xf numFmtId="0" fontId="3204" fillId="0" borderId="3204" xfId="0" applyFont="1" applyBorder="1" applyAlignment="1">
      <alignment vertical="top"/>
    </xf>
    <xf numFmtId="49" fontId="3205" fillId="0" borderId="3205" xfId="0" applyNumberFormat="1" applyFont="1" applyBorder="1" applyAlignment="1">
      <alignment vertical="top"/>
    </xf>
    <xf numFmtId="0" fontId="3206" fillId="0" borderId="3206" xfId="0" applyFont="1" applyBorder="1" applyAlignment="1">
      <alignment vertical="top"/>
    </xf>
    <xf numFmtId="0" fontId="3207" fillId="0" borderId="3207" xfId="0" applyFont="1" applyBorder="1" applyAlignment="1">
      <alignment vertical="top"/>
    </xf>
    <xf numFmtId="49" fontId="3208" fillId="0" borderId="3208" xfId="0" applyNumberFormat="1" applyFont="1" applyBorder="1" applyAlignment="1">
      <alignment vertical="top"/>
    </xf>
    <xf numFmtId="0" fontId="3209" fillId="0" borderId="3209" xfId="0" applyFont="1" applyBorder="1" applyAlignment="1">
      <alignment vertical="top"/>
    </xf>
    <xf numFmtId="0" fontId="3210" fillId="0" borderId="3210" xfId="0" applyFont="1" applyBorder="1" applyAlignment="1">
      <alignment vertical="top"/>
    </xf>
    <xf numFmtId="49" fontId="3211" fillId="0" borderId="3211" xfId="0" applyNumberFormat="1" applyFont="1" applyBorder="1" applyAlignment="1">
      <alignment vertical="top"/>
    </xf>
    <xf numFmtId="0" fontId="3212" fillId="0" borderId="3212" xfId="0" applyFont="1" applyBorder="1" applyAlignment="1">
      <alignment vertical="top"/>
    </xf>
    <xf numFmtId="0" fontId="3213" fillId="0" borderId="3213" xfId="0" applyFont="1" applyBorder="1" applyAlignment="1">
      <alignment vertical="top"/>
    </xf>
    <xf numFmtId="49" fontId="3214" fillId="0" borderId="3214" xfId="0" applyNumberFormat="1" applyFont="1" applyBorder="1" applyAlignment="1">
      <alignment vertical="top"/>
    </xf>
    <xf numFmtId="0" fontId="3215" fillId="0" borderId="3215" xfId="0" applyFont="1" applyBorder="1" applyAlignment="1">
      <alignment vertical="top"/>
    </xf>
    <xf numFmtId="0" fontId="3216" fillId="0" borderId="3216" xfId="0" applyFont="1" applyBorder="1" applyAlignment="1">
      <alignment vertical="top"/>
    </xf>
    <xf numFmtId="49" fontId="3217" fillId="0" borderId="3217" xfId="0" applyNumberFormat="1" applyFont="1" applyBorder="1" applyAlignment="1">
      <alignment vertical="top"/>
    </xf>
    <xf numFmtId="0" fontId="3218" fillId="0" borderId="3218" xfId="0" applyFont="1" applyBorder="1" applyAlignment="1">
      <alignment vertical="top"/>
    </xf>
    <xf numFmtId="0" fontId="3219" fillId="0" borderId="3219" xfId="0" applyFont="1" applyBorder="1" applyAlignment="1">
      <alignment vertical="top"/>
    </xf>
    <xf numFmtId="49" fontId="3220" fillId="0" borderId="3220" xfId="0" applyNumberFormat="1" applyFont="1" applyBorder="1" applyAlignment="1">
      <alignment vertical="top"/>
    </xf>
    <xf numFmtId="0" fontId="3221" fillId="0" borderId="3221" xfId="0" applyFont="1" applyBorder="1" applyAlignment="1">
      <alignment vertical="top"/>
    </xf>
    <xf numFmtId="0" fontId="3222" fillId="0" borderId="3222" xfId="0" applyFont="1" applyBorder="1" applyAlignment="1">
      <alignment vertical="top"/>
    </xf>
    <xf numFmtId="49" fontId="3223" fillId="0" borderId="3223" xfId="0" applyNumberFormat="1" applyFont="1" applyBorder="1" applyAlignment="1">
      <alignment vertical="top"/>
    </xf>
    <xf numFmtId="0" fontId="3224" fillId="0" borderId="3224" xfId="0" applyFont="1" applyBorder="1" applyAlignment="1">
      <alignment vertical="top"/>
    </xf>
    <xf numFmtId="0" fontId="3225" fillId="0" borderId="3225" xfId="0" applyFont="1" applyBorder="1" applyAlignment="1">
      <alignment vertical="top"/>
    </xf>
    <xf numFmtId="49" fontId="3226" fillId="0" borderId="3226" xfId="0" applyNumberFormat="1" applyFont="1" applyBorder="1" applyAlignment="1">
      <alignment vertical="top"/>
    </xf>
    <xf numFmtId="0" fontId="3227" fillId="0" borderId="3227" xfId="0" applyFont="1" applyBorder="1" applyAlignment="1">
      <alignment vertical="top"/>
    </xf>
    <xf numFmtId="0" fontId="3228" fillId="0" borderId="3228" xfId="0" applyFont="1" applyBorder="1" applyAlignment="1">
      <alignment vertical="top"/>
    </xf>
    <xf numFmtId="49" fontId="3229" fillId="0" borderId="3229" xfId="0" applyNumberFormat="1" applyFont="1" applyBorder="1" applyAlignment="1">
      <alignment vertical="top"/>
    </xf>
    <xf numFmtId="0" fontId="3230" fillId="0" borderId="3230" xfId="0" applyFont="1" applyBorder="1" applyAlignment="1">
      <alignment vertical="top"/>
    </xf>
    <xf numFmtId="0" fontId="3231" fillId="0" borderId="3231" xfId="0" applyFont="1" applyBorder="1" applyAlignment="1">
      <alignment vertical="top"/>
    </xf>
    <xf numFmtId="49" fontId="3232" fillId="0" borderId="3232" xfId="0" applyNumberFormat="1" applyFont="1" applyBorder="1" applyAlignment="1">
      <alignment vertical="top"/>
    </xf>
    <xf numFmtId="0" fontId="3233" fillId="0" borderId="3233" xfId="0" applyFont="1" applyBorder="1" applyAlignment="1">
      <alignment vertical="top"/>
    </xf>
    <xf numFmtId="0" fontId="3234" fillId="0" borderId="3234" xfId="0" applyFont="1" applyBorder="1" applyAlignment="1">
      <alignment vertical="top"/>
    </xf>
    <xf numFmtId="49" fontId="3235" fillId="0" borderId="3235" xfId="0" applyNumberFormat="1" applyFont="1" applyBorder="1" applyAlignment="1">
      <alignment vertical="top"/>
    </xf>
    <xf numFmtId="0" fontId="3236" fillId="0" borderId="3236" xfId="0" applyFont="1" applyBorder="1" applyAlignment="1">
      <alignment vertical="top"/>
    </xf>
    <xf numFmtId="0" fontId="3237" fillId="0" borderId="3237" xfId="0" applyFont="1" applyBorder="1" applyAlignment="1">
      <alignment vertical="top"/>
    </xf>
    <xf numFmtId="49" fontId="3238" fillId="0" borderId="3238" xfId="0" applyNumberFormat="1" applyFont="1" applyBorder="1" applyAlignment="1">
      <alignment vertical="top"/>
    </xf>
    <xf numFmtId="0" fontId="3239" fillId="0" borderId="3239" xfId="0" applyFont="1" applyBorder="1" applyAlignment="1">
      <alignment vertical="top"/>
    </xf>
    <xf numFmtId="0" fontId="3240" fillId="0" borderId="3240" xfId="0" applyFont="1" applyBorder="1" applyAlignment="1">
      <alignment vertical="top"/>
    </xf>
    <xf numFmtId="49" fontId="3241" fillId="0" borderId="3241" xfId="0" applyNumberFormat="1" applyFont="1" applyBorder="1" applyAlignment="1">
      <alignment vertical="top"/>
    </xf>
    <xf numFmtId="0" fontId="3242" fillId="0" borderId="3242" xfId="0" applyFont="1" applyBorder="1" applyAlignment="1">
      <alignment vertical="top"/>
    </xf>
    <xf numFmtId="0" fontId="3243" fillId="0" borderId="3243" xfId="0" applyFont="1" applyBorder="1" applyAlignment="1">
      <alignment vertical="top"/>
    </xf>
    <xf numFmtId="49" fontId="3244" fillId="0" borderId="3244" xfId="0" applyNumberFormat="1" applyFont="1" applyBorder="1" applyAlignment="1">
      <alignment vertical="top"/>
    </xf>
    <xf numFmtId="0" fontId="3245" fillId="0" borderId="3245" xfId="0" applyFont="1" applyBorder="1" applyAlignment="1">
      <alignment vertical="top"/>
    </xf>
    <xf numFmtId="0" fontId="3246" fillId="0" borderId="3246" xfId="0" applyFont="1" applyBorder="1" applyAlignment="1">
      <alignment vertical="top"/>
    </xf>
    <xf numFmtId="49" fontId="3247" fillId="0" borderId="3247" xfId="0" applyNumberFormat="1" applyFont="1" applyBorder="1" applyAlignment="1">
      <alignment vertical="top"/>
    </xf>
    <xf numFmtId="0" fontId="3248" fillId="0" borderId="3248" xfId="0" applyFont="1" applyBorder="1" applyAlignment="1">
      <alignment vertical="top"/>
    </xf>
    <xf numFmtId="0" fontId="3249" fillId="0" borderId="3249" xfId="0" applyFont="1" applyBorder="1" applyAlignment="1">
      <alignment vertical="top"/>
    </xf>
    <xf numFmtId="49" fontId="3250" fillId="0" borderId="3250" xfId="0" applyNumberFormat="1" applyFont="1" applyBorder="1" applyAlignment="1">
      <alignment vertical="top"/>
    </xf>
    <xf numFmtId="0" fontId="3251" fillId="0" borderId="3251" xfId="0" applyFont="1" applyBorder="1" applyAlignment="1">
      <alignment vertical="top"/>
    </xf>
    <xf numFmtId="0" fontId="3252" fillId="0" borderId="3252" xfId="0" applyFont="1" applyBorder="1" applyAlignment="1">
      <alignment vertical="top"/>
    </xf>
    <xf numFmtId="49" fontId="3253" fillId="0" borderId="3253" xfId="0" applyNumberFormat="1" applyFont="1" applyBorder="1" applyAlignment="1">
      <alignment vertical="top"/>
    </xf>
    <xf numFmtId="0" fontId="3254" fillId="0" borderId="3254" xfId="0" applyFont="1" applyBorder="1" applyAlignment="1">
      <alignment vertical="top"/>
    </xf>
    <xf numFmtId="0" fontId="3255" fillId="0" borderId="3255" xfId="0" applyFont="1" applyBorder="1" applyAlignment="1">
      <alignment vertical="top"/>
    </xf>
    <xf numFmtId="49" fontId="3256" fillId="0" borderId="3256" xfId="0" applyNumberFormat="1" applyFont="1" applyBorder="1" applyAlignment="1">
      <alignment vertical="top"/>
    </xf>
    <xf numFmtId="0" fontId="3257" fillId="0" borderId="3257" xfId="0" applyFont="1" applyBorder="1" applyAlignment="1">
      <alignment vertical="top"/>
    </xf>
    <xf numFmtId="0" fontId="3258" fillId="0" borderId="3258" xfId="0" applyFont="1" applyBorder="1" applyAlignment="1">
      <alignment vertical="top"/>
    </xf>
    <xf numFmtId="49" fontId="3259" fillId="0" borderId="3259" xfId="0" applyNumberFormat="1" applyFont="1" applyBorder="1" applyAlignment="1">
      <alignment vertical="top"/>
    </xf>
    <xf numFmtId="0" fontId="3260" fillId="0" borderId="3260" xfId="0" applyFont="1" applyBorder="1" applyAlignment="1">
      <alignment vertical="top"/>
    </xf>
    <xf numFmtId="0" fontId="3261" fillId="0" borderId="3261" xfId="0" applyFont="1" applyBorder="1" applyAlignment="1">
      <alignment vertical="top"/>
    </xf>
    <xf numFmtId="49" fontId="3262" fillId="0" borderId="3262" xfId="0" applyNumberFormat="1" applyFont="1" applyBorder="1" applyAlignment="1">
      <alignment vertical="top"/>
    </xf>
    <xf numFmtId="0" fontId="3263" fillId="0" borderId="3263" xfId="0" applyFont="1" applyBorder="1" applyAlignment="1">
      <alignment vertical="top"/>
    </xf>
    <xf numFmtId="0" fontId="3264" fillId="0" borderId="3264" xfId="0" applyFont="1" applyBorder="1" applyAlignment="1">
      <alignment vertical="top"/>
    </xf>
    <xf numFmtId="49" fontId="3265" fillId="0" borderId="3265" xfId="0" applyNumberFormat="1" applyFont="1" applyBorder="1" applyAlignment="1">
      <alignment vertical="top"/>
    </xf>
    <xf numFmtId="0" fontId="3266" fillId="0" borderId="3266" xfId="0" applyFont="1" applyBorder="1" applyAlignment="1">
      <alignment vertical="top"/>
    </xf>
    <xf numFmtId="0" fontId="3267" fillId="0" borderId="3267" xfId="0" applyFont="1" applyBorder="1" applyAlignment="1">
      <alignment vertical="top"/>
    </xf>
    <xf numFmtId="49" fontId="3268" fillId="0" borderId="3268" xfId="0" applyNumberFormat="1" applyFont="1" applyBorder="1" applyAlignment="1">
      <alignment vertical="top"/>
    </xf>
    <xf numFmtId="0" fontId="3269" fillId="0" borderId="3269" xfId="0" applyFont="1" applyBorder="1" applyAlignment="1">
      <alignment vertical="top"/>
    </xf>
    <xf numFmtId="0" fontId="3270" fillId="0" borderId="3270" xfId="0" applyFont="1" applyBorder="1" applyAlignment="1">
      <alignment vertical="top"/>
    </xf>
    <xf numFmtId="49" fontId="3271" fillId="0" borderId="3271" xfId="0" applyNumberFormat="1" applyFont="1" applyBorder="1" applyAlignment="1">
      <alignment vertical="top"/>
    </xf>
    <xf numFmtId="0" fontId="3272" fillId="0" borderId="3272" xfId="0" applyFont="1" applyBorder="1" applyAlignment="1">
      <alignment vertical="top"/>
    </xf>
    <xf numFmtId="0" fontId="3273" fillId="0" borderId="3273" xfId="0" applyFont="1" applyBorder="1" applyAlignment="1">
      <alignment vertical="top"/>
    </xf>
    <xf numFmtId="49" fontId="3274" fillId="0" borderId="3274" xfId="0" applyNumberFormat="1" applyFont="1" applyBorder="1" applyAlignment="1">
      <alignment vertical="top"/>
    </xf>
    <xf numFmtId="0" fontId="3275" fillId="0" borderId="3275" xfId="0" applyFont="1" applyBorder="1" applyAlignment="1">
      <alignment vertical="top"/>
    </xf>
    <xf numFmtId="0" fontId="3276" fillId="0" borderId="3276" xfId="0" applyFont="1" applyBorder="1" applyAlignment="1">
      <alignment vertical="top"/>
    </xf>
    <xf numFmtId="49" fontId="3277" fillId="0" borderId="3277" xfId="0" applyNumberFormat="1" applyFont="1" applyBorder="1" applyAlignment="1">
      <alignment vertical="top"/>
    </xf>
    <xf numFmtId="0" fontId="3278" fillId="0" borderId="3278" xfId="0" applyFont="1" applyBorder="1" applyAlignment="1">
      <alignment vertical="top"/>
    </xf>
    <xf numFmtId="0" fontId="3279" fillId="0" borderId="3279" xfId="0" applyFont="1" applyBorder="1" applyAlignment="1">
      <alignment vertical="top"/>
    </xf>
    <xf numFmtId="49" fontId="3280" fillId="0" borderId="3280" xfId="0" applyNumberFormat="1" applyFont="1" applyBorder="1" applyAlignment="1">
      <alignment vertical="top"/>
    </xf>
    <xf numFmtId="0" fontId="3281" fillId="0" borderId="3281" xfId="0" applyFont="1" applyBorder="1" applyAlignment="1">
      <alignment vertical="top"/>
    </xf>
    <xf numFmtId="0" fontId="3282" fillId="0" borderId="3282" xfId="0" applyFont="1" applyBorder="1" applyAlignment="1">
      <alignment vertical="top"/>
    </xf>
    <xf numFmtId="49" fontId="3283" fillId="0" borderId="3283" xfId="0" applyNumberFormat="1" applyFont="1" applyBorder="1" applyAlignment="1">
      <alignment vertical="top"/>
    </xf>
    <xf numFmtId="0" fontId="3284" fillId="0" borderId="3284" xfId="0" applyFont="1" applyBorder="1" applyAlignment="1">
      <alignment vertical="top"/>
    </xf>
    <xf numFmtId="0" fontId="3285" fillId="0" borderId="3285" xfId="0" applyFont="1" applyBorder="1" applyAlignment="1">
      <alignment vertical="top"/>
    </xf>
    <xf numFmtId="49" fontId="3286" fillId="0" borderId="3286" xfId="0" applyNumberFormat="1" applyFont="1" applyBorder="1" applyAlignment="1">
      <alignment vertical="top"/>
    </xf>
    <xf numFmtId="0" fontId="3287" fillId="0" borderId="3287" xfId="0" applyFont="1" applyBorder="1" applyAlignment="1">
      <alignment vertical="top"/>
    </xf>
    <xf numFmtId="0" fontId="3288" fillId="0" borderId="3288" xfId="0" applyFont="1" applyBorder="1" applyAlignment="1">
      <alignment vertical="top"/>
    </xf>
    <xf numFmtId="49" fontId="3289" fillId="0" borderId="3289" xfId="0" applyNumberFormat="1" applyFont="1" applyBorder="1" applyAlignment="1">
      <alignment vertical="top"/>
    </xf>
    <xf numFmtId="0" fontId="3290" fillId="0" borderId="3290" xfId="0" applyFont="1" applyBorder="1" applyAlignment="1">
      <alignment vertical="top"/>
    </xf>
    <xf numFmtId="0" fontId="3291" fillId="0" borderId="3291" xfId="0" applyFont="1" applyBorder="1" applyAlignment="1">
      <alignment vertical="top"/>
    </xf>
    <xf numFmtId="49" fontId="3292" fillId="0" borderId="3292" xfId="0" applyNumberFormat="1" applyFont="1" applyBorder="1" applyAlignment="1">
      <alignment vertical="top"/>
    </xf>
    <xf numFmtId="0" fontId="3293" fillId="0" borderId="3293" xfId="0" applyFont="1" applyBorder="1" applyAlignment="1">
      <alignment vertical="top"/>
    </xf>
    <xf numFmtId="0" fontId="3294" fillId="0" borderId="3294" xfId="0" applyFont="1" applyBorder="1" applyAlignment="1">
      <alignment vertical="top"/>
    </xf>
    <xf numFmtId="49" fontId="3295" fillId="0" borderId="3295" xfId="0" applyNumberFormat="1" applyFont="1" applyBorder="1" applyAlignment="1">
      <alignment vertical="top"/>
    </xf>
    <xf numFmtId="0" fontId="3296" fillId="0" borderId="3296" xfId="0" applyFont="1" applyBorder="1" applyAlignment="1">
      <alignment vertical="top"/>
    </xf>
    <xf numFmtId="0" fontId="3297" fillId="0" borderId="3297" xfId="0" applyFont="1" applyBorder="1" applyAlignment="1">
      <alignment vertical="top"/>
    </xf>
    <xf numFmtId="49" fontId="3298" fillId="0" borderId="3298" xfId="0" applyNumberFormat="1" applyFont="1" applyBorder="1" applyAlignment="1">
      <alignment vertical="top"/>
    </xf>
    <xf numFmtId="0" fontId="3299" fillId="0" borderId="3299" xfId="0" applyFont="1" applyBorder="1" applyAlignment="1">
      <alignment vertical="top"/>
    </xf>
    <xf numFmtId="0" fontId="3300" fillId="0" borderId="3300" xfId="0" applyFont="1" applyBorder="1" applyAlignment="1">
      <alignment vertical="top"/>
    </xf>
    <xf numFmtId="49" fontId="3301" fillId="0" borderId="3301" xfId="0" applyNumberFormat="1" applyFont="1" applyBorder="1" applyAlignment="1">
      <alignment vertical="top"/>
    </xf>
    <xf numFmtId="0" fontId="3302" fillId="0" borderId="3302" xfId="0" applyFont="1" applyBorder="1" applyAlignment="1">
      <alignment vertical="top"/>
    </xf>
    <xf numFmtId="0" fontId="3303" fillId="0" borderId="3303" xfId="0" applyFont="1" applyBorder="1" applyAlignment="1">
      <alignment vertical="top"/>
    </xf>
    <xf numFmtId="49" fontId="3304" fillId="0" borderId="3304" xfId="0" applyNumberFormat="1" applyFont="1" applyBorder="1" applyAlignment="1">
      <alignment vertical="top"/>
    </xf>
    <xf numFmtId="0" fontId="3305" fillId="0" borderId="3305" xfId="0" applyFont="1" applyBorder="1" applyAlignment="1">
      <alignment vertical="top"/>
    </xf>
    <xf numFmtId="0" fontId="3306" fillId="0" borderId="3306" xfId="0" applyFont="1" applyBorder="1" applyAlignment="1">
      <alignment vertical="top"/>
    </xf>
    <xf numFmtId="49" fontId="3307" fillId="0" borderId="3307" xfId="0" applyNumberFormat="1" applyFont="1" applyBorder="1" applyAlignment="1">
      <alignment vertical="top"/>
    </xf>
    <xf numFmtId="0" fontId="3308" fillId="0" borderId="3308" xfId="0" applyFont="1" applyBorder="1" applyAlignment="1">
      <alignment vertical="top"/>
    </xf>
    <xf numFmtId="0" fontId="3309" fillId="0" borderId="3309" xfId="0" applyFont="1" applyBorder="1" applyAlignment="1">
      <alignment vertical="top"/>
    </xf>
    <xf numFmtId="49" fontId="3310" fillId="0" borderId="3310" xfId="0" applyNumberFormat="1" applyFont="1" applyBorder="1" applyAlignment="1">
      <alignment vertical="top"/>
    </xf>
    <xf numFmtId="0" fontId="3311" fillId="0" borderId="3311" xfId="0" applyFont="1" applyBorder="1" applyAlignment="1">
      <alignment vertical="top"/>
    </xf>
    <xf numFmtId="0" fontId="3312" fillId="0" borderId="3312" xfId="0" applyFont="1" applyBorder="1" applyAlignment="1">
      <alignment vertical="top"/>
    </xf>
    <xf numFmtId="49" fontId="3313" fillId="0" borderId="3313" xfId="0" applyNumberFormat="1" applyFont="1" applyBorder="1" applyAlignment="1">
      <alignment vertical="top"/>
    </xf>
    <xf numFmtId="0" fontId="3314" fillId="0" borderId="3314" xfId="0" applyFont="1" applyBorder="1" applyAlignment="1">
      <alignment vertical="top"/>
    </xf>
    <xf numFmtId="0" fontId="3315" fillId="0" borderId="3315" xfId="0" applyFont="1" applyBorder="1" applyAlignment="1">
      <alignment vertical="top"/>
    </xf>
    <xf numFmtId="49" fontId="3316" fillId="0" borderId="3316" xfId="0" applyNumberFormat="1" applyFont="1" applyBorder="1" applyAlignment="1">
      <alignment vertical="top"/>
    </xf>
    <xf numFmtId="0" fontId="3317" fillId="0" borderId="3317" xfId="0" applyFont="1" applyBorder="1" applyAlignment="1">
      <alignment vertical="top"/>
    </xf>
    <xf numFmtId="0" fontId="3318" fillId="0" borderId="3318" xfId="0" applyFont="1" applyBorder="1" applyAlignment="1">
      <alignment vertical="top"/>
    </xf>
    <xf numFmtId="49" fontId="3319" fillId="0" borderId="3319" xfId="0" applyNumberFormat="1" applyFont="1" applyBorder="1" applyAlignment="1">
      <alignment vertical="top"/>
    </xf>
    <xf numFmtId="0" fontId="3320" fillId="0" borderId="3320" xfId="0" applyFont="1" applyBorder="1" applyAlignment="1">
      <alignment vertical="top"/>
    </xf>
    <xf numFmtId="0" fontId="3321" fillId="0" borderId="3321" xfId="0" applyFont="1" applyBorder="1" applyAlignment="1">
      <alignment vertical="top"/>
    </xf>
    <xf numFmtId="49" fontId="3322" fillId="0" borderId="3322" xfId="0" applyNumberFormat="1" applyFont="1" applyBorder="1" applyAlignment="1">
      <alignment vertical="top"/>
    </xf>
    <xf numFmtId="0" fontId="3323" fillId="0" borderId="3323" xfId="0" applyFont="1" applyBorder="1" applyAlignment="1">
      <alignment vertical="top"/>
    </xf>
    <xf numFmtId="0" fontId="3324" fillId="0" borderId="3324" xfId="0" applyFont="1" applyBorder="1" applyAlignment="1">
      <alignment vertical="top"/>
    </xf>
    <xf numFmtId="49" fontId="3325" fillId="0" borderId="3325" xfId="0" applyNumberFormat="1" applyFont="1" applyBorder="1" applyAlignment="1">
      <alignment vertical="top"/>
    </xf>
    <xf numFmtId="0" fontId="3326" fillId="0" borderId="3326" xfId="0" applyFont="1" applyBorder="1" applyAlignment="1">
      <alignment vertical="top"/>
    </xf>
    <xf numFmtId="0" fontId="3327" fillId="0" borderId="3327" xfId="0" applyFont="1" applyBorder="1" applyAlignment="1">
      <alignment vertical="top"/>
    </xf>
    <xf numFmtId="49" fontId="3328" fillId="0" borderId="3328" xfId="0" applyNumberFormat="1" applyFont="1" applyBorder="1" applyAlignment="1">
      <alignment vertical="top"/>
    </xf>
    <xf numFmtId="0" fontId="3329" fillId="0" borderId="3329" xfId="0" applyFont="1" applyBorder="1" applyAlignment="1">
      <alignment vertical="top"/>
    </xf>
    <xf numFmtId="0" fontId="3330" fillId="0" borderId="3330" xfId="0" applyFont="1" applyBorder="1" applyAlignment="1">
      <alignment vertical="top"/>
    </xf>
    <xf numFmtId="49" fontId="3331" fillId="0" borderId="3331" xfId="0" applyNumberFormat="1" applyFont="1" applyBorder="1" applyAlignment="1">
      <alignment vertical="top"/>
    </xf>
    <xf numFmtId="0" fontId="3332" fillId="0" borderId="3332" xfId="0" applyFont="1" applyBorder="1" applyAlignment="1">
      <alignment vertical="top"/>
    </xf>
    <xf numFmtId="0" fontId="3333" fillId="0" borderId="3333" xfId="0" applyFont="1" applyBorder="1" applyAlignment="1">
      <alignment vertical="top"/>
    </xf>
    <xf numFmtId="49" fontId="3334" fillId="0" borderId="3334" xfId="0" applyNumberFormat="1" applyFont="1" applyBorder="1" applyAlignment="1">
      <alignment vertical="top"/>
    </xf>
    <xf numFmtId="0" fontId="3335" fillId="0" borderId="3335" xfId="0" applyFont="1" applyBorder="1" applyAlignment="1">
      <alignment vertical="top"/>
    </xf>
    <xf numFmtId="0" fontId="3336" fillId="0" borderId="3336" xfId="0" applyFont="1" applyBorder="1" applyAlignment="1">
      <alignment vertical="top"/>
    </xf>
    <xf numFmtId="49" fontId="3337" fillId="0" borderId="3337" xfId="0" applyNumberFormat="1" applyFont="1" applyBorder="1" applyAlignment="1">
      <alignment vertical="top"/>
    </xf>
    <xf numFmtId="0" fontId="3338" fillId="0" borderId="3338" xfId="0" applyFont="1" applyBorder="1" applyAlignment="1">
      <alignment vertical="top"/>
    </xf>
    <xf numFmtId="0" fontId="3339" fillId="0" borderId="3339" xfId="0" applyFont="1" applyBorder="1" applyAlignment="1">
      <alignment vertical="top"/>
    </xf>
    <xf numFmtId="49" fontId="3340" fillId="0" borderId="3340" xfId="0" applyNumberFormat="1" applyFont="1" applyBorder="1" applyAlignment="1">
      <alignment vertical="top"/>
    </xf>
    <xf numFmtId="0" fontId="3341" fillId="0" borderId="3341" xfId="0" applyFont="1" applyBorder="1" applyAlignment="1">
      <alignment vertical="top"/>
    </xf>
    <xf numFmtId="0" fontId="3342" fillId="0" borderId="3342" xfId="0" applyFont="1" applyBorder="1" applyAlignment="1">
      <alignment vertical="top"/>
    </xf>
    <xf numFmtId="49" fontId="3343" fillId="0" borderId="3343" xfId="0" applyNumberFormat="1" applyFont="1" applyBorder="1" applyAlignment="1">
      <alignment vertical="top"/>
    </xf>
    <xf numFmtId="0" fontId="3344" fillId="0" borderId="3344" xfId="0" applyFont="1" applyBorder="1" applyAlignment="1">
      <alignment vertical="top"/>
    </xf>
    <xf numFmtId="0" fontId="3345" fillId="0" borderId="3345" xfId="0" applyFont="1" applyBorder="1" applyAlignment="1">
      <alignment vertical="top"/>
    </xf>
    <xf numFmtId="49" fontId="3346" fillId="0" borderId="3346" xfId="0" applyNumberFormat="1" applyFont="1" applyBorder="1" applyAlignment="1">
      <alignment vertical="top"/>
    </xf>
    <xf numFmtId="0" fontId="3347" fillId="0" borderId="3347" xfId="0" applyFont="1" applyBorder="1" applyAlignment="1">
      <alignment vertical="top"/>
    </xf>
    <xf numFmtId="0" fontId="3348" fillId="0" borderId="3348" xfId="0" applyFont="1" applyBorder="1" applyAlignment="1">
      <alignment vertical="top"/>
    </xf>
    <xf numFmtId="49" fontId="3349" fillId="0" borderId="3349" xfId="0" applyNumberFormat="1" applyFont="1" applyBorder="1" applyAlignment="1">
      <alignment vertical="top"/>
    </xf>
    <xf numFmtId="0" fontId="3350" fillId="0" borderId="3350" xfId="0" applyFont="1" applyBorder="1" applyAlignment="1">
      <alignment vertical="top"/>
    </xf>
    <xf numFmtId="0" fontId="3351" fillId="0" borderId="3351" xfId="0" applyFont="1" applyBorder="1" applyAlignment="1">
      <alignment vertical="top"/>
    </xf>
    <xf numFmtId="49" fontId="3352" fillId="0" borderId="3352" xfId="0" applyNumberFormat="1" applyFont="1" applyBorder="1" applyAlignment="1">
      <alignment vertical="top"/>
    </xf>
    <xf numFmtId="0" fontId="3353" fillId="0" borderId="3353" xfId="0" applyFont="1" applyBorder="1" applyAlignment="1">
      <alignment vertical="top"/>
    </xf>
    <xf numFmtId="0" fontId="3354" fillId="0" borderId="3354" xfId="0" applyFont="1" applyBorder="1" applyAlignment="1">
      <alignment vertical="top"/>
    </xf>
    <xf numFmtId="49" fontId="3355" fillId="0" borderId="3355" xfId="0" applyNumberFormat="1" applyFont="1" applyBorder="1" applyAlignment="1">
      <alignment vertical="top"/>
    </xf>
    <xf numFmtId="0" fontId="3356" fillId="0" borderId="3356" xfId="0" applyFont="1" applyBorder="1" applyAlignment="1">
      <alignment vertical="top"/>
    </xf>
    <xf numFmtId="0" fontId="3357" fillId="0" borderId="3357" xfId="0" applyFont="1" applyBorder="1" applyAlignment="1">
      <alignment vertical="top"/>
    </xf>
    <xf numFmtId="49" fontId="3358" fillId="0" borderId="3358" xfId="0" applyNumberFormat="1" applyFont="1" applyBorder="1" applyAlignment="1">
      <alignment vertical="top"/>
    </xf>
    <xf numFmtId="0" fontId="3359" fillId="0" borderId="3359" xfId="0" applyFont="1" applyBorder="1" applyAlignment="1">
      <alignment vertical="top"/>
    </xf>
    <xf numFmtId="0" fontId="3360" fillId="0" borderId="3360" xfId="0" applyFont="1" applyBorder="1" applyAlignment="1">
      <alignment vertical="top"/>
    </xf>
    <xf numFmtId="49" fontId="3361" fillId="0" borderId="3361" xfId="0" applyNumberFormat="1" applyFont="1" applyBorder="1" applyAlignment="1">
      <alignment vertical="top"/>
    </xf>
    <xf numFmtId="0" fontId="3362" fillId="0" borderId="3362" xfId="0" applyFont="1" applyBorder="1" applyAlignment="1">
      <alignment vertical="top"/>
    </xf>
    <xf numFmtId="0" fontId="3363" fillId="0" borderId="3363" xfId="0" applyFont="1" applyBorder="1" applyAlignment="1">
      <alignment vertical="top"/>
    </xf>
    <xf numFmtId="49" fontId="3364" fillId="0" borderId="3364" xfId="0" applyNumberFormat="1" applyFont="1" applyBorder="1" applyAlignment="1">
      <alignment vertical="top"/>
    </xf>
    <xf numFmtId="0" fontId="3365" fillId="0" borderId="3365" xfId="0" applyFont="1" applyBorder="1" applyAlignment="1">
      <alignment vertical="top"/>
    </xf>
    <xf numFmtId="0" fontId="3366" fillId="0" borderId="3366" xfId="0" applyFont="1" applyBorder="1" applyAlignment="1">
      <alignment vertical="top"/>
    </xf>
    <xf numFmtId="49" fontId="3367" fillId="0" borderId="3367" xfId="0" applyNumberFormat="1" applyFont="1" applyBorder="1" applyAlignment="1">
      <alignment vertical="top"/>
    </xf>
    <xf numFmtId="0" fontId="3368" fillId="0" borderId="3368" xfId="0" applyFont="1" applyBorder="1" applyAlignment="1">
      <alignment vertical="top"/>
    </xf>
    <xf numFmtId="0" fontId="3369" fillId="0" borderId="3369" xfId="0" applyFont="1" applyBorder="1" applyAlignment="1">
      <alignment vertical="top"/>
    </xf>
    <xf numFmtId="49" fontId="3370" fillId="0" borderId="3370" xfId="0" applyNumberFormat="1" applyFont="1" applyBorder="1" applyAlignment="1">
      <alignment vertical="top"/>
    </xf>
    <xf numFmtId="0" fontId="3371" fillId="0" borderId="3371" xfId="0" applyFont="1" applyBorder="1" applyAlignment="1">
      <alignment vertical="top"/>
    </xf>
    <xf numFmtId="0" fontId="3372" fillId="0" borderId="3372" xfId="0" applyFont="1" applyBorder="1" applyAlignment="1">
      <alignment vertical="top"/>
    </xf>
    <xf numFmtId="49" fontId="3373" fillId="0" borderId="3373" xfId="0" applyNumberFormat="1" applyFont="1" applyBorder="1" applyAlignment="1">
      <alignment vertical="top"/>
    </xf>
    <xf numFmtId="0" fontId="3374" fillId="0" borderId="3374" xfId="0" applyFont="1" applyBorder="1" applyAlignment="1">
      <alignment vertical="top"/>
    </xf>
    <xf numFmtId="0" fontId="3375" fillId="0" borderId="3375" xfId="0" applyFont="1" applyBorder="1" applyAlignment="1">
      <alignment vertical="top"/>
    </xf>
    <xf numFmtId="49" fontId="3376" fillId="0" borderId="3376" xfId="0" applyNumberFormat="1" applyFont="1" applyBorder="1" applyAlignment="1">
      <alignment vertical="top"/>
    </xf>
    <xf numFmtId="0" fontId="3377" fillId="0" borderId="3377" xfId="0" applyFont="1" applyBorder="1" applyAlignment="1">
      <alignment vertical="top"/>
    </xf>
    <xf numFmtId="0" fontId="3378" fillId="0" borderId="3378" xfId="0" applyFont="1" applyBorder="1" applyAlignment="1">
      <alignment vertical="top"/>
    </xf>
    <xf numFmtId="49" fontId="3379" fillId="0" borderId="3379" xfId="0" applyNumberFormat="1" applyFont="1" applyBorder="1" applyAlignment="1">
      <alignment vertical="top"/>
    </xf>
    <xf numFmtId="0" fontId="3380" fillId="0" borderId="3380" xfId="0" applyFont="1" applyBorder="1" applyAlignment="1">
      <alignment vertical="top"/>
    </xf>
    <xf numFmtId="0" fontId="3381" fillId="0" borderId="3381" xfId="0" applyFont="1" applyBorder="1" applyAlignment="1">
      <alignment vertical="top"/>
    </xf>
    <xf numFmtId="49" fontId="3382" fillId="0" borderId="3382" xfId="0" applyNumberFormat="1" applyFont="1" applyBorder="1" applyAlignment="1">
      <alignment vertical="top"/>
    </xf>
    <xf numFmtId="0" fontId="3383" fillId="0" borderId="3383" xfId="0" applyFont="1" applyBorder="1" applyAlignment="1">
      <alignment vertical="top"/>
    </xf>
    <xf numFmtId="0" fontId="3384" fillId="0" borderId="3384" xfId="0" applyFont="1" applyBorder="1" applyAlignment="1">
      <alignment vertical="top"/>
    </xf>
    <xf numFmtId="49" fontId="3385" fillId="0" borderId="3385" xfId="0" applyNumberFormat="1" applyFont="1" applyBorder="1" applyAlignment="1">
      <alignment vertical="top"/>
    </xf>
    <xf numFmtId="0" fontId="3386" fillId="0" borderId="3386" xfId="0" applyFont="1" applyBorder="1" applyAlignment="1">
      <alignment vertical="top"/>
    </xf>
    <xf numFmtId="0" fontId="3387" fillId="0" borderId="3387" xfId="0" applyFont="1" applyBorder="1" applyAlignment="1">
      <alignment vertical="top"/>
    </xf>
    <xf numFmtId="49" fontId="3388" fillId="0" borderId="3388" xfId="0" applyNumberFormat="1" applyFont="1" applyBorder="1" applyAlignment="1">
      <alignment vertical="top"/>
    </xf>
    <xf numFmtId="0" fontId="3389" fillId="0" borderId="3389" xfId="0" applyFont="1" applyBorder="1" applyAlignment="1">
      <alignment vertical="top"/>
    </xf>
    <xf numFmtId="0" fontId="3390" fillId="0" borderId="3390" xfId="0" applyFont="1" applyBorder="1" applyAlignment="1">
      <alignment vertical="top"/>
    </xf>
    <xf numFmtId="49" fontId="3391" fillId="0" borderId="3391" xfId="0" applyNumberFormat="1" applyFont="1" applyBorder="1" applyAlignment="1">
      <alignment vertical="top"/>
    </xf>
    <xf numFmtId="0" fontId="3392" fillId="0" borderId="3392" xfId="0" applyFont="1" applyBorder="1" applyAlignment="1">
      <alignment vertical="top"/>
    </xf>
    <xf numFmtId="0" fontId="3393" fillId="0" borderId="3393" xfId="0" applyFont="1" applyBorder="1" applyAlignment="1">
      <alignment vertical="top"/>
    </xf>
    <xf numFmtId="49" fontId="3394" fillId="0" borderId="3394" xfId="0" applyNumberFormat="1" applyFont="1" applyBorder="1" applyAlignment="1">
      <alignment vertical="top"/>
    </xf>
    <xf numFmtId="0" fontId="3395" fillId="0" borderId="3395" xfId="0" applyFont="1" applyBorder="1" applyAlignment="1">
      <alignment vertical="top"/>
    </xf>
    <xf numFmtId="0" fontId="3396" fillId="0" borderId="3396" xfId="0" applyFont="1" applyBorder="1" applyAlignment="1">
      <alignment vertical="top"/>
    </xf>
    <xf numFmtId="49" fontId="3397" fillId="0" borderId="3397" xfId="0" applyNumberFormat="1" applyFont="1" applyBorder="1" applyAlignment="1">
      <alignment vertical="top"/>
    </xf>
    <xf numFmtId="0" fontId="3398" fillId="0" borderId="3398" xfId="0" applyFont="1" applyBorder="1" applyAlignment="1">
      <alignment vertical="top"/>
    </xf>
    <xf numFmtId="0" fontId="3399" fillId="0" borderId="3399" xfId="0" applyFont="1" applyBorder="1" applyAlignment="1">
      <alignment vertical="top"/>
    </xf>
    <xf numFmtId="49" fontId="3400" fillId="0" borderId="3400" xfId="0" applyNumberFormat="1" applyFont="1" applyBorder="1" applyAlignment="1">
      <alignment vertical="top"/>
    </xf>
    <xf numFmtId="0" fontId="3401" fillId="0" borderId="3401" xfId="0" applyFont="1" applyBorder="1" applyAlignment="1">
      <alignment vertical="top"/>
    </xf>
    <xf numFmtId="0" fontId="3402" fillId="0" borderId="3402" xfId="0" applyFont="1" applyBorder="1" applyAlignment="1">
      <alignment vertical="top"/>
    </xf>
    <xf numFmtId="49" fontId="3403" fillId="0" borderId="3403" xfId="0" applyNumberFormat="1" applyFont="1" applyBorder="1" applyAlignment="1">
      <alignment vertical="top"/>
    </xf>
    <xf numFmtId="0" fontId="3404" fillId="0" borderId="3404" xfId="0" applyFont="1" applyBorder="1" applyAlignment="1">
      <alignment vertical="top"/>
    </xf>
    <xf numFmtId="0" fontId="3405" fillId="0" borderId="3405" xfId="0" applyFont="1" applyBorder="1" applyAlignment="1">
      <alignment vertical="top"/>
    </xf>
    <xf numFmtId="49" fontId="3406" fillId="0" borderId="3406" xfId="0" applyNumberFormat="1" applyFont="1" applyBorder="1" applyAlignment="1">
      <alignment vertical="top"/>
    </xf>
    <xf numFmtId="0" fontId="3407" fillId="0" borderId="3407" xfId="0" applyFont="1" applyBorder="1" applyAlignment="1">
      <alignment vertical="top"/>
    </xf>
    <xf numFmtId="0" fontId="3408" fillId="0" borderId="3408" xfId="0" applyFont="1" applyBorder="1" applyAlignment="1">
      <alignment vertical="top"/>
    </xf>
    <xf numFmtId="49" fontId="3409" fillId="0" borderId="3409" xfId="0" applyNumberFormat="1" applyFont="1" applyBorder="1" applyAlignment="1">
      <alignment vertical="top"/>
    </xf>
    <xf numFmtId="0" fontId="3410" fillId="0" borderId="3410" xfId="0" applyFont="1" applyBorder="1" applyAlignment="1">
      <alignment vertical="top"/>
    </xf>
    <xf numFmtId="0" fontId="3411" fillId="0" borderId="3411" xfId="0" applyFont="1" applyBorder="1" applyAlignment="1">
      <alignment vertical="top"/>
    </xf>
    <xf numFmtId="49" fontId="3412" fillId="0" borderId="3412" xfId="0" applyNumberFormat="1" applyFont="1" applyBorder="1" applyAlignment="1">
      <alignment vertical="top"/>
    </xf>
    <xf numFmtId="0" fontId="3413" fillId="0" borderId="3413" xfId="0" applyFont="1" applyBorder="1" applyAlignment="1">
      <alignment vertical="top"/>
    </xf>
    <xf numFmtId="0" fontId="3414" fillId="0" borderId="3414" xfId="0" applyFont="1" applyBorder="1" applyAlignment="1">
      <alignment vertical="top"/>
    </xf>
    <xf numFmtId="49" fontId="3415" fillId="0" borderId="3415" xfId="0" applyNumberFormat="1" applyFont="1" applyBorder="1" applyAlignment="1">
      <alignment vertical="top"/>
    </xf>
    <xf numFmtId="0" fontId="3416" fillId="0" borderId="3416" xfId="0" applyFont="1" applyBorder="1" applyAlignment="1">
      <alignment vertical="top"/>
    </xf>
    <xf numFmtId="0" fontId="3417" fillId="0" borderId="3417" xfId="0" applyFont="1" applyBorder="1" applyAlignment="1">
      <alignment vertical="top"/>
    </xf>
    <xf numFmtId="49" fontId="3418" fillId="0" borderId="3418" xfId="0" applyNumberFormat="1" applyFont="1" applyBorder="1" applyAlignment="1">
      <alignment vertical="top"/>
    </xf>
    <xf numFmtId="0" fontId="3419" fillId="0" borderId="3419" xfId="0" applyFont="1" applyBorder="1" applyAlignment="1">
      <alignment vertical="top"/>
    </xf>
    <xf numFmtId="0" fontId="3420" fillId="0" borderId="3420" xfId="0" applyFont="1" applyBorder="1" applyAlignment="1">
      <alignment vertical="top"/>
    </xf>
    <xf numFmtId="49" fontId="3421" fillId="0" borderId="3421" xfId="0" applyNumberFormat="1" applyFont="1" applyBorder="1" applyAlignment="1">
      <alignment vertical="top"/>
    </xf>
    <xf numFmtId="0" fontId="3422" fillId="0" borderId="3422" xfId="0" applyFont="1" applyBorder="1" applyAlignment="1">
      <alignment vertical="top"/>
    </xf>
    <xf numFmtId="0" fontId="3423" fillId="0" borderId="3423" xfId="0" applyFont="1" applyBorder="1" applyAlignment="1">
      <alignment vertical="top"/>
    </xf>
    <xf numFmtId="49" fontId="3424" fillId="0" borderId="3424" xfId="0" applyNumberFormat="1" applyFont="1" applyBorder="1" applyAlignment="1">
      <alignment vertical="top"/>
    </xf>
    <xf numFmtId="0" fontId="3425" fillId="0" borderId="3425" xfId="0" applyFont="1" applyBorder="1" applyAlignment="1">
      <alignment vertical="top"/>
    </xf>
    <xf numFmtId="0" fontId="3426" fillId="0" borderId="3426" xfId="0" applyFont="1" applyBorder="1" applyAlignment="1">
      <alignment vertical="top"/>
    </xf>
    <xf numFmtId="49" fontId="3427" fillId="0" borderId="3427" xfId="0" applyNumberFormat="1" applyFont="1" applyBorder="1" applyAlignment="1">
      <alignment vertical="top"/>
    </xf>
    <xf numFmtId="0" fontId="3428" fillId="0" borderId="3428" xfId="0" applyFont="1" applyBorder="1" applyAlignment="1">
      <alignment vertical="top"/>
    </xf>
    <xf numFmtId="0" fontId="3429" fillId="0" borderId="3429" xfId="0" applyFont="1" applyBorder="1" applyAlignment="1">
      <alignment vertical="top"/>
    </xf>
    <xf numFmtId="49" fontId="3430" fillId="0" borderId="3430" xfId="0" applyNumberFormat="1" applyFont="1" applyBorder="1" applyAlignment="1">
      <alignment vertical="top"/>
    </xf>
    <xf numFmtId="0" fontId="3431" fillId="0" borderId="3431" xfId="0" applyFont="1" applyBorder="1" applyAlignment="1">
      <alignment vertical="top"/>
    </xf>
    <xf numFmtId="0" fontId="3432" fillId="0" borderId="3432" xfId="0" applyFont="1" applyBorder="1" applyAlignment="1">
      <alignment vertical="top"/>
    </xf>
    <xf numFmtId="49" fontId="3433" fillId="0" borderId="3433" xfId="0" applyNumberFormat="1" applyFont="1" applyBorder="1" applyAlignment="1">
      <alignment vertical="top"/>
    </xf>
    <xf numFmtId="0" fontId="3434" fillId="0" borderId="3434" xfId="0" applyFont="1" applyBorder="1" applyAlignment="1">
      <alignment vertical="top"/>
    </xf>
    <xf numFmtId="0" fontId="3435" fillId="0" borderId="3435" xfId="0" applyFont="1" applyBorder="1" applyAlignment="1">
      <alignment vertical="top"/>
    </xf>
    <xf numFmtId="49" fontId="3436" fillId="0" borderId="3436" xfId="0" applyNumberFormat="1" applyFont="1" applyBorder="1" applyAlignment="1">
      <alignment vertical="top"/>
    </xf>
    <xf numFmtId="0" fontId="3437" fillId="0" borderId="3437" xfId="0" applyFont="1" applyBorder="1" applyAlignment="1">
      <alignment vertical="top"/>
    </xf>
    <xf numFmtId="0" fontId="3438" fillId="0" borderId="3438" xfId="0" applyFont="1" applyBorder="1" applyAlignment="1">
      <alignment vertical="top"/>
    </xf>
    <xf numFmtId="49" fontId="3439" fillId="0" borderId="3439" xfId="0" applyNumberFormat="1" applyFont="1" applyBorder="1" applyAlignment="1">
      <alignment vertical="top"/>
    </xf>
    <xf numFmtId="0" fontId="3440" fillId="0" borderId="3440" xfId="0" applyFont="1" applyBorder="1" applyAlignment="1">
      <alignment vertical="top"/>
    </xf>
    <xf numFmtId="0" fontId="3441" fillId="0" borderId="3441" xfId="0" applyFont="1" applyBorder="1" applyAlignment="1">
      <alignment vertical="top"/>
    </xf>
    <xf numFmtId="49" fontId="3442" fillId="0" borderId="3442" xfId="0" applyNumberFormat="1" applyFont="1" applyBorder="1" applyAlignment="1">
      <alignment vertical="top"/>
    </xf>
    <xf numFmtId="0" fontId="3443" fillId="0" borderId="3443" xfId="0" applyFont="1" applyBorder="1" applyAlignment="1">
      <alignment vertical="top"/>
    </xf>
    <xf numFmtId="0" fontId="3444" fillId="0" borderId="3444" xfId="0" applyFont="1" applyBorder="1" applyAlignment="1">
      <alignment vertical="top"/>
    </xf>
    <xf numFmtId="49" fontId="3445" fillId="0" borderId="3445" xfId="0" applyNumberFormat="1" applyFont="1" applyBorder="1" applyAlignment="1">
      <alignment vertical="top"/>
    </xf>
    <xf numFmtId="0" fontId="3446" fillId="0" borderId="3446" xfId="0" applyFont="1" applyBorder="1" applyAlignment="1">
      <alignment vertical="top"/>
    </xf>
    <xf numFmtId="0" fontId="3447" fillId="0" borderId="3447" xfId="0" applyFont="1" applyBorder="1" applyAlignment="1">
      <alignment vertical="top"/>
    </xf>
    <xf numFmtId="49" fontId="3448" fillId="0" borderId="3448" xfId="0" applyNumberFormat="1" applyFont="1" applyBorder="1" applyAlignment="1">
      <alignment vertical="top"/>
    </xf>
    <xf numFmtId="0" fontId="3449" fillId="0" borderId="3449" xfId="0" applyFont="1" applyBorder="1" applyAlignment="1">
      <alignment vertical="top"/>
    </xf>
    <xf numFmtId="0" fontId="3450" fillId="0" borderId="3450" xfId="0" applyFont="1" applyBorder="1" applyAlignment="1">
      <alignment vertical="top"/>
    </xf>
    <xf numFmtId="49" fontId="3451" fillId="0" borderId="3451" xfId="0" applyNumberFormat="1" applyFont="1" applyBorder="1" applyAlignment="1">
      <alignment vertical="top"/>
    </xf>
    <xf numFmtId="0" fontId="3452" fillId="0" borderId="3452" xfId="0" applyFont="1" applyBorder="1" applyAlignment="1">
      <alignment vertical="top"/>
    </xf>
    <xf numFmtId="0" fontId="3453" fillId="0" borderId="3453" xfId="0" applyFont="1" applyBorder="1" applyAlignment="1">
      <alignment vertical="top"/>
    </xf>
    <xf numFmtId="49" fontId="3454" fillId="0" borderId="3454" xfId="0" applyNumberFormat="1" applyFont="1" applyBorder="1" applyAlignment="1">
      <alignment vertical="top"/>
    </xf>
    <xf numFmtId="0" fontId="3455" fillId="0" borderId="3455" xfId="0" applyFont="1" applyBorder="1" applyAlignment="1">
      <alignment vertical="top"/>
    </xf>
    <xf numFmtId="0" fontId="3456" fillId="0" borderId="3456" xfId="0" applyFont="1" applyBorder="1" applyAlignment="1">
      <alignment vertical="top"/>
    </xf>
    <xf numFmtId="49" fontId="3457" fillId="0" borderId="3457" xfId="0" applyNumberFormat="1" applyFont="1" applyBorder="1" applyAlignment="1">
      <alignment vertical="top"/>
    </xf>
    <xf numFmtId="0" fontId="3458" fillId="0" borderId="3458" xfId="0" applyFont="1" applyBorder="1" applyAlignment="1">
      <alignment vertical="top"/>
    </xf>
    <xf numFmtId="0" fontId="3459" fillId="0" borderId="3459" xfId="0" applyFont="1" applyBorder="1" applyAlignment="1">
      <alignment vertical="top"/>
    </xf>
    <xf numFmtId="49" fontId="3460" fillId="0" borderId="3460" xfId="0" applyNumberFormat="1" applyFont="1" applyBorder="1" applyAlignment="1">
      <alignment vertical="top"/>
    </xf>
    <xf numFmtId="0" fontId="3461" fillId="0" borderId="3461" xfId="0" applyFont="1" applyBorder="1" applyAlignment="1">
      <alignment vertical="top"/>
    </xf>
    <xf numFmtId="0" fontId="3462" fillId="0" borderId="3462" xfId="0" applyFont="1" applyBorder="1" applyAlignment="1">
      <alignment vertical="top"/>
    </xf>
    <xf numFmtId="49" fontId="3463" fillId="0" borderId="3463" xfId="0" applyNumberFormat="1" applyFont="1" applyBorder="1" applyAlignment="1">
      <alignment vertical="top"/>
    </xf>
    <xf numFmtId="0" fontId="3464" fillId="0" borderId="3464" xfId="0" applyFont="1" applyBorder="1" applyAlignment="1">
      <alignment vertical="top"/>
    </xf>
    <xf numFmtId="0" fontId="3465" fillId="0" borderId="3465" xfId="0" applyFont="1" applyBorder="1" applyAlignment="1">
      <alignment vertical="top"/>
    </xf>
    <xf numFmtId="49" fontId="3466" fillId="0" borderId="3466" xfId="0" applyNumberFormat="1" applyFont="1" applyBorder="1" applyAlignment="1">
      <alignment vertical="top"/>
    </xf>
    <xf numFmtId="0" fontId="3467" fillId="0" borderId="3467" xfId="0" applyFont="1" applyBorder="1" applyAlignment="1">
      <alignment vertical="top"/>
    </xf>
    <xf numFmtId="0" fontId="3468" fillId="0" borderId="3468" xfId="0" applyFont="1" applyBorder="1" applyAlignment="1">
      <alignment vertical="top"/>
    </xf>
    <xf numFmtId="49" fontId="3469" fillId="0" borderId="3469" xfId="0" applyNumberFormat="1" applyFont="1" applyBorder="1" applyAlignment="1">
      <alignment vertical="top"/>
    </xf>
    <xf numFmtId="0" fontId="3470" fillId="0" borderId="3470" xfId="0" applyFont="1" applyBorder="1" applyAlignment="1">
      <alignment vertical="top"/>
    </xf>
    <xf numFmtId="0" fontId="3471" fillId="0" borderId="3471" xfId="0" applyFont="1" applyBorder="1" applyAlignment="1">
      <alignment vertical="top"/>
    </xf>
    <xf numFmtId="49" fontId="3472" fillId="0" borderId="3472" xfId="0" applyNumberFormat="1" applyFont="1" applyBorder="1" applyAlignment="1">
      <alignment vertical="top"/>
    </xf>
    <xf numFmtId="0" fontId="3473" fillId="0" borderId="3473" xfId="0" applyFont="1" applyBorder="1" applyAlignment="1">
      <alignment vertical="top"/>
    </xf>
    <xf numFmtId="0" fontId="3474" fillId="0" borderId="3474" xfId="0" applyFont="1" applyBorder="1" applyAlignment="1">
      <alignment vertical="top"/>
    </xf>
    <xf numFmtId="49" fontId="3475" fillId="0" borderId="3475" xfId="0" applyNumberFormat="1" applyFont="1" applyBorder="1" applyAlignment="1">
      <alignment vertical="top"/>
    </xf>
    <xf numFmtId="0" fontId="3476" fillId="0" borderId="3476" xfId="0" applyFont="1" applyBorder="1" applyAlignment="1">
      <alignment vertical="top"/>
    </xf>
    <xf numFmtId="0" fontId="3477" fillId="0" borderId="3477" xfId="0" applyFont="1" applyBorder="1" applyAlignment="1">
      <alignment vertical="top"/>
    </xf>
    <xf numFmtId="49" fontId="3478" fillId="0" borderId="3478" xfId="0" applyNumberFormat="1" applyFont="1" applyBorder="1" applyAlignment="1">
      <alignment vertical="top"/>
    </xf>
    <xf numFmtId="0" fontId="3479" fillId="0" borderId="3479" xfId="0" applyFont="1" applyBorder="1" applyAlignment="1">
      <alignment vertical="top"/>
    </xf>
    <xf numFmtId="0" fontId="3480" fillId="0" borderId="3480" xfId="0" applyFont="1" applyBorder="1" applyAlignment="1">
      <alignment vertical="top"/>
    </xf>
    <xf numFmtId="49" fontId="3481" fillId="0" borderId="3481" xfId="0" applyNumberFormat="1" applyFont="1" applyBorder="1" applyAlignment="1">
      <alignment vertical="top"/>
    </xf>
    <xf numFmtId="0" fontId="3482" fillId="0" borderId="3482" xfId="0" applyFont="1" applyBorder="1" applyAlignment="1">
      <alignment vertical="top"/>
    </xf>
    <xf numFmtId="0" fontId="3483" fillId="0" borderId="3483" xfId="0" applyFont="1" applyBorder="1" applyAlignment="1">
      <alignment vertical="top"/>
    </xf>
    <xf numFmtId="49" fontId="3484" fillId="0" borderId="3484" xfId="0" applyNumberFormat="1" applyFont="1" applyBorder="1" applyAlignment="1">
      <alignment vertical="top"/>
    </xf>
    <xf numFmtId="0" fontId="3485" fillId="0" borderId="3485" xfId="0" applyFont="1" applyBorder="1" applyAlignment="1">
      <alignment vertical="top"/>
    </xf>
    <xf numFmtId="0" fontId="3486" fillId="0" borderId="3486" xfId="0" applyFont="1" applyBorder="1" applyAlignment="1">
      <alignment vertical="top"/>
    </xf>
    <xf numFmtId="49" fontId="3487" fillId="0" borderId="3487" xfId="0" applyNumberFormat="1" applyFont="1" applyBorder="1" applyAlignment="1">
      <alignment vertical="top"/>
    </xf>
    <xf numFmtId="0" fontId="3488" fillId="0" borderId="3488" xfId="0" applyFont="1" applyBorder="1" applyAlignment="1">
      <alignment vertical="top"/>
    </xf>
    <xf numFmtId="0" fontId="3489" fillId="0" borderId="3489" xfId="0" applyFont="1" applyBorder="1" applyAlignment="1">
      <alignment vertical="top"/>
    </xf>
    <xf numFmtId="49" fontId="3490" fillId="0" borderId="3490" xfId="0" applyNumberFormat="1" applyFont="1" applyBorder="1" applyAlignment="1">
      <alignment vertical="top"/>
    </xf>
    <xf numFmtId="0" fontId="3491" fillId="0" borderId="3491" xfId="0" applyFont="1" applyBorder="1" applyAlignment="1">
      <alignment vertical="top"/>
    </xf>
    <xf numFmtId="0" fontId="3492" fillId="0" borderId="3492" xfId="0" applyFont="1" applyBorder="1" applyAlignment="1">
      <alignment vertical="top"/>
    </xf>
    <xf numFmtId="49" fontId="3493" fillId="0" borderId="3493" xfId="0" applyNumberFormat="1" applyFont="1" applyBorder="1" applyAlignment="1">
      <alignment vertical="top"/>
    </xf>
    <xf numFmtId="0" fontId="3494" fillId="0" borderId="3494" xfId="0" applyFont="1" applyBorder="1" applyAlignment="1">
      <alignment vertical="top"/>
    </xf>
    <xf numFmtId="0" fontId="3495" fillId="0" borderId="3495" xfId="0" applyFont="1" applyBorder="1" applyAlignment="1">
      <alignment vertical="top"/>
    </xf>
    <xf numFmtId="49" fontId="3496" fillId="0" borderId="3496" xfId="0" applyNumberFormat="1" applyFont="1" applyBorder="1" applyAlignment="1">
      <alignment vertical="top"/>
    </xf>
    <xf numFmtId="0" fontId="3497" fillId="0" borderId="3497" xfId="0" applyFont="1" applyBorder="1" applyAlignment="1">
      <alignment vertical="top"/>
    </xf>
    <xf numFmtId="0" fontId="3498" fillId="0" borderId="3498" xfId="0" applyFont="1" applyBorder="1" applyAlignment="1">
      <alignment vertical="top"/>
    </xf>
    <xf numFmtId="49" fontId="3499" fillId="0" borderId="3499" xfId="0" applyNumberFormat="1" applyFont="1" applyBorder="1" applyAlignment="1">
      <alignment vertical="top"/>
    </xf>
    <xf numFmtId="0" fontId="3500" fillId="0" borderId="3500" xfId="0" applyFont="1" applyBorder="1" applyAlignment="1">
      <alignment vertical="top"/>
    </xf>
    <xf numFmtId="0" fontId="3501" fillId="0" borderId="3501" xfId="0" applyFont="1" applyBorder="1" applyAlignment="1">
      <alignment vertical="top"/>
    </xf>
    <xf numFmtId="49" fontId="3502" fillId="0" borderId="3502" xfId="0" applyNumberFormat="1" applyFont="1" applyBorder="1" applyAlignment="1">
      <alignment vertical="top"/>
    </xf>
    <xf numFmtId="0" fontId="3503" fillId="0" borderId="3503" xfId="0" applyFont="1" applyBorder="1" applyAlignment="1">
      <alignment vertical="top"/>
    </xf>
    <xf numFmtId="0" fontId="3504" fillId="0" borderId="3504" xfId="0" applyFont="1" applyBorder="1" applyAlignment="1">
      <alignment vertical="top"/>
    </xf>
    <xf numFmtId="49" fontId="3505" fillId="0" borderId="3505" xfId="0" applyNumberFormat="1" applyFont="1" applyBorder="1" applyAlignment="1">
      <alignment vertical="top"/>
    </xf>
    <xf numFmtId="0" fontId="3506" fillId="0" borderId="3506" xfId="0" applyFont="1" applyBorder="1" applyAlignment="1">
      <alignment vertical="top"/>
    </xf>
    <xf numFmtId="0" fontId="3507" fillId="0" borderId="3507" xfId="0" applyFont="1" applyBorder="1" applyAlignment="1">
      <alignment vertical="top"/>
    </xf>
    <xf numFmtId="49" fontId="3508" fillId="0" borderId="3508" xfId="0" applyNumberFormat="1" applyFont="1" applyBorder="1" applyAlignment="1">
      <alignment vertical="top"/>
    </xf>
    <xf numFmtId="0" fontId="3509" fillId="0" borderId="3509" xfId="0" applyFont="1" applyBorder="1" applyAlignment="1">
      <alignment vertical="top"/>
    </xf>
    <xf numFmtId="0" fontId="3510" fillId="0" borderId="3510" xfId="0" applyFont="1" applyBorder="1" applyAlignment="1">
      <alignment vertical="top"/>
    </xf>
    <xf numFmtId="49" fontId="3511" fillId="0" borderId="3511" xfId="0" applyNumberFormat="1" applyFont="1" applyBorder="1" applyAlignment="1">
      <alignment vertical="top"/>
    </xf>
    <xf numFmtId="0" fontId="3512" fillId="0" borderId="3512" xfId="0" applyFont="1" applyBorder="1" applyAlignment="1">
      <alignment vertical="top"/>
    </xf>
    <xf numFmtId="0" fontId="3513" fillId="0" borderId="3513" xfId="0" applyFont="1" applyBorder="1" applyAlignment="1">
      <alignment vertical="top"/>
    </xf>
    <xf numFmtId="49" fontId="3514" fillId="0" borderId="3514" xfId="0" applyNumberFormat="1" applyFont="1" applyBorder="1" applyAlignment="1">
      <alignment vertical="top"/>
    </xf>
    <xf numFmtId="0" fontId="3515" fillId="0" borderId="3515" xfId="0" applyFont="1" applyBorder="1" applyAlignment="1">
      <alignment vertical="top"/>
    </xf>
    <xf numFmtId="0" fontId="3516" fillId="0" borderId="3516" xfId="0" applyFont="1" applyBorder="1" applyAlignment="1">
      <alignment vertical="top"/>
    </xf>
    <xf numFmtId="49" fontId="3517" fillId="0" borderId="3517" xfId="0" applyNumberFormat="1" applyFont="1" applyBorder="1" applyAlignment="1">
      <alignment vertical="top"/>
    </xf>
    <xf numFmtId="0" fontId="3518" fillId="0" borderId="3518" xfId="0" applyFont="1" applyBorder="1" applyAlignment="1">
      <alignment vertical="top"/>
    </xf>
    <xf numFmtId="0" fontId="3519" fillId="0" borderId="3519" xfId="0" applyFont="1" applyBorder="1" applyAlignment="1">
      <alignment vertical="top"/>
    </xf>
    <xf numFmtId="49" fontId="3520" fillId="0" borderId="3520" xfId="0" applyNumberFormat="1" applyFont="1" applyBorder="1" applyAlignment="1">
      <alignment vertical="top"/>
    </xf>
    <xf numFmtId="0" fontId="3521" fillId="0" borderId="3521" xfId="0" applyFont="1" applyBorder="1" applyAlignment="1">
      <alignment vertical="top"/>
    </xf>
    <xf numFmtId="0" fontId="3522" fillId="0" borderId="3522" xfId="0" applyFont="1" applyBorder="1" applyAlignment="1">
      <alignment vertical="top"/>
    </xf>
    <xf numFmtId="49" fontId="3523" fillId="0" borderId="3523" xfId="0" applyNumberFormat="1" applyFont="1" applyBorder="1" applyAlignment="1">
      <alignment vertical="top"/>
    </xf>
    <xf numFmtId="0" fontId="3524" fillId="0" borderId="3524" xfId="0" applyFont="1" applyBorder="1" applyAlignment="1">
      <alignment vertical="top"/>
    </xf>
    <xf numFmtId="0" fontId="3525" fillId="0" borderId="3525" xfId="0" applyFont="1" applyBorder="1" applyAlignment="1">
      <alignment vertical="top"/>
    </xf>
    <xf numFmtId="49" fontId="3526" fillId="0" borderId="3526" xfId="0" applyNumberFormat="1" applyFont="1" applyBorder="1" applyAlignment="1">
      <alignment vertical="top"/>
    </xf>
    <xf numFmtId="0" fontId="3527" fillId="0" borderId="3527" xfId="0" applyFont="1" applyBorder="1" applyAlignment="1">
      <alignment vertical="top"/>
    </xf>
    <xf numFmtId="0" fontId="3528" fillId="0" borderId="3528" xfId="0" applyFont="1" applyBorder="1" applyAlignment="1">
      <alignment vertical="top"/>
    </xf>
    <xf numFmtId="49" fontId="3529" fillId="0" borderId="3529" xfId="0" applyNumberFormat="1" applyFont="1" applyBorder="1" applyAlignment="1">
      <alignment vertical="top"/>
    </xf>
    <xf numFmtId="0" fontId="3530" fillId="0" borderId="3530" xfId="0" applyFont="1" applyBorder="1" applyAlignment="1">
      <alignment vertical="top"/>
    </xf>
    <xf numFmtId="0" fontId="3531" fillId="0" borderId="3531" xfId="0" applyFont="1" applyBorder="1" applyAlignment="1">
      <alignment vertical="top"/>
    </xf>
    <xf numFmtId="49" fontId="3532" fillId="0" borderId="3532" xfId="0" applyNumberFormat="1" applyFont="1" applyBorder="1" applyAlignment="1">
      <alignment vertical="top"/>
    </xf>
    <xf numFmtId="0" fontId="3533" fillId="0" borderId="3533" xfId="0" applyFont="1" applyBorder="1" applyAlignment="1">
      <alignment vertical="top"/>
    </xf>
    <xf numFmtId="0" fontId="3534" fillId="0" borderId="3534" xfId="0" applyFont="1" applyBorder="1" applyAlignment="1">
      <alignment vertical="top"/>
    </xf>
    <xf numFmtId="49" fontId="3535" fillId="0" borderId="3535" xfId="0" applyNumberFormat="1" applyFont="1" applyBorder="1" applyAlignment="1">
      <alignment vertical="top"/>
    </xf>
    <xf numFmtId="0" fontId="3536" fillId="0" borderId="3536" xfId="0" applyFont="1" applyBorder="1" applyAlignment="1">
      <alignment vertical="top"/>
    </xf>
    <xf numFmtId="0" fontId="3537" fillId="0" borderId="3537" xfId="0" applyFont="1" applyBorder="1" applyAlignment="1">
      <alignment vertical="top"/>
    </xf>
    <xf numFmtId="49" fontId="3538" fillId="0" borderId="3538" xfId="0" applyNumberFormat="1" applyFont="1" applyBorder="1" applyAlignment="1">
      <alignment vertical="top"/>
    </xf>
    <xf numFmtId="0" fontId="3539" fillId="0" borderId="3539" xfId="0" applyFont="1" applyBorder="1" applyAlignment="1">
      <alignment vertical="top"/>
    </xf>
    <xf numFmtId="0" fontId="3540" fillId="0" borderId="3540" xfId="0" applyFont="1" applyBorder="1" applyAlignment="1">
      <alignment vertical="top"/>
    </xf>
    <xf numFmtId="49" fontId="3541" fillId="0" borderId="3541" xfId="0" applyNumberFormat="1" applyFont="1" applyBorder="1" applyAlignment="1">
      <alignment vertical="top"/>
    </xf>
    <xf numFmtId="0" fontId="3542" fillId="0" borderId="3542" xfId="0" applyFont="1" applyBorder="1" applyAlignment="1">
      <alignment vertical="top"/>
    </xf>
    <xf numFmtId="0" fontId="3543" fillId="0" borderId="3543" xfId="0" applyFont="1" applyBorder="1" applyAlignment="1">
      <alignment vertical="top"/>
    </xf>
    <xf numFmtId="49" fontId="3544" fillId="0" borderId="3544" xfId="0" applyNumberFormat="1" applyFont="1" applyBorder="1" applyAlignment="1">
      <alignment vertical="top"/>
    </xf>
    <xf numFmtId="0" fontId="3545" fillId="0" borderId="3545" xfId="0" applyFont="1" applyBorder="1" applyAlignment="1">
      <alignment vertical="top"/>
    </xf>
    <xf numFmtId="0" fontId="3546" fillId="0" borderId="3546" xfId="0" applyFont="1" applyBorder="1" applyAlignment="1">
      <alignment vertical="top"/>
    </xf>
    <xf numFmtId="49" fontId="3547" fillId="0" borderId="3547" xfId="0" applyNumberFormat="1" applyFont="1" applyBorder="1" applyAlignment="1">
      <alignment vertical="top"/>
    </xf>
    <xf numFmtId="0" fontId="3548" fillId="0" borderId="3548" xfId="0" applyFont="1" applyBorder="1" applyAlignment="1">
      <alignment vertical="top"/>
    </xf>
    <xf numFmtId="0" fontId="3549" fillId="0" borderId="3549" xfId="0" applyFont="1" applyBorder="1" applyAlignment="1">
      <alignment vertical="top"/>
    </xf>
    <xf numFmtId="49" fontId="3550" fillId="0" borderId="3550" xfId="0" applyNumberFormat="1" applyFont="1" applyBorder="1" applyAlignment="1">
      <alignment vertical="top"/>
    </xf>
    <xf numFmtId="0" fontId="3551" fillId="0" borderId="3551" xfId="0" applyFont="1" applyBorder="1" applyAlignment="1">
      <alignment vertical="top"/>
    </xf>
    <xf numFmtId="0" fontId="3552" fillId="0" borderId="3552" xfId="0" applyFont="1" applyBorder="1" applyAlignment="1">
      <alignment vertical="top"/>
    </xf>
    <xf numFmtId="49" fontId="3553" fillId="0" borderId="3553" xfId="0" applyNumberFormat="1" applyFont="1" applyBorder="1" applyAlignment="1">
      <alignment vertical="top"/>
    </xf>
    <xf numFmtId="0" fontId="3554" fillId="0" borderId="3554" xfId="0" applyFont="1" applyBorder="1" applyAlignment="1">
      <alignment vertical="top"/>
    </xf>
    <xf numFmtId="0" fontId="3555" fillId="0" borderId="3555" xfId="0" applyFont="1" applyBorder="1" applyAlignment="1">
      <alignment vertical="top"/>
    </xf>
    <xf numFmtId="49" fontId="3556" fillId="0" borderId="3556" xfId="0" applyNumberFormat="1" applyFont="1" applyBorder="1" applyAlignment="1">
      <alignment vertical="top"/>
    </xf>
    <xf numFmtId="0" fontId="3557" fillId="0" borderId="3557" xfId="0" applyFont="1" applyBorder="1" applyAlignment="1">
      <alignment vertical="top"/>
    </xf>
    <xf numFmtId="0" fontId="3558" fillId="0" borderId="3558" xfId="0" applyFont="1" applyBorder="1" applyAlignment="1">
      <alignment vertical="top"/>
    </xf>
    <xf numFmtId="49" fontId="3559" fillId="0" borderId="3559" xfId="0" applyNumberFormat="1" applyFont="1" applyBorder="1" applyAlignment="1">
      <alignment vertical="top"/>
    </xf>
    <xf numFmtId="0" fontId="3560" fillId="0" borderId="3560" xfId="0" applyFont="1" applyBorder="1" applyAlignment="1">
      <alignment vertical="top"/>
    </xf>
    <xf numFmtId="0" fontId="3561" fillId="0" borderId="3561" xfId="0" applyFont="1" applyBorder="1" applyAlignment="1">
      <alignment vertical="top"/>
    </xf>
    <xf numFmtId="49" fontId="3562" fillId="0" borderId="3562" xfId="0" applyNumberFormat="1" applyFont="1" applyBorder="1" applyAlignment="1">
      <alignment vertical="top"/>
    </xf>
    <xf numFmtId="0" fontId="3563" fillId="0" borderId="3563" xfId="0" applyFont="1" applyBorder="1" applyAlignment="1">
      <alignment vertical="top"/>
    </xf>
    <xf numFmtId="0" fontId="3564" fillId="0" borderId="3564" xfId="0" applyFont="1" applyBorder="1" applyAlignment="1">
      <alignment vertical="top"/>
    </xf>
    <xf numFmtId="49" fontId="3565" fillId="0" borderId="3565" xfId="0" applyNumberFormat="1" applyFont="1" applyBorder="1" applyAlignment="1">
      <alignment vertical="top"/>
    </xf>
    <xf numFmtId="0" fontId="3566" fillId="0" borderId="3566" xfId="0" applyFont="1" applyBorder="1" applyAlignment="1">
      <alignment vertical="top"/>
    </xf>
    <xf numFmtId="0" fontId="3567" fillId="0" borderId="3567" xfId="0" applyFont="1" applyBorder="1" applyAlignment="1">
      <alignment vertical="top"/>
    </xf>
    <xf numFmtId="49" fontId="3568" fillId="0" borderId="3568" xfId="0" applyNumberFormat="1" applyFont="1" applyBorder="1" applyAlignment="1">
      <alignment vertical="top"/>
    </xf>
    <xf numFmtId="0" fontId="3569" fillId="0" borderId="3569" xfId="0" applyFont="1" applyBorder="1" applyAlignment="1">
      <alignment vertical="top"/>
    </xf>
    <xf numFmtId="0" fontId="3570" fillId="0" borderId="3570" xfId="0" applyFont="1" applyBorder="1" applyAlignment="1">
      <alignment vertical="top"/>
    </xf>
    <xf numFmtId="49" fontId="3571" fillId="0" borderId="3571" xfId="0" applyNumberFormat="1" applyFont="1" applyBorder="1" applyAlignment="1">
      <alignment vertical="top"/>
    </xf>
    <xf numFmtId="0" fontId="3572" fillId="0" borderId="3572" xfId="0" applyFont="1" applyBorder="1" applyAlignment="1">
      <alignment vertical="top"/>
    </xf>
    <xf numFmtId="0" fontId="3573" fillId="0" borderId="3573" xfId="0" applyFont="1" applyBorder="1" applyAlignment="1">
      <alignment vertical="top"/>
    </xf>
    <xf numFmtId="49" fontId="3574" fillId="0" borderId="3574" xfId="0" applyNumberFormat="1" applyFont="1" applyBorder="1" applyAlignment="1">
      <alignment vertical="top"/>
    </xf>
    <xf numFmtId="0" fontId="3575" fillId="0" borderId="3575" xfId="0" applyFont="1" applyBorder="1" applyAlignment="1">
      <alignment vertical="top"/>
    </xf>
    <xf numFmtId="0" fontId="3576" fillId="0" borderId="3576" xfId="0" applyFont="1" applyBorder="1" applyAlignment="1">
      <alignment vertical="top"/>
    </xf>
    <xf numFmtId="49" fontId="3577" fillId="0" borderId="3577" xfId="0" applyNumberFormat="1" applyFont="1" applyBorder="1" applyAlignment="1">
      <alignment vertical="top"/>
    </xf>
    <xf numFmtId="0" fontId="3578" fillId="0" borderId="3578" xfId="0" applyFont="1" applyBorder="1" applyAlignment="1">
      <alignment vertical="top"/>
    </xf>
    <xf numFmtId="0" fontId="3579" fillId="0" borderId="3579" xfId="0" applyFont="1" applyBorder="1" applyAlignment="1">
      <alignment vertical="top"/>
    </xf>
    <xf numFmtId="49" fontId="3580" fillId="0" borderId="3580" xfId="0" applyNumberFormat="1" applyFont="1" applyBorder="1" applyAlignment="1">
      <alignment vertical="top"/>
    </xf>
    <xf numFmtId="0" fontId="3581" fillId="0" borderId="3581" xfId="0" applyFont="1" applyBorder="1" applyAlignment="1">
      <alignment vertical="top"/>
    </xf>
    <xf numFmtId="0" fontId="3582" fillId="0" borderId="3582" xfId="0" applyFont="1" applyBorder="1" applyAlignment="1">
      <alignment vertical="top"/>
    </xf>
    <xf numFmtId="49" fontId="3583" fillId="0" borderId="3583" xfId="0" applyNumberFormat="1" applyFont="1" applyBorder="1" applyAlignment="1">
      <alignment vertical="top"/>
    </xf>
    <xf numFmtId="0" fontId="3584" fillId="0" borderId="3584" xfId="0" applyFont="1" applyBorder="1" applyAlignment="1">
      <alignment vertical="top"/>
    </xf>
    <xf numFmtId="0" fontId="3585" fillId="0" borderId="3585" xfId="0" applyFont="1" applyBorder="1" applyAlignment="1">
      <alignment vertical="top"/>
    </xf>
    <xf numFmtId="49" fontId="3586" fillId="0" borderId="3586" xfId="0" applyNumberFormat="1" applyFont="1" applyBorder="1" applyAlignment="1">
      <alignment vertical="top"/>
    </xf>
    <xf numFmtId="0" fontId="3587" fillId="0" borderId="3587" xfId="0" applyFont="1" applyBorder="1" applyAlignment="1">
      <alignment vertical="top"/>
    </xf>
    <xf numFmtId="0" fontId="3588" fillId="0" borderId="3588" xfId="0" applyFont="1" applyBorder="1" applyAlignment="1">
      <alignment vertical="top"/>
    </xf>
    <xf numFmtId="49" fontId="3589" fillId="0" borderId="3589" xfId="0" applyNumberFormat="1" applyFont="1" applyBorder="1" applyAlignment="1">
      <alignment vertical="top"/>
    </xf>
    <xf numFmtId="0" fontId="3590" fillId="0" borderId="3590" xfId="0" applyFont="1" applyBorder="1" applyAlignment="1">
      <alignment vertical="top"/>
    </xf>
    <xf numFmtId="0" fontId="3591" fillId="0" borderId="3591" xfId="0" applyFont="1" applyBorder="1" applyAlignment="1">
      <alignment vertical="top"/>
    </xf>
    <xf numFmtId="49" fontId="3592" fillId="0" borderId="3592" xfId="0" applyNumberFormat="1" applyFont="1" applyBorder="1" applyAlignment="1">
      <alignment vertical="top"/>
    </xf>
    <xf numFmtId="0" fontId="3593" fillId="0" borderId="3593" xfId="0" applyFont="1" applyBorder="1" applyAlignment="1">
      <alignment vertical="top"/>
    </xf>
    <xf numFmtId="0" fontId="3594" fillId="0" borderId="3594" xfId="0" applyFont="1" applyBorder="1" applyAlignment="1">
      <alignment vertical="top"/>
    </xf>
    <xf numFmtId="49" fontId="3595" fillId="0" borderId="3595" xfId="0" applyNumberFormat="1" applyFont="1" applyBorder="1" applyAlignment="1">
      <alignment vertical="top"/>
    </xf>
    <xf numFmtId="0" fontId="3596" fillId="0" borderId="3596" xfId="0" applyFont="1" applyBorder="1" applyAlignment="1">
      <alignment vertical="top"/>
    </xf>
    <xf numFmtId="0" fontId="3597" fillId="0" borderId="3597" xfId="0" applyFont="1" applyBorder="1" applyAlignment="1">
      <alignment vertical="top"/>
    </xf>
    <xf numFmtId="49" fontId="3598" fillId="0" borderId="3598" xfId="0" applyNumberFormat="1" applyFont="1" applyBorder="1" applyAlignment="1">
      <alignment vertical="top"/>
    </xf>
    <xf numFmtId="0" fontId="3599" fillId="0" borderId="3599" xfId="0" applyFont="1" applyBorder="1" applyAlignment="1">
      <alignment vertical="top"/>
    </xf>
    <xf numFmtId="0" fontId="3600" fillId="0" borderId="3600" xfId="0" applyFont="1" applyBorder="1" applyAlignment="1">
      <alignment vertical="top"/>
    </xf>
    <xf numFmtId="49" fontId="3601" fillId="0" borderId="3601" xfId="0" applyNumberFormat="1" applyFont="1" applyBorder="1" applyAlignment="1">
      <alignment vertical="top"/>
    </xf>
    <xf numFmtId="0" fontId="3602" fillId="0" borderId="3602" xfId="0" applyFont="1" applyBorder="1" applyAlignment="1">
      <alignment vertical="top"/>
    </xf>
    <xf numFmtId="0" fontId="3603" fillId="0" borderId="3603" xfId="0" applyFont="1" applyBorder="1" applyAlignment="1">
      <alignment vertical="top"/>
    </xf>
    <xf numFmtId="49" fontId="3604" fillId="0" borderId="3604" xfId="0" applyNumberFormat="1" applyFont="1" applyBorder="1" applyAlignment="1">
      <alignment vertical="top"/>
    </xf>
    <xf numFmtId="0" fontId="3605" fillId="0" borderId="3605" xfId="0" applyFont="1" applyBorder="1" applyAlignment="1">
      <alignment vertical="top"/>
    </xf>
    <xf numFmtId="0" fontId="3606" fillId="0" borderId="3606" xfId="0" applyFont="1" applyBorder="1" applyAlignment="1">
      <alignment vertical="top"/>
    </xf>
    <xf numFmtId="49" fontId="3607" fillId="0" borderId="3607" xfId="0" applyNumberFormat="1" applyFont="1" applyBorder="1" applyAlignment="1">
      <alignment vertical="top"/>
    </xf>
    <xf numFmtId="0" fontId="3608" fillId="0" borderId="3608" xfId="0" applyFont="1" applyBorder="1" applyAlignment="1">
      <alignment vertical="top"/>
    </xf>
    <xf numFmtId="0" fontId="3609" fillId="0" borderId="3609" xfId="0" applyFont="1" applyBorder="1" applyAlignment="1">
      <alignment vertical="top"/>
    </xf>
    <xf numFmtId="49" fontId="3610" fillId="0" borderId="3610" xfId="0" applyNumberFormat="1" applyFont="1" applyBorder="1" applyAlignment="1">
      <alignment vertical="top"/>
    </xf>
    <xf numFmtId="0" fontId="3611" fillId="0" borderId="3611" xfId="0" applyFont="1" applyBorder="1" applyAlignment="1">
      <alignment vertical="top"/>
    </xf>
    <xf numFmtId="0" fontId="3612" fillId="0" borderId="3612" xfId="0" applyFont="1" applyBorder="1" applyAlignment="1">
      <alignment vertical="top"/>
    </xf>
    <xf numFmtId="49" fontId="3613" fillId="0" borderId="3613" xfId="0" applyNumberFormat="1" applyFont="1" applyBorder="1" applyAlignment="1">
      <alignment vertical="top"/>
    </xf>
    <xf numFmtId="0" fontId="3614" fillId="0" borderId="3614" xfId="0" applyFont="1" applyBorder="1" applyAlignment="1">
      <alignment vertical="top"/>
    </xf>
    <xf numFmtId="0" fontId="3615" fillId="0" borderId="3615" xfId="0" applyFont="1" applyBorder="1" applyAlignment="1">
      <alignment vertical="top"/>
    </xf>
    <xf numFmtId="49" fontId="3616" fillId="0" borderId="3616" xfId="0" applyNumberFormat="1" applyFont="1" applyBorder="1" applyAlignment="1">
      <alignment vertical="top"/>
    </xf>
    <xf numFmtId="0" fontId="3617" fillId="0" borderId="3617" xfId="0" applyFont="1" applyBorder="1" applyAlignment="1">
      <alignment vertical="top"/>
    </xf>
    <xf numFmtId="0" fontId="3618" fillId="0" borderId="3618" xfId="0" applyFont="1" applyBorder="1" applyAlignment="1">
      <alignment vertical="top"/>
    </xf>
    <xf numFmtId="49" fontId="3619" fillId="0" borderId="3619" xfId="0" applyNumberFormat="1" applyFont="1" applyBorder="1" applyAlignment="1">
      <alignment vertical="top"/>
    </xf>
    <xf numFmtId="0" fontId="3620" fillId="0" borderId="3620" xfId="0" applyFont="1" applyBorder="1" applyAlignment="1">
      <alignment vertical="top"/>
    </xf>
    <xf numFmtId="0" fontId="3621" fillId="0" borderId="3621" xfId="0" applyFont="1" applyBorder="1" applyAlignment="1">
      <alignment vertical="top"/>
    </xf>
    <xf numFmtId="49" fontId="3622" fillId="0" borderId="3622" xfId="0" applyNumberFormat="1" applyFont="1" applyBorder="1" applyAlignment="1">
      <alignment vertical="top"/>
    </xf>
    <xf numFmtId="0" fontId="3623" fillId="0" borderId="3623" xfId="0" applyFont="1" applyBorder="1" applyAlignment="1">
      <alignment vertical="top"/>
    </xf>
    <xf numFmtId="0" fontId="3624" fillId="0" borderId="3624" xfId="0" applyFont="1" applyBorder="1" applyAlignment="1">
      <alignment vertical="top"/>
    </xf>
    <xf numFmtId="49" fontId="3625" fillId="0" borderId="3625" xfId="0" applyNumberFormat="1" applyFont="1" applyBorder="1" applyAlignment="1">
      <alignment vertical="top"/>
    </xf>
    <xf numFmtId="0" fontId="3626" fillId="0" borderId="3626" xfId="0" applyFont="1" applyBorder="1" applyAlignment="1">
      <alignment vertical="top"/>
    </xf>
    <xf numFmtId="0" fontId="3627" fillId="0" borderId="3627" xfId="0" applyFont="1" applyBorder="1" applyAlignment="1">
      <alignment vertical="top"/>
    </xf>
    <xf numFmtId="49" fontId="3628" fillId="0" borderId="3628" xfId="0" applyNumberFormat="1" applyFont="1" applyBorder="1" applyAlignment="1">
      <alignment vertical="top"/>
    </xf>
    <xf numFmtId="0" fontId="3629" fillId="0" borderId="3629" xfId="0" applyFont="1" applyBorder="1" applyAlignment="1">
      <alignment vertical="top"/>
    </xf>
    <xf numFmtId="0" fontId="3630" fillId="0" borderId="3630" xfId="0" applyFont="1" applyBorder="1" applyAlignment="1">
      <alignment vertical="top"/>
    </xf>
    <xf numFmtId="49" fontId="3631" fillId="0" borderId="3631" xfId="0" applyNumberFormat="1" applyFont="1" applyBorder="1" applyAlignment="1">
      <alignment vertical="top"/>
    </xf>
    <xf numFmtId="0" fontId="3632" fillId="0" borderId="3632" xfId="0" applyFont="1" applyBorder="1" applyAlignment="1">
      <alignment vertical="top"/>
    </xf>
    <xf numFmtId="0" fontId="3633" fillId="0" borderId="3633" xfId="0" applyFont="1" applyBorder="1" applyAlignment="1">
      <alignment vertical="top"/>
    </xf>
    <xf numFmtId="49" fontId="3634" fillId="0" borderId="3634" xfId="0" applyNumberFormat="1" applyFont="1" applyBorder="1" applyAlignment="1">
      <alignment vertical="top"/>
    </xf>
    <xf numFmtId="0" fontId="3635" fillId="0" borderId="3635" xfId="0" applyFont="1" applyBorder="1" applyAlignment="1">
      <alignment vertical="top"/>
    </xf>
    <xf numFmtId="0" fontId="3636" fillId="0" borderId="3636" xfId="0" applyFont="1" applyBorder="1" applyAlignment="1">
      <alignment vertical="top"/>
    </xf>
    <xf numFmtId="49" fontId="3637" fillId="0" borderId="3637" xfId="0" applyNumberFormat="1" applyFont="1" applyBorder="1" applyAlignment="1">
      <alignment vertical="top"/>
    </xf>
    <xf numFmtId="0" fontId="3638" fillId="0" borderId="3638" xfId="0" applyFont="1" applyBorder="1" applyAlignment="1">
      <alignment vertical="top"/>
    </xf>
    <xf numFmtId="0" fontId="3639" fillId="0" borderId="3639" xfId="0" applyFont="1" applyBorder="1" applyAlignment="1">
      <alignment vertical="top"/>
    </xf>
    <xf numFmtId="49" fontId="3640" fillId="0" borderId="3640" xfId="0" applyNumberFormat="1" applyFont="1" applyBorder="1" applyAlignment="1">
      <alignment vertical="top"/>
    </xf>
    <xf numFmtId="0" fontId="3641" fillId="0" borderId="3641" xfId="0" applyFont="1" applyBorder="1" applyAlignment="1">
      <alignment vertical="top"/>
    </xf>
    <xf numFmtId="0" fontId="3642" fillId="0" borderId="3642" xfId="0" applyFont="1" applyBorder="1" applyAlignment="1">
      <alignment vertical="top"/>
    </xf>
    <xf numFmtId="49" fontId="3643" fillId="0" borderId="3643" xfId="0" applyNumberFormat="1" applyFont="1" applyBorder="1" applyAlignment="1">
      <alignment vertical="top"/>
    </xf>
    <xf numFmtId="0" fontId="3644" fillId="0" borderId="3644" xfId="0" applyFont="1" applyBorder="1" applyAlignment="1">
      <alignment vertical="top"/>
    </xf>
    <xf numFmtId="0" fontId="3645" fillId="0" borderId="3645" xfId="0" applyFont="1" applyBorder="1" applyAlignment="1">
      <alignment vertical="top"/>
    </xf>
    <xf numFmtId="49" fontId="3646" fillId="0" borderId="3646" xfId="0" applyNumberFormat="1" applyFont="1" applyBorder="1" applyAlignment="1">
      <alignment vertical="top"/>
    </xf>
    <xf numFmtId="0" fontId="3647" fillId="0" borderId="3647" xfId="0" applyFont="1" applyBorder="1" applyAlignment="1">
      <alignment vertical="top"/>
    </xf>
    <xf numFmtId="0" fontId="3648" fillId="0" borderId="3648" xfId="0" applyFont="1" applyBorder="1" applyAlignment="1">
      <alignment vertical="top"/>
    </xf>
    <xf numFmtId="49" fontId="3649" fillId="0" borderId="3649" xfId="0" applyNumberFormat="1" applyFont="1" applyBorder="1" applyAlignment="1">
      <alignment vertical="top"/>
    </xf>
    <xf numFmtId="0" fontId="3650" fillId="0" borderId="3650" xfId="0" applyFont="1" applyBorder="1" applyAlignment="1">
      <alignment vertical="top"/>
    </xf>
    <xf numFmtId="0" fontId="3651" fillId="0" borderId="3651" xfId="0" applyFont="1" applyBorder="1" applyAlignment="1">
      <alignment vertical="top"/>
    </xf>
    <xf numFmtId="49" fontId="3652" fillId="0" borderId="3652" xfId="0" applyNumberFormat="1" applyFont="1" applyBorder="1" applyAlignment="1">
      <alignment vertical="top"/>
    </xf>
    <xf numFmtId="0" fontId="3653" fillId="0" borderId="3653" xfId="0" applyFont="1" applyBorder="1" applyAlignment="1">
      <alignment vertical="top"/>
    </xf>
    <xf numFmtId="0" fontId="3654" fillId="0" borderId="3654" xfId="0" applyFont="1" applyBorder="1" applyAlignment="1">
      <alignment vertical="top"/>
    </xf>
    <xf numFmtId="49" fontId="3655" fillId="0" borderId="3655" xfId="0" applyNumberFormat="1" applyFont="1" applyBorder="1" applyAlignment="1">
      <alignment vertical="top"/>
    </xf>
    <xf numFmtId="0" fontId="3656" fillId="0" borderId="3656" xfId="0" applyFont="1" applyBorder="1" applyAlignment="1">
      <alignment vertical="top"/>
    </xf>
    <xf numFmtId="0" fontId="3657" fillId="0" borderId="3657" xfId="0" applyFont="1" applyBorder="1" applyAlignment="1">
      <alignment vertical="top"/>
    </xf>
    <xf numFmtId="49" fontId="3658" fillId="0" borderId="3658" xfId="0" applyNumberFormat="1" applyFont="1" applyBorder="1" applyAlignment="1">
      <alignment vertical="top"/>
    </xf>
    <xf numFmtId="0" fontId="3659" fillId="0" borderId="3659" xfId="0" applyFont="1" applyBorder="1" applyAlignment="1">
      <alignment vertical="top"/>
    </xf>
    <xf numFmtId="0" fontId="3660" fillId="0" borderId="3660" xfId="0" applyFont="1" applyBorder="1" applyAlignment="1">
      <alignment vertical="top"/>
    </xf>
    <xf numFmtId="49" fontId="3661" fillId="0" borderId="3661" xfId="0" applyNumberFormat="1" applyFont="1" applyBorder="1" applyAlignment="1">
      <alignment vertical="top"/>
    </xf>
    <xf numFmtId="0" fontId="3662" fillId="0" borderId="3662" xfId="0" applyFont="1" applyBorder="1" applyAlignment="1">
      <alignment vertical="top"/>
    </xf>
    <xf numFmtId="0" fontId="3663" fillId="0" borderId="3663" xfId="0" applyFont="1" applyBorder="1" applyAlignment="1">
      <alignment vertical="top"/>
    </xf>
    <xf numFmtId="49" fontId="3664" fillId="0" borderId="3664" xfId="0" applyNumberFormat="1" applyFont="1" applyBorder="1" applyAlignment="1">
      <alignment vertical="top"/>
    </xf>
    <xf numFmtId="0" fontId="3665" fillId="0" borderId="3665" xfId="0" applyFont="1" applyBorder="1" applyAlignment="1">
      <alignment vertical="top"/>
    </xf>
    <xf numFmtId="0" fontId="3666" fillId="0" borderId="3666" xfId="0" applyFont="1" applyBorder="1" applyAlignment="1">
      <alignment vertical="top"/>
    </xf>
    <xf numFmtId="49" fontId="3667" fillId="0" borderId="3667" xfId="0" applyNumberFormat="1" applyFont="1" applyBorder="1" applyAlignment="1">
      <alignment vertical="top"/>
    </xf>
    <xf numFmtId="0" fontId="3668" fillId="0" borderId="3668" xfId="0" applyFont="1" applyBorder="1" applyAlignment="1">
      <alignment vertical="top"/>
    </xf>
    <xf numFmtId="0" fontId="3669" fillId="0" borderId="3669" xfId="0" applyFont="1" applyBorder="1" applyAlignment="1">
      <alignment vertical="top"/>
    </xf>
    <xf numFmtId="49" fontId="3670" fillId="0" borderId="3670" xfId="0" applyNumberFormat="1" applyFont="1" applyBorder="1" applyAlignment="1">
      <alignment vertical="top"/>
    </xf>
    <xf numFmtId="0" fontId="3671" fillId="0" borderId="3671" xfId="0" applyFont="1" applyBorder="1" applyAlignment="1">
      <alignment vertical="top"/>
    </xf>
    <xf numFmtId="0" fontId="3672" fillId="0" borderId="3672" xfId="0" applyFont="1" applyBorder="1" applyAlignment="1">
      <alignment vertical="top"/>
    </xf>
    <xf numFmtId="49" fontId="3673" fillId="0" borderId="3673" xfId="0" applyNumberFormat="1" applyFont="1" applyBorder="1" applyAlignment="1">
      <alignment vertical="top"/>
    </xf>
    <xf numFmtId="0" fontId="3674" fillId="0" borderId="3674" xfId="0" applyFont="1" applyBorder="1" applyAlignment="1">
      <alignment vertical="top"/>
    </xf>
    <xf numFmtId="0" fontId="3675" fillId="0" borderId="3675" xfId="0" applyFont="1" applyBorder="1" applyAlignment="1">
      <alignment vertical="top"/>
    </xf>
    <xf numFmtId="49" fontId="3676" fillId="0" borderId="3676" xfId="0" applyNumberFormat="1" applyFont="1" applyBorder="1" applyAlignment="1">
      <alignment vertical="top"/>
    </xf>
    <xf numFmtId="0" fontId="3677" fillId="0" borderId="3677" xfId="0" applyFont="1" applyBorder="1" applyAlignment="1">
      <alignment vertical="top"/>
    </xf>
    <xf numFmtId="0" fontId="3678" fillId="0" borderId="3678" xfId="0" applyFont="1" applyBorder="1" applyAlignment="1">
      <alignment vertical="top"/>
    </xf>
    <xf numFmtId="49" fontId="3679" fillId="0" borderId="3679" xfId="0" applyNumberFormat="1" applyFont="1" applyBorder="1" applyAlignment="1">
      <alignment vertical="top"/>
    </xf>
    <xf numFmtId="0" fontId="3680" fillId="0" borderId="3680" xfId="0" applyFont="1" applyBorder="1" applyAlignment="1">
      <alignment vertical="top"/>
    </xf>
    <xf numFmtId="0" fontId="3681" fillId="0" borderId="3681" xfId="0" applyFont="1" applyBorder="1" applyAlignment="1">
      <alignment vertical="top"/>
    </xf>
    <xf numFmtId="49" fontId="3682" fillId="0" borderId="3682" xfId="0" applyNumberFormat="1" applyFont="1" applyBorder="1" applyAlignment="1">
      <alignment vertical="top"/>
    </xf>
    <xf numFmtId="0" fontId="3683" fillId="0" borderId="3683" xfId="0" applyFont="1" applyBorder="1" applyAlignment="1">
      <alignment vertical="top"/>
    </xf>
    <xf numFmtId="0" fontId="3684" fillId="0" borderId="3684" xfId="0" applyFont="1" applyBorder="1" applyAlignment="1">
      <alignment vertical="top"/>
    </xf>
    <xf numFmtId="49" fontId="3685" fillId="0" borderId="3685" xfId="0" applyNumberFormat="1" applyFont="1" applyBorder="1" applyAlignment="1">
      <alignment vertical="top"/>
    </xf>
    <xf numFmtId="0" fontId="3686" fillId="0" borderId="3686" xfId="0" applyFont="1" applyBorder="1" applyAlignment="1">
      <alignment vertical="top"/>
    </xf>
    <xf numFmtId="0" fontId="3687" fillId="0" borderId="3687" xfId="0" applyFont="1" applyBorder="1" applyAlignment="1">
      <alignment vertical="top"/>
    </xf>
    <xf numFmtId="49" fontId="3688" fillId="0" borderId="3688" xfId="0" applyNumberFormat="1" applyFont="1" applyBorder="1" applyAlignment="1">
      <alignment vertical="top"/>
    </xf>
    <xf numFmtId="0" fontId="3689" fillId="0" borderId="3689" xfId="0" applyFont="1" applyBorder="1" applyAlignment="1">
      <alignment vertical="top"/>
    </xf>
    <xf numFmtId="0" fontId="3690" fillId="0" borderId="3690" xfId="0" applyFont="1" applyBorder="1" applyAlignment="1">
      <alignment vertical="top"/>
    </xf>
    <xf numFmtId="49" fontId="3691" fillId="0" borderId="3691" xfId="0" applyNumberFormat="1" applyFont="1" applyBorder="1" applyAlignment="1">
      <alignment vertical="top"/>
    </xf>
    <xf numFmtId="0" fontId="3692" fillId="0" borderId="3692" xfId="0" applyFont="1" applyBorder="1" applyAlignment="1">
      <alignment vertical="top"/>
    </xf>
    <xf numFmtId="0" fontId="3693" fillId="0" borderId="3693" xfId="0" applyFont="1" applyBorder="1" applyAlignment="1">
      <alignment vertical="top"/>
    </xf>
    <xf numFmtId="49" fontId="3694" fillId="0" borderId="3694" xfId="0" applyNumberFormat="1" applyFont="1" applyBorder="1" applyAlignment="1">
      <alignment vertical="top"/>
    </xf>
    <xf numFmtId="0" fontId="3695" fillId="0" borderId="3695" xfId="0" applyFont="1" applyBorder="1" applyAlignment="1">
      <alignment vertical="top"/>
    </xf>
    <xf numFmtId="0" fontId="3696" fillId="0" borderId="3696" xfId="0" applyFont="1" applyBorder="1" applyAlignment="1">
      <alignment vertical="top"/>
    </xf>
    <xf numFmtId="49" fontId="3697" fillId="0" borderId="3697" xfId="0" applyNumberFormat="1" applyFont="1" applyBorder="1" applyAlignment="1">
      <alignment vertical="top"/>
    </xf>
    <xf numFmtId="0" fontId="3698" fillId="0" borderId="3698" xfId="0" applyFont="1" applyBorder="1" applyAlignment="1">
      <alignment vertical="top"/>
    </xf>
    <xf numFmtId="0" fontId="3699" fillId="0" borderId="3699" xfId="0" applyFont="1" applyBorder="1" applyAlignment="1">
      <alignment vertical="top"/>
    </xf>
    <xf numFmtId="49" fontId="3700" fillId="0" borderId="3700" xfId="0" applyNumberFormat="1" applyFont="1" applyBorder="1" applyAlignment="1">
      <alignment vertical="top"/>
    </xf>
    <xf numFmtId="0" fontId="3701" fillId="0" borderId="3701" xfId="0" applyFont="1" applyBorder="1" applyAlignment="1">
      <alignment vertical="top"/>
    </xf>
    <xf numFmtId="0" fontId="3702" fillId="0" borderId="3702" xfId="0" applyFont="1" applyBorder="1" applyAlignment="1">
      <alignment vertical="top"/>
    </xf>
    <xf numFmtId="49" fontId="3703" fillId="0" borderId="3703" xfId="0" applyNumberFormat="1" applyFont="1" applyBorder="1" applyAlignment="1">
      <alignment vertical="top"/>
    </xf>
    <xf numFmtId="0" fontId="3704" fillId="0" borderId="3704" xfId="0" applyFont="1" applyBorder="1" applyAlignment="1">
      <alignment vertical="top"/>
    </xf>
    <xf numFmtId="0" fontId="3705" fillId="0" borderId="3705" xfId="0" applyFont="1" applyBorder="1" applyAlignment="1">
      <alignment vertical="top"/>
    </xf>
    <xf numFmtId="49" fontId="3706" fillId="0" borderId="3706" xfId="0" applyNumberFormat="1" applyFont="1" applyBorder="1" applyAlignment="1">
      <alignment vertical="top"/>
    </xf>
    <xf numFmtId="0" fontId="3707" fillId="0" borderId="3707" xfId="0" applyFont="1" applyBorder="1" applyAlignment="1">
      <alignment vertical="top"/>
    </xf>
    <xf numFmtId="0" fontId="3708" fillId="0" borderId="3708" xfId="0" applyFont="1" applyBorder="1" applyAlignment="1">
      <alignment vertical="top"/>
    </xf>
    <xf numFmtId="49" fontId="3709" fillId="0" borderId="3709" xfId="0" applyNumberFormat="1" applyFont="1" applyBorder="1" applyAlignment="1">
      <alignment vertical="top"/>
    </xf>
    <xf numFmtId="0" fontId="3710" fillId="0" borderId="3710" xfId="0" applyFont="1" applyBorder="1" applyAlignment="1">
      <alignment vertical="top"/>
    </xf>
    <xf numFmtId="0" fontId="3711" fillId="0" borderId="3711" xfId="0" applyFont="1" applyBorder="1" applyAlignment="1">
      <alignment vertical="top"/>
    </xf>
    <xf numFmtId="49" fontId="3712" fillId="0" borderId="3712" xfId="0" applyNumberFormat="1" applyFont="1" applyBorder="1" applyAlignment="1">
      <alignment vertical="top"/>
    </xf>
    <xf numFmtId="0" fontId="3713" fillId="0" borderId="3713" xfId="0" applyFont="1" applyBorder="1" applyAlignment="1">
      <alignment vertical="top"/>
    </xf>
    <xf numFmtId="0" fontId="3714" fillId="0" borderId="3714" xfId="0" applyFont="1" applyBorder="1" applyAlignment="1">
      <alignment vertical="top"/>
    </xf>
    <xf numFmtId="49" fontId="3715" fillId="0" borderId="3715" xfId="0" applyNumberFormat="1" applyFont="1" applyBorder="1" applyAlignment="1">
      <alignment vertical="top"/>
    </xf>
    <xf numFmtId="0" fontId="3716" fillId="0" borderId="3716" xfId="0" applyFont="1" applyBorder="1" applyAlignment="1">
      <alignment vertical="top"/>
    </xf>
    <xf numFmtId="0" fontId="3717" fillId="0" borderId="3717" xfId="0" applyFont="1" applyBorder="1" applyAlignment="1">
      <alignment vertical="top"/>
    </xf>
    <xf numFmtId="49" fontId="3718" fillId="0" borderId="3718" xfId="0" applyNumberFormat="1" applyFont="1" applyBorder="1" applyAlignment="1">
      <alignment vertical="top"/>
    </xf>
    <xf numFmtId="0" fontId="3719" fillId="0" borderId="3719" xfId="0" applyFont="1" applyBorder="1" applyAlignment="1">
      <alignment vertical="top"/>
    </xf>
    <xf numFmtId="0" fontId="3720" fillId="0" borderId="3720" xfId="0" applyFont="1" applyBorder="1" applyAlignment="1">
      <alignment vertical="top"/>
    </xf>
    <xf numFmtId="49" fontId="3721" fillId="0" borderId="3721" xfId="0" applyNumberFormat="1" applyFont="1" applyBorder="1" applyAlignment="1">
      <alignment vertical="top"/>
    </xf>
    <xf numFmtId="0" fontId="3722" fillId="0" borderId="3722" xfId="0" applyFont="1" applyBorder="1" applyAlignment="1">
      <alignment vertical="top"/>
    </xf>
    <xf numFmtId="0" fontId="3723" fillId="0" borderId="3723" xfId="0" applyFont="1" applyBorder="1" applyAlignment="1">
      <alignment vertical="top"/>
    </xf>
    <xf numFmtId="49" fontId="3724" fillId="0" borderId="3724" xfId="0" applyNumberFormat="1" applyFont="1" applyBorder="1" applyAlignment="1">
      <alignment vertical="top"/>
    </xf>
    <xf numFmtId="0" fontId="3725" fillId="0" borderId="3725" xfId="0" applyFont="1" applyBorder="1" applyAlignment="1">
      <alignment vertical="top"/>
    </xf>
    <xf numFmtId="0" fontId="3726" fillId="0" borderId="3726" xfId="0" applyFont="1" applyBorder="1" applyAlignment="1">
      <alignment vertical="top"/>
    </xf>
    <xf numFmtId="49" fontId="3727" fillId="0" borderId="3727" xfId="0" applyNumberFormat="1" applyFont="1" applyBorder="1" applyAlignment="1">
      <alignment vertical="top"/>
    </xf>
    <xf numFmtId="0" fontId="3728" fillId="0" borderId="3728" xfId="0" applyFont="1" applyBorder="1" applyAlignment="1">
      <alignment vertical="top"/>
    </xf>
    <xf numFmtId="0" fontId="3729" fillId="0" borderId="3729" xfId="0" applyFont="1" applyBorder="1" applyAlignment="1">
      <alignment vertical="top"/>
    </xf>
    <xf numFmtId="49" fontId="3730" fillId="0" borderId="3730" xfId="0" applyNumberFormat="1" applyFont="1" applyBorder="1" applyAlignment="1">
      <alignment vertical="top"/>
    </xf>
    <xf numFmtId="0" fontId="3731" fillId="0" borderId="3731" xfId="0" applyFont="1" applyBorder="1" applyAlignment="1">
      <alignment vertical="top"/>
    </xf>
    <xf numFmtId="0" fontId="3732" fillId="0" borderId="3732" xfId="0" applyFont="1" applyBorder="1" applyAlignment="1">
      <alignment vertical="top"/>
    </xf>
    <xf numFmtId="49" fontId="3733" fillId="0" borderId="3733" xfId="0" applyNumberFormat="1" applyFont="1" applyBorder="1" applyAlignment="1">
      <alignment vertical="top"/>
    </xf>
    <xf numFmtId="0" fontId="3734" fillId="0" borderId="3734" xfId="0" applyFont="1" applyBorder="1" applyAlignment="1">
      <alignment vertical="top"/>
    </xf>
    <xf numFmtId="0" fontId="3735" fillId="0" borderId="3735" xfId="0" applyFont="1" applyBorder="1" applyAlignment="1">
      <alignment vertical="top"/>
    </xf>
    <xf numFmtId="49" fontId="3736" fillId="0" borderId="3736" xfId="0" applyNumberFormat="1" applyFont="1" applyBorder="1" applyAlignment="1">
      <alignment vertical="top"/>
    </xf>
    <xf numFmtId="0" fontId="3737" fillId="0" borderId="3737" xfId="0" applyFont="1" applyBorder="1" applyAlignment="1">
      <alignment vertical="top"/>
    </xf>
    <xf numFmtId="0" fontId="3738" fillId="0" borderId="3738" xfId="0" applyFont="1" applyBorder="1" applyAlignment="1">
      <alignment vertical="top"/>
    </xf>
    <xf numFmtId="49" fontId="3739" fillId="0" borderId="3739" xfId="0" applyNumberFormat="1" applyFont="1" applyBorder="1" applyAlignment="1">
      <alignment vertical="top"/>
    </xf>
    <xf numFmtId="0" fontId="3740" fillId="0" borderId="3740" xfId="0" applyFont="1" applyBorder="1" applyAlignment="1">
      <alignment vertical="top"/>
    </xf>
    <xf numFmtId="0" fontId="3741" fillId="0" borderId="3741" xfId="0" applyFont="1" applyBorder="1" applyAlignment="1">
      <alignment vertical="top"/>
    </xf>
    <xf numFmtId="49" fontId="3742" fillId="0" borderId="3742" xfId="0" applyNumberFormat="1" applyFont="1" applyBorder="1" applyAlignment="1">
      <alignment vertical="top"/>
    </xf>
    <xf numFmtId="0" fontId="3743" fillId="0" borderId="3743" xfId="0" applyFont="1" applyBorder="1" applyAlignment="1">
      <alignment vertical="top"/>
    </xf>
    <xf numFmtId="0" fontId="3744" fillId="0" borderId="3744" xfId="0" applyFont="1" applyBorder="1" applyAlignment="1">
      <alignment vertical="top"/>
    </xf>
    <xf numFmtId="49" fontId="3745" fillId="0" borderId="3745" xfId="0" applyNumberFormat="1" applyFont="1" applyBorder="1" applyAlignment="1">
      <alignment vertical="top"/>
    </xf>
    <xf numFmtId="0" fontId="3746" fillId="0" borderId="3746" xfId="0" applyFont="1" applyBorder="1" applyAlignment="1">
      <alignment vertical="top"/>
    </xf>
    <xf numFmtId="0" fontId="3747" fillId="0" borderId="3747" xfId="0" applyFont="1" applyBorder="1" applyAlignment="1">
      <alignment vertical="top"/>
    </xf>
    <xf numFmtId="49" fontId="3748" fillId="0" borderId="3748" xfId="0" applyNumberFormat="1" applyFont="1" applyBorder="1" applyAlignment="1">
      <alignment vertical="top"/>
    </xf>
    <xf numFmtId="0" fontId="3749" fillId="0" borderId="3749" xfId="0" applyFont="1" applyBorder="1" applyAlignment="1">
      <alignment vertical="top"/>
    </xf>
    <xf numFmtId="0" fontId="3750" fillId="0" borderId="3750" xfId="0" applyFont="1" applyBorder="1" applyAlignment="1">
      <alignment vertical="top"/>
    </xf>
    <xf numFmtId="49" fontId="3751" fillId="0" borderId="3751" xfId="0" applyNumberFormat="1" applyFont="1" applyBorder="1" applyAlignment="1">
      <alignment vertical="top"/>
    </xf>
    <xf numFmtId="0" fontId="3752" fillId="0" borderId="3752" xfId="0" applyFont="1" applyBorder="1" applyAlignment="1">
      <alignment vertical="top"/>
    </xf>
    <xf numFmtId="0" fontId="3753" fillId="0" borderId="3753" xfId="0" applyFont="1" applyBorder="1" applyAlignment="1">
      <alignment vertical="top"/>
    </xf>
    <xf numFmtId="49" fontId="3754" fillId="0" borderId="3754" xfId="0" applyNumberFormat="1" applyFont="1" applyBorder="1" applyAlignment="1">
      <alignment vertical="top"/>
    </xf>
    <xf numFmtId="0" fontId="3755" fillId="0" borderId="3755" xfId="0" applyFont="1" applyBorder="1" applyAlignment="1">
      <alignment vertical="top"/>
    </xf>
    <xf numFmtId="0" fontId="3756" fillId="0" borderId="3756" xfId="0" applyFont="1" applyBorder="1" applyAlignment="1">
      <alignment vertical="top"/>
    </xf>
    <xf numFmtId="49" fontId="3757" fillId="0" borderId="3757" xfId="0" applyNumberFormat="1" applyFont="1" applyBorder="1" applyAlignment="1">
      <alignment vertical="top"/>
    </xf>
    <xf numFmtId="0" fontId="3758" fillId="0" borderId="3758" xfId="0" applyFont="1" applyBorder="1" applyAlignment="1">
      <alignment vertical="top"/>
    </xf>
    <xf numFmtId="0" fontId="3759" fillId="0" borderId="3759" xfId="0" applyFont="1" applyBorder="1" applyAlignment="1">
      <alignment vertical="top"/>
    </xf>
    <xf numFmtId="49" fontId="3760" fillId="0" borderId="3760" xfId="0" applyNumberFormat="1" applyFont="1" applyBorder="1" applyAlignment="1">
      <alignment vertical="top"/>
    </xf>
    <xf numFmtId="0" fontId="3761" fillId="0" borderId="3761" xfId="0" applyFont="1" applyBorder="1" applyAlignment="1">
      <alignment vertical="top"/>
    </xf>
    <xf numFmtId="0" fontId="3762" fillId="0" borderId="3762" xfId="0" applyFont="1" applyBorder="1" applyAlignment="1">
      <alignment vertical="top"/>
    </xf>
    <xf numFmtId="49" fontId="3763" fillId="0" borderId="3763" xfId="0" applyNumberFormat="1" applyFont="1" applyBorder="1" applyAlignment="1">
      <alignment vertical="top"/>
    </xf>
    <xf numFmtId="0" fontId="3764" fillId="0" borderId="3764" xfId="0" applyFont="1" applyBorder="1" applyAlignment="1">
      <alignment vertical="top"/>
    </xf>
    <xf numFmtId="0" fontId="3765" fillId="0" borderId="3765" xfId="0" applyFont="1" applyBorder="1" applyAlignment="1">
      <alignment vertical="top"/>
    </xf>
    <xf numFmtId="49" fontId="3766" fillId="0" borderId="3766" xfId="0" applyNumberFormat="1" applyFont="1" applyBorder="1" applyAlignment="1">
      <alignment vertical="top"/>
    </xf>
    <xf numFmtId="0" fontId="3767" fillId="0" borderId="3767" xfId="0" applyFont="1" applyBorder="1" applyAlignment="1">
      <alignment vertical="top"/>
    </xf>
    <xf numFmtId="0" fontId="3768" fillId="0" borderId="3768" xfId="0" applyFont="1" applyBorder="1" applyAlignment="1">
      <alignment vertical="top"/>
    </xf>
    <xf numFmtId="49" fontId="3769" fillId="0" borderId="3769" xfId="0" applyNumberFormat="1" applyFont="1" applyBorder="1" applyAlignment="1">
      <alignment vertical="top"/>
    </xf>
    <xf numFmtId="0" fontId="3770" fillId="0" borderId="3770" xfId="0" applyFont="1" applyBorder="1" applyAlignment="1">
      <alignment vertical="top"/>
    </xf>
    <xf numFmtId="0" fontId="3771" fillId="0" borderId="3771" xfId="0" applyFont="1" applyBorder="1" applyAlignment="1">
      <alignment vertical="top"/>
    </xf>
    <xf numFmtId="49" fontId="3772" fillId="0" borderId="3772" xfId="0" applyNumberFormat="1" applyFont="1" applyBorder="1" applyAlignment="1">
      <alignment vertical="top"/>
    </xf>
    <xf numFmtId="0" fontId="3773" fillId="0" borderId="3773" xfId="0" applyFont="1" applyBorder="1" applyAlignment="1">
      <alignment vertical="top"/>
    </xf>
    <xf numFmtId="0" fontId="3774" fillId="0" borderId="3774" xfId="0" applyFont="1" applyBorder="1" applyAlignment="1">
      <alignment vertical="top"/>
    </xf>
    <xf numFmtId="49" fontId="3775" fillId="0" borderId="3775" xfId="0" applyNumberFormat="1" applyFont="1" applyBorder="1" applyAlignment="1">
      <alignment vertical="top"/>
    </xf>
    <xf numFmtId="0" fontId="3776" fillId="0" borderId="3776" xfId="0" applyFont="1" applyBorder="1" applyAlignment="1">
      <alignment vertical="top"/>
    </xf>
    <xf numFmtId="0" fontId="3777" fillId="0" borderId="3777" xfId="0" applyFont="1" applyBorder="1" applyAlignment="1">
      <alignment vertical="top"/>
    </xf>
    <xf numFmtId="49" fontId="3778" fillId="0" borderId="3778" xfId="0" applyNumberFormat="1" applyFont="1" applyBorder="1" applyAlignment="1">
      <alignment vertical="top"/>
    </xf>
    <xf numFmtId="0" fontId="3779" fillId="0" borderId="3779" xfId="0" applyFont="1" applyBorder="1" applyAlignment="1">
      <alignment vertical="top"/>
    </xf>
    <xf numFmtId="0" fontId="3780" fillId="0" borderId="3780" xfId="0" applyFont="1" applyBorder="1" applyAlignment="1">
      <alignment vertical="top"/>
    </xf>
    <xf numFmtId="49" fontId="3781" fillId="0" borderId="3781" xfId="0" applyNumberFormat="1" applyFont="1" applyBorder="1" applyAlignment="1">
      <alignment vertical="top"/>
    </xf>
    <xf numFmtId="0" fontId="3782" fillId="0" borderId="3782" xfId="0" applyFont="1" applyBorder="1" applyAlignment="1">
      <alignment vertical="top"/>
    </xf>
    <xf numFmtId="0" fontId="3783" fillId="0" borderId="3783" xfId="0" applyFont="1" applyBorder="1" applyAlignment="1">
      <alignment vertical="top"/>
    </xf>
    <xf numFmtId="49" fontId="3784" fillId="0" borderId="3784" xfId="0" applyNumberFormat="1" applyFont="1" applyBorder="1" applyAlignment="1">
      <alignment vertical="top"/>
    </xf>
    <xf numFmtId="0" fontId="3785" fillId="0" borderId="3785" xfId="0" applyFont="1" applyBorder="1" applyAlignment="1">
      <alignment vertical="top"/>
    </xf>
    <xf numFmtId="0" fontId="3786" fillId="0" borderId="3786" xfId="0" applyFont="1" applyBorder="1" applyAlignment="1">
      <alignment vertical="top"/>
    </xf>
    <xf numFmtId="49" fontId="3787" fillId="0" borderId="3787" xfId="0" applyNumberFormat="1" applyFont="1" applyBorder="1" applyAlignment="1">
      <alignment vertical="top"/>
    </xf>
    <xf numFmtId="0" fontId="3788" fillId="0" borderId="3788" xfId="0" applyFont="1" applyBorder="1" applyAlignment="1">
      <alignment vertical="top"/>
    </xf>
    <xf numFmtId="0" fontId="3789" fillId="0" borderId="3789" xfId="0" applyFont="1" applyBorder="1" applyAlignment="1">
      <alignment vertical="top"/>
    </xf>
    <xf numFmtId="49" fontId="3790" fillId="0" borderId="3790" xfId="0" applyNumberFormat="1" applyFont="1" applyBorder="1" applyAlignment="1">
      <alignment vertical="top"/>
    </xf>
    <xf numFmtId="0" fontId="3791" fillId="0" borderId="3791" xfId="0" applyFont="1" applyBorder="1" applyAlignment="1">
      <alignment vertical="top"/>
    </xf>
    <xf numFmtId="0" fontId="3792" fillId="0" borderId="3792" xfId="0" applyFont="1" applyBorder="1" applyAlignment="1">
      <alignment vertical="top"/>
    </xf>
    <xf numFmtId="49" fontId="3793" fillId="0" borderId="3793" xfId="0" applyNumberFormat="1" applyFont="1" applyBorder="1" applyAlignment="1">
      <alignment vertical="top"/>
    </xf>
    <xf numFmtId="0" fontId="3794" fillId="0" borderId="3794" xfId="0" applyFont="1" applyBorder="1" applyAlignment="1">
      <alignment vertical="top"/>
    </xf>
    <xf numFmtId="0" fontId="3795" fillId="0" borderId="3795" xfId="0" applyFont="1" applyBorder="1" applyAlignment="1">
      <alignment vertical="top"/>
    </xf>
    <xf numFmtId="49" fontId="3796" fillId="0" borderId="3796" xfId="0" applyNumberFormat="1" applyFont="1" applyBorder="1" applyAlignment="1">
      <alignment vertical="top"/>
    </xf>
    <xf numFmtId="0" fontId="3797" fillId="0" borderId="3797" xfId="0" applyFont="1" applyBorder="1" applyAlignment="1">
      <alignment vertical="top"/>
    </xf>
    <xf numFmtId="0" fontId="3798" fillId="0" borderId="3798" xfId="0" applyFont="1" applyBorder="1" applyAlignment="1">
      <alignment vertical="top"/>
    </xf>
    <xf numFmtId="49" fontId="3799" fillId="0" borderId="3799" xfId="0" applyNumberFormat="1" applyFont="1" applyBorder="1" applyAlignment="1">
      <alignment vertical="top"/>
    </xf>
    <xf numFmtId="0" fontId="3800" fillId="0" borderId="3800" xfId="0" applyFont="1" applyBorder="1" applyAlignment="1">
      <alignment vertical="top"/>
    </xf>
    <xf numFmtId="0" fontId="3801" fillId="0" borderId="3801" xfId="0" applyFont="1" applyBorder="1" applyAlignment="1">
      <alignment vertical="top"/>
    </xf>
    <xf numFmtId="49" fontId="3802" fillId="0" borderId="3802" xfId="0" applyNumberFormat="1" applyFont="1" applyBorder="1" applyAlignment="1">
      <alignment vertical="top"/>
    </xf>
    <xf numFmtId="0" fontId="3803" fillId="0" borderId="3803" xfId="0" applyFont="1" applyBorder="1" applyAlignment="1">
      <alignment vertical="top"/>
    </xf>
    <xf numFmtId="0" fontId="3804" fillId="0" borderId="3804" xfId="0" applyFont="1" applyBorder="1" applyAlignment="1">
      <alignment vertical="top"/>
    </xf>
    <xf numFmtId="49" fontId="3805" fillId="0" borderId="3805" xfId="0" applyNumberFormat="1" applyFont="1" applyBorder="1" applyAlignment="1">
      <alignment vertical="top"/>
    </xf>
    <xf numFmtId="0" fontId="3806" fillId="0" borderId="3806" xfId="0" applyFont="1" applyBorder="1" applyAlignment="1">
      <alignment vertical="top"/>
    </xf>
    <xf numFmtId="0" fontId="3807" fillId="0" borderId="3807" xfId="0" applyFont="1" applyBorder="1" applyAlignment="1">
      <alignment vertical="top"/>
    </xf>
    <xf numFmtId="49" fontId="3808" fillId="0" borderId="3808" xfId="0" applyNumberFormat="1" applyFont="1" applyBorder="1" applyAlignment="1">
      <alignment vertical="top"/>
    </xf>
    <xf numFmtId="0" fontId="3809" fillId="0" borderId="3809" xfId="0" applyFont="1" applyBorder="1" applyAlignment="1">
      <alignment vertical="top"/>
    </xf>
    <xf numFmtId="0" fontId="3810" fillId="0" borderId="3810" xfId="0" applyFont="1" applyBorder="1" applyAlignment="1">
      <alignment vertical="top"/>
    </xf>
    <xf numFmtId="49" fontId="3811" fillId="0" borderId="3811" xfId="0" applyNumberFormat="1" applyFont="1" applyBorder="1" applyAlignment="1">
      <alignment vertical="top"/>
    </xf>
    <xf numFmtId="0" fontId="3812" fillId="0" borderId="3812" xfId="0" applyFont="1" applyBorder="1" applyAlignment="1">
      <alignment vertical="top"/>
    </xf>
    <xf numFmtId="0" fontId="3813" fillId="0" borderId="3813" xfId="0" applyFont="1" applyBorder="1" applyAlignment="1">
      <alignment vertical="top"/>
    </xf>
    <xf numFmtId="49" fontId="3814" fillId="0" borderId="3814" xfId="0" applyNumberFormat="1" applyFont="1" applyBorder="1" applyAlignment="1">
      <alignment vertical="top"/>
    </xf>
    <xf numFmtId="0" fontId="3815" fillId="0" borderId="3815" xfId="0" applyFont="1" applyBorder="1" applyAlignment="1">
      <alignment vertical="top"/>
    </xf>
    <xf numFmtId="0" fontId="3816" fillId="0" borderId="3816" xfId="0" applyFont="1" applyBorder="1" applyAlignment="1">
      <alignment vertical="top"/>
    </xf>
    <xf numFmtId="49" fontId="3817" fillId="0" borderId="3817" xfId="0" applyNumberFormat="1" applyFont="1" applyBorder="1" applyAlignment="1">
      <alignment vertical="top"/>
    </xf>
    <xf numFmtId="0" fontId="3818" fillId="0" borderId="3818" xfId="0" applyFont="1" applyBorder="1" applyAlignment="1">
      <alignment vertical="top"/>
    </xf>
    <xf numFmtId="0" fontId="3819" fillId="0" borderId="3819" xfId="0" applyFont="1" applyBorder="1" applyAlignment="1">
      <alignment vertical="top"/>
    </xf>
    <xf numFmtId="49" fontId="3820" fillId="0" borderId="3820" xfId="0" applyNumberFormat="1" applyFont="1" applyBorder="1" applyAlignment="1">
      <alignment vertical="top"/>
    </xf>
    <xf numFmtId="0" fontId="3821" fillId="0" borderId="3821" xfId="0" applyFont="1" applyBorder="1" applyAlignment="1">
      <alignment vertical="top"/>
    </xf>
    <xf numFmtId="0" fontId="3822" fillId="0" borderId="3822" xfId="0" applyFont="1" applyBorder="1" applyAlignment="1">
      <alignment vertical="top"/>
    </xf>
    <xf numFmtId="49" fontId="3823" fillId="0" borderId="3823" xfId="0" applyNumberFormat="1" applyFont="1" applyBorder="1" applyAlignment="1">
      <alignment vertical="top"/>
    </xf>
    <xf numFmtId="0" fontId="3824" fillId="0" borderId="3824" xfId="0" applyFont="1" applyBorder="1" applyAlignment="1">
      <alignment vertical="top"/>
    </xf>
    <xf numFmtId="0" fontId="3825" fillId="0" borderId="3825" xfId="0" applyFont="1" applyBorder="1" applyAlignment="1">
      <alignment vertical="top"/>
    </xf>
    <xf numFmtId="49" fontId="3826" fillId="0" borderId="3826" xfId="0" applyNumberFormat="1" applyFont="1" applyBorder="1" applyAlignment="1">
      <alignment vertical="top"/>
    </xf>
    <xf numFmtId="0" fontId="3827" fillId="0" borderId="3827" xfId="0" applyFont="1" applyBorder="1" applyAlignment="1">
      <alignment vertical="top"/>
    </xf>
    <xf numFmtId="0" fontId="3828" fillId="0" borderId="3828" xfId="0" applyFont="1" applyBorder="1" applyAlignment="1">
      <alignment vertical="top"/>
    </xf>
    <xf numFmtId="49" fontId="3829" fillId="0" borderId="3829" xfId="0" applyNumberFormat="1" applyFont="1" applyBorder="1" applyAlignment="1">
      <alignment vertical="top"/>
    </xf>
    <xf numFmtId="0" fontId="3830" fillId="0" borderId="3830" xfId="0" applyFont="1" applyBorder="1" applyAlignment="1">
      <alignment vertical="top"/>
    </xf>
    <xf numFmtId="0" fontId="3831" fillId="0" borderId="3831" xfId="0" applyFont="1" applyBorder="1" applyAlignment="1">
      <alignment vertical="top"/>
    </xf>
    <xf numFmtId="49" fontId="3832" fillId="0" borderId="3832" xfId="0" applyNumberFormat="1" applyFont="1" applyBorder="1" applyAlignment="1">
      <alignment vertical="top"/>
    </xf>
    <xf numFmtId="0" fontId="3833" fillId="0" borderId="3833" xfId="0" applyFont="1" applyBorder="1" applyAlignment="1">
      <alignment vertical="top"/>
    </xf>
    <xf numFmtId="0" fontId="3834" fillId="0" borderId="3834" xfId="0" applyFont="1" applyBorder="1" applyAlignment="1">
      <alignment vertical="top"/>
    </xf>
    <xf numFmtId="49" fontId="3835" fillId="0" borderId="3835" xfId="0" applyNumberFormat="1" applyFont="1" applyBorder="1" applyAlignment="1">
      <alignment vertical="top"/>
    </xf>
    <xf numFmtId="0" fontId="3836" fillId="0" borderId="3836" xfId="0" applyFont="1" applyBorder="1" applyAlignment="1">
      <alignment vertical="top"/>
    </xf>
    <xf numFmtId="0" fontId="3837" fillId="0" borderId="3837" xfId="0" applyFont="1" applyBorder="1" applyAlignment="1">
      <alignment vertical="top"/>
    </xf>
    <xf numFmtId="49" fontId="3838" fillId="0" borderId="3838" xfId="0" applyNumberFormat="1" applyFont="1" applyBorder="1" applyAlignment="1">
      <alignment vertical="top"/>
    </xf>
    <xf numFmtId="0" fontId="3839" fillId="0" borderId="3839" xfId="0" applyFont="1" applyBorder="1" applyAlignment="1">
      <alignment vertical="top"/>
    </xf>
    <xf numFmtId="0" fontId="3840" fillId="0" borderId="3840" xfId="0" applyFont="1" applyBorder="1" applyAlignment="1">
      <alignment vertical="top"/>
    </xf>
    <xf numFmtId="49" fontId="3841" fillId="0" borderId="3841" xfId="0" applyNumberFormat="1" applyFont="1" applyBorder="1" applyAlignment="1">
      <alignment vertical="top"/>
    </xf>
    <xf numFmtId="0" fontId="3842" fillId="0" borderId="3842" xfId="0" applyFont="1" applyBorder="1" applyAlignment="1">
      <alignment vertical="top"/>
    </xf>
    <xf numFmtId="0" fontId="3843" fillId="0" borderId="3843" xfId="0" applyFont="1" applyBorder="1" applyAlignment="1">
      <alignment vertical="top"/>
    </xf>
    <xf numFmtId="49" fontId="3844" fillId="0" borderId="3844" xfId="0" applyNumberFormat="1" applyFont="1" applyBorder="1" applyAlignment="1">
      <alignment vertical="top"/>
    </xf>
    <xf numFmtId="0" fontId="3845" fillId="0" borderId="3845" xfId="0" applyFont="1" applyBorder="1" applyAlignment="1">
      <alignment vertical="top"/>
    </xf>
    <xf numFmtId="0" fontId="3846" fillId="0" borderId="3846" xfId="0" applyFont="1" applyBorder="1" applyAlignment="1">
      <alignment vertical="top"/>
    </xf>
    <xf numFmtId="49" fontId="3847" fillId="0" borderId="3847" xfId="0" applyNumberFormat="1" applyFont="1" applyBorder="1" applyAlignment="1">
      <alignment vertical="top"/>
    </xf>
    <xf numFmtId="0" fontId="3848" fillId="0" borderId="3848" xfId="0" applyFont="1" applyBorder="1" applyAlignment="1">
      <alignment vertical="top"/>
    </xf>
    <xf numFmtId="0" fontId="3849" fillId="0" borderId="3849" xfId="0" applyFont="1" applyBorder="1" applyAlignment="1">
      <alignment vertical="top"/>
    </xf>
    <xf numFmtId="49" fontId="3850" fillId="0" borderId="3850" xfId="0" applyNumberFormat="1" applyFont="1" applyBorder="1" applyAlignment="1">
      <alignment vertical="top"/>
    </xf>
    <xf numFmtId="0" fontId="3851" fillId="0" borderId="3851" xfId="0" applyFont="1" applyBorder="1" applyAlignment="1">
      <alignment vertical="top"/>
    </xf>
    <xf numFmtId="0" fontId="3852" fillId="0" borderId="3852" xfId="0" applyFont="1" applyBorder="1" applyAlignment="1">
      <alignment vertical="top"/>
    </xf>
    <xf numFmtId="49" fontId="3853" fillId="0" borderId="3853" xfId="0" applyNumberFormat="1" applyFont="1" applyBorder="1" applyAlignment="1">
      <alignment vertical="top"/>
    </xf>
    <xf numFmtId="0" fontId="3854" fillId="0" borderId="3854" xfId="0" applyFont="1" applyBorder="1" applyAlignment="1">
      <alignment vertical="top"/>
    </xf>
    <xf numFmtId="0" fontId="3855" fillId="0" borderId="3855" xfId="0" applyFont="1" applyBorder="1" applyAlignment="1">
      <alignment vertical="top"/>
    </xf>
    <xf numFmtId="49" fontId="3856" fillId="0" borderId="3856" xfId="0" applyNumberFormat="1" applyFont="1" applyBorder="1" applyAlignment="1">
      <alignment vertical="top"/>
    </xf>
    <xf numFmtId="0" fontId="3857" fillId="0" borderId="3857" xfId="0" applyFont="1" applyBorder="1" applyAlignment="1">
      <alignment vertical="top"/>
    </xf>
    <xf numFmtId="0" fontId="3858" fillId="0" borderId="3858" xfId="0" applyFont="1" applyBorder="1" applyAlignment="1">
      <alignment vertical="top"/>
    </xf>
    <xf numFmtId="49" fontId="3859" fillId="0" borderId="3859" xfId="0" applyNumberFormat="1" applyFont="1" applyBorder="1" applyAlignment="1">
      <alignment vertical="top"/>
    </xf>
    <xf numFmtId="0" fontId="3860" fillId="0" borderId="3860" xfId="0" applyFont="1" applyBorder="1" applyAlignment="1">
      <alignment vertical="top"/>
    </xf>
    <xf numFmtId="0" fontId="3861" fillId="0" borderId="3861" xfId="0" applyFont="1" applyBorder="1" applyAlignment="1">
      <alignment vertical="top"/>
    </xf>
    <xf numFmtId="49" fontId="3862" fillId="0" borderId="3862" xfId="0" applyNumberFormat="1" applyFont="1" applyBorder="1" applyAlignment="1">
      <alignment vertical="top"/>
    </xf>
    <xf numFmtId="0" fontId="3863" fillId="0" borderId="3863" xfId="0" applyFont="1" applyBorder="1" applyAlignment="1">
      <alignment vertical="top"/>
    </xf>
    <xf numFmtId="0" fontId="3864" fillId="0" borderId="3864" xfId="0" applyFont="1" applyBorder="1" applyAlignment="1">
      <alignment vertical="top"/>
    </xf>
    <xf numFmtId="49" fontId="3865" fillId="0" borderId="3865" xfId="0" applyNumberFormat="1" applyFont="1" applyBorder="1" applyAlignment="1">
      <alignment vertical="top"/>
    </xf>
    <xf numFmtId="0" fontId="3866" fillId="0" borderId="3866" xfId="0" applyFont="1" applyBorder="1" applyAlignment="1">
      <alignment vertical="top"/>
    </xf>
    <xf numFmtId="0" fontId="3867" fillId="0" borderId="3867" xfId="0" applyFont="1" applyBorder="1" applyAlignment="1">
      <alignment vertical="top"/>
    </xf>
    <xf numFmtId="49" fontId="3868" fillId="0" borderId="3868" xfId="0" applyNumberFormat="1" applyFont="1" applyBorder="1" applyAlignment="1">
      <alignment vertical="top"/>
    </xf>
    <xf numFmtId="0" fontId="3869" fillId="0" borderId="3869" xfId="0" applyFont="1" applyBorder="1" applyAlignment="1">
      <alignment vertical="top"/>
    </xf>
    <xf numFmtId="0" fontId="3870" fillId="0" borderId="3870" xfId="0" applyFont="1" applyBorder="1" applyAlignment="1">
      <alignment vertical="top"/>
    </xf>
    <xf numFmtId="49" fontId="3871" fillId="0" borderId="3871" xfId="0" applyNumberFormat="1" applyFont="1" applyBorder="1" applyAlignment="1">
      <alignment vertical="top"/>
    </xf>
    <xf numFmtId="0" fontId="3872" fillId="0" borderId="3872" xfId="0" applyFont="1" applyBorder="1" applyAlignment="1">
      <alignment vertical="top"/>
    </xf>
    <xf numFmtId="0" fontId="3873" fillId="0" borderId="3873" xfId="0" applyFont="1" applyBorder="1" applyAlignment="1">
      <alignment vertical="top"/>
    </xf>
    <xf numFmtId="49" fontId="3874" fillId="0" borderId="3874" xfId="0" applyNumberFormat="1" applyFont="1" applyBorder="1" applyAlignment="1">
      <alignment vertical="top"/>
    </xf>
    <xf numFmtId="0" fontId="3875" fillId="0" borderId="3875" xfId="0" applyFont="1" applyBorder="1" applyAlignment="1">
      <alignment vertical="top"/>
    </xf>
    <xf numFmtId="0" fontId="3876" fillId="0" borderId="3876" xfId="0" applyFont="1" applyBorder="1" applyAlignment="1">
      <alignment vertical="top"/>
    </xf>
    <xf numFmtId="49" fontId="3877" fillId="0" borderId="3877" xfId="0" applyNumberFormat="1" applyFont="1" applyBorder="1" applyAlignment="1">
      <alignment vertical="top"/>
    </xf>
    <xf numFmtId="0" fontId="3878" fillId="0" borderId="3878" xfId="0" applyFont="1" applyBorder="1" applyAlignment="1">
      <alignment vertical="top"/>
    </xf>
    <xf numFmtId="0" fontId="3879" fillId="0" borderId="3879" xfId="0" applyFont="1" applyBorder="1" applyAlignment="1">
      <alignment vertical="top"/>
    </xf>
    <xf numFmtId="49" fontId="3880" fillId="0" borderId="3880" xfId="0" applyNumberFormat="1" applyFont="1" applyBorder="1" applyAlignment="1">
      <alignment vertical="top"/>
    </xf>
    <xf numFmtId="0" fontId="3881" fillId="0" borderId="3881" xfId="0" applyFont="1" applyBorder="1" applyAlignment="1">
      <alignment vertical="top"/>
    </xf>
    <xf numFmtId="0" fontId="3882" fillId="0" borderId="3882" xfId="0" applyFont="1" applyBorder="1" applyAlignment="1">
      <alignment vertical="top"/>
    </xf>
    <xf numFmtId="49" fontId="3883" fillId="0" borderId="3883" xfId="0" applyNumberFormat="1" applyFont="1" applyBorder="1" applyAlignment="1">
      <alignment vertical="top"/>
    </xf>
    <xf numFmtId="0" fontId="3884" fillId="0" borderId="3884" xfId="0" applyFont="1" applyBorder="1" applyAlignment="1">
      <alignment vertical="top"/>
    </xf>
    <xf numFmtId="0" fontId="3885" fillId="0" borderId="3885" xfId="0" applyFont="1" applyBorder="1" applyAlignment="1">
      <alignment vertical="top"/>
    </xf>
    <xf numFmtId="49" fontId="3886" fillId="0" borderId="3886" xfId="0" applyNumberFormat="1" applyFont="1" applyBorder="1" applyAlignment="1">
      <alignment vertical="top"/>
    </xf>
    <xf numFmtId="0" fontId="3887" fillId="0" borderId="3887" xfId="0" applyFont="1" applyBorder="1" applyAlignment="1">
      <alignment vertical="top"/>
    </xf>
    <xf numFmtId="0" fontId="3888" fillId="0" borderId="3888" xfId="0" applyFont="1" applyBorder="1" applyAlignment="1">
      <alignment vertical="top"/>
    </xf>
    <xf numFmtId="49" fontId="3889" fillId="0" borderId="3889" xfId="0" applyNumberFormat="1" applyFont="1" applyBorder="1" applyAlignment="1">
      <alignment vertical="top"/>
    </xf>
    <xf numFmtId="0" fontId="3890" fillId="0" borderId="3890" xfId="0" applyFont="1" applyBorder="1" applyAlignment="1">
      <alignment vertical="top"/>
    </xf>
    <xf numFmtId="0" fontId="3891" fillId="0" borderId="3891" xfId="0" applyFont="1" applyBorder="1" applyAlignment="1">
      <alignment vertical="top"/>
    </xf>
    <xf numFmtId="49" fontId="3892" fillId="0" borderId="3892" xfId="0" applyNumberFormat="1" applyFont="1" applyBorder="1" applyAlignment="1">
      <alignment vertical="top"/>
    </xf>
    <xf numFmtId="0" fontId="3893" fillId="0" borderId="3893" xfId="0" applyFont="1" applyBorder="1" applyAlignment="1">
      <alignment vertical="top"/>
    </xf>
    <xf numFmtId="0" fontId="3894" fillId="0" borderId="3894" xfId="0" applyFont="1" applyBorder="1" applyAlignment="1">
      <alignment vertical="top"/>
    </xf>
    <xf numFmtId="49" fontId="3895" fillId="0" borderId="3895" xfId="0" applyNumberFormat="1" applyFont="1" applyBorder="1" applyAlignment="1">
      <alignment vertical="top"/>
    </xf>
    <xf numFmtId="0" fontId="3896" fillId="0" borderId="3896" xfId="0" applyFont="1" applyBorder="1" applyAlignment="1">
      <alignment vertical="top"/>
    </xf>
    <xf numFmtId="0" fontId="3897" fillId="0" borderId="3897" xfId="0" applyFont="1" applyBorder="1" applyAlignment="1">
      <alignment vertical="top"/>
    </xf>
    <xf numFmtId="49" fontId="3898" fillId="0" borderId="3898" xfId="0" applyNumberFormat="1" applyFont="1" applyBorder="1" applyAlignment="1">
      <alignment vertical="top"/>
    </xf>
    <xf numFmtId="0" fontId="3899" fillId="0" borderId="3899" xfId="0" applyFont="1" applyBorder="1" applyAlignment="1">
      <alignment vertical="top"/>
    </xf>
    <xf numFmtId="0" fontId="3900" fillId="0" borderId="3900" xfId="0" applyFont="1" applyBorder="1" applyAlignment="1">
      <alignment vertical="top"/>
    </xf>
    <xf numFmtId="49" fontId="3901" fillId="0" borderId="3901" xfId="0" applyNumberFormat="1" applyFont="1" applyBorder="1" applyAlignment="1">
      <alignment vertical="top"/>
    </xf>
    <xf numFmtId="0" fontId="3902" fillId="0" borderId="3902" xfId="0" applyFont="1" applyBorder="1" applyAlignment="1">
      <alignment vertical="top"/>
    </xf>
    <xf numFmtId="0" fontId="3903" fillId="0" borderId="3903" xfId="0" applyFont="1" applyBorder="1" applyAlignment="1">
      <alignment vertical="top"/>
    </xf>
    <xf numFmtId="49" fontId="3904" fillId="0" borderId="3904" xfId="0" applyNumberFormat="1" applyFont="1" applyBorder="1" applyAlignment="1">
      <alignment vertical="top"/>
    </xf>
    <xf numFmtId="0" fontId="3905" fillId="0" borderId="3905" xfId="0" applyFont="1" applyBorder="1" applyAlignment="1">
      <alignment vertical="top"/>
    </xf>
    <xf numFmtId="0" fontId="3906" fillId="0" borderId="3906" xfId="0" applyFont="1" applyBorder="1" applyAlignment="1">
      <alignment vertical="top"/>
    </xf>
    <xf numFmtId="49" fontId="3907" fillId="0" borderId="3907" xfId="0" applyNumberFormat="1" applyFont="1" applyBorder="1" applyAlignment="1">
      <alignment vertical="top"/>
    </xf>
    <xf numFmtId="0" fontId="3908" fillId="0" borderId="3908" xfId="0" applyFont="1" applyBorder="1" applyAlignment="1">
      <alignment vertical="top"/>
    </xf>
    <xf numFmtId="0" fontId="3909" fillId="0" borderId="3909" xfId="0" applyFont="1" applyBorder="1" applyAlignment="1">
      <alignment vertical="top"/>
    </xf>
    <xf numFmtId="49" fontId="3910" fillId="0" borderId="3910" xfId="0" applyNumberFormat="1" applyFont="1" applyBorder="1" applyAlignment="1">
      <alignment vertical="top"/>
    </xf>
    <xf numFmtId="0" fontId="3911" fillId="0" borderId="3911" xfId="0" applyFont="1" applyBorder="1" applyAlignment="1">
      <alignment vertical="top"/>
    </xf>
    <xf numFmtId="0" fontId="3912" fillId="0" borderId="3912" xfId="0" applyFont="1" applyBorder="1" applyAlignment="1">
      <alignment vertical="top"/>
    </xf>
    <xf numFmtId="49" fontId="3913" fillId="0" borderId="3913" xfId="0" applyNumberFormat="1" applyFont="1" applyBorder="1" applyAlignment="1">
      <alignment vertical="top"/>
    </xf>
    <xf numFmtId="0" fontId="3914" fillId="0" borderId="3914" xfId="0" applyFont="1" applyBorder="1" applyAlignment="1">
      <alignment vertical="top"/>
    </xf>
    <xf numFmtId="0" fontId="3915" fillId="0" borderId="3915" xfId="0" applyFont="1" applyBorder="1" applyAlignment="1">
      <alignment vertical="top"/>
    </xf>
    <xf numFmtId="49" fontId="3916" fillId="0" borderId="3916" xfId="0" applyNumberFormat="1" applyFont="1" applyBorder="1" applyAlignment="1">
      <alignment vertical="top"/>
    </xf>
    <xf numFmtId="0" fontId="3917" fillId="0" borderId="3917" xfId="0" applyFont="1" applyBorder="1" applyAlignment="1">
      <alignment vertical="top"/>
    </xf>
    <xf numFmtId="0" fontId="3918" fillId="0" borderId="3918" xfId="0" applyFont="1" applyBorder="1" applyAlignment="1">
      <alignment vertical="top"/>
    </xf>
    <xf numFmtId="49" fontId="3919" fillId="0" borderId="3919" xfId="0" applyNumberFormat="1" applyFont="1" applyBorder="1" applyAlignment="1">
      <alignment vertical="top"/>
    </xf>
    <xf numFmtId="0" fontId="3920" fillId="0" borderId="3920" xfId="0" applyFont="1" applyBorder="1" applyAlignment="1">
      <alignment vertical="top"/>
    </xf>
    <xf numFmtId="0" fontId="3921" fillId="0" borderId="3921" xfId="0" applyFont="1" applyBorder="1" applyAlignment="1">
      <alignment vertical="top"/>
    </xf>
    <xf numFmtId="49" fontId="3922" fillId="0" borderId="3922" xfId="0" applyNumberFormat="1" applyFont="1" applyBorder="1" applyAlignment="1">
      <alignment vertical="top"/>
    </xf>
    <xf numFmtId="0" fontId="3923" fillId="0" borderId="3923" xfId="0" applyFont="1" applyBorder="1" applyAlignment="1">
      <alignment vertical="top"/>
    </xf>
    <xf numFmtId="0" fontId="3924" fillId="0" borderId="3924" xfId="0" applyFont="1" applyBorder="1" applyAlignment="1">
      <alignment vertical="top"/>
    </xf>
    <xf numFmtId="49" fontId="3925" fillId="0" borderId="3925" xfId="0" applyNumberFormat="1" applyFont="1" applyBorder="1" applyAlignment="1">
      <alignment vertical="top"/>
    </xf>
    <xf numFmtId="0" fontId="3926" fillId="0" borderId="3926" xfId="0" applyFont="1" applyBorder="1" applyAlignment="1">
      <alignment vertical="top"/>
    </xf>
    <xf numFmtId="0" fontId="3927" fillId="0" borderId="3927" xfId="0" applyFont="1" applyBorder="1" applyAlignment="1">
      <alignment vertical="top"/>
    </xf>
    <xf numFmtId="49" fontId="3928" fillId="0" borderId="3928" xfId="0" applyNumberFormat="1" applyFont="1" applyBorder="1" applyAlignment="1">
      <alignment vertical="top"/>
    </xf>
    <xf numFmtId="0" fontId="3929" fillId="0" borderId="3929" xfId="0" applyFont="1" applyBorder="1" applyAlignment="1">
      <alignment vertical="top"/>
    </xf>
    <xf numFmtId="0" fontId="3930" fillId="0" borderId="3930" xfId="0" applyFont="1" applyBorder="1" applyAlignment="1">
      <alignment vertical="top"/>
    </xf>
    <xf numFmtId="49" fontId="3931" fillId="0" borderId="3931" xfId="0" applyNumberFormat="1" applyFont="1" applyBorder="1" applyAlignment="1">
      <alignment vertical="top"/>
    </xf>
    <xf numFmtId="0" fontId="3932" fillId="0" borderId="3932" xfId="0" applyFont="1" applyBorder="1" applyAlignment="1">
      <alignment vertical="top"/>
    </xf>
    <xf numFmtId="0" fontId="3933" fillId="0" borderId="3933" xfId="0" applyFont="1" applyBorder="1" applyAlignment="1">
      <alignment vertical="top"/>
    </xf>
    <xf numFmtId="49" fontId="3934" fillId="0" borderId="3934" xfId="0" applyNumberFormat="1" applyFont="1" applyBorder="1" applyAlignment="1">
      <alignment vertical="top"/>
    </xf>
    <xf numFmtId="0" fontId="3935" fillId="0" borderId="3935" xfId="0" applyFont="1" applyBorder="1" applyAlignment="1">
      <alignment vertical="top"/>
    </xf>
    <xf numFmtId="0" fontId="3936" fillId="0" borderId="3936" xfId="0" applyFont="1" applyBorder="1" applyAlignment="1">
      <alignment vertical="top"/>
    </xf>
    <xf numFmtId="49" fontId="3937" fillId="0" borderId="3937" xfId="0" applyNumberFormat="1" applyFont="1" applyBorder="1" applyAlignment="1">
      <alignment vertical="top"/>
    </xf>
    <xf numFmtId="0" fontId="3938" fillId="0" borderId="3938" xfId="0" applyFont="1" applyBorder="1" applyAlignment="1">
      <alignment vertical="top"/>
    </xf>
    <xf numFmtId="0" fontId="3939" fillId="0" borderId="3939" xfId="0" applyFont="1" applyBorder="1" applyAlignment="1">
      <alignment vertical="top"/>
    </xf>
    <xf numFmtId="49" fontId="3940" fillId="0" borderId="3940" xfId="0" applyNumberFormat="1" applyFont="1" applyBorder="1" applyAlignment="1">
      <alignment vertical="top"/>
    </xf>
    <xf numFmtId="0" fontId="3941" fillId="0" borderId="3941" xfId="0" applyFont="1" applyBorder="1" applyAlignment="1">
      <alignment vertical="top"/>
    </xf>
    <xf numFmtId="0" fontId="3942" fillId="0" borderId="3942" xfId="0" applyFont="1" applyBorder="1" applyAlignment="1">
      <alignment vertical="top"/>
    </xf>
    <xf numFmtId="49" fontId="3943" fillId="0" borderId="3943" xfId="0" applyNumberFormat="1" applyFont="1" applyBorder="1" applyAlignment="1">
      <alignment vertical="top"/>
    </xf>
    <xf numFmtId="0" fontId="3944" fillId="0" borderId="3944" xfId="0" applyFont="1" applyBorder="1" applyAlignment="1">
      <alignment vertical="top"/>
    </xf>
    <xf numFmtId="0" fontId="3945" fillId="0" borderId="3945" xfId="0" applyFont="1" applyBorder="1" applyAlignment="1">
      <alignment vertical="top"/>
    </xf>
    <xf numFmtId="49" fontId="3946" fillId="0" borderId="3946" xfId="0" applyNumberFormat="1" applyFont="1" applyBorder="1" applyAlignment="1">
      <alignment vertical="top"/>
    </xf>
    <xf numFmtId="0" fontId="3947" fillId="0" borderId="3947" xfId="0" applyFont="1" applyBorder="1" applyAlignment="1">
      <alignment vertical="top"/>
    </xf>
    <xf numFmtId="0" fontId="3948" fillId="0" borderId="3948" xfId="0" applyFont="1" applyBorder="1" applyAlignment="1">
      <alignment vertical="top"/>
    </xf>
    <xf numFmtId="49" fontId="3949" fillId="0" borderId="3949" xfId="0" applyNumberFormat="1" applyFont="1" applyBorder="1" applyAlignment="1">
      <alignment vertical="top"/>
    </xf>
    <xf numFmtId="0" fontId="3950" fillId="0" borderId="3950" xfId="0" applyFont="1" applyBorder="1" applyAlignment="1">
      <alignment vertical="top"/>
    </xf>
    <xf numFmtId="0" fontId="3951" fillId="0" borderId="3951" xfId="0" applyFont="1" applyBorder="1" applyAlignment="1">
      <alignment vertical="top"/>
    </xf>
    <xf numFmtId="49" fontId="3952" fillId="0" borderId="3952" xfId="0" applyNumberFormat="1" applyFont="1" applyBorder="1" applyAlignment="1">
      <alignment vertical="top"/>
    </xf>
    <xf numFmtId="0" fontId="3953" fillId="0" borderId="3953" xfId="0" applyFont="1" applyBorder="1" applyAlignment="1">
      <alignment vertical="top"/>
    </xf>
    <xf numFmtId="0" fontId="3954" fillId="0" borderId="3954" xfId="0" applyFont="1" applyBorder="1" applyAlignment="1">
      <alignment vertical="top"/>
    </xf>
    <xf numFmtId="49" fontId="3955" fillId="0" borderId="3955" xfId="0" applyNumberFormat="1" applyFont="1" applyBorder="1" applyAlignment="1">
      <alignment vertical="top"/>
    </xf>
    <xf numFmtId="0" fontId="3956" fillId="0" borderId="3956" xfId="0" applyFont="1" applyBorder="1" applyAlignment="1">
      <alignment vertical="top"/>
    </xf>
    <xf numFmtId="0" fontId="3957" fillId="0" borderId="3957" xfId="0" applyFont="1" applyBorder="1" applyAlignment="1">
      <alignment vertical="top"/>
    </xf>
    <xf numFmtId="49" fontId="3958" fillId="0" borderId="3958" xfId="0" applyNumberFormat="1" applyFont="1" applyBorder="1" applyAlignment="1">
      <alignment vertical="top"/>
    </xf>
    <xf numFmtId="0" fontId="3959" fillId="0" borderId="3959" xfId="0" applyFont="1" applyBorder="1" applyAlignment="1">
      <alignment vertical="top"/>
    </xf>
    <xf numFmtId="0" fontId="3960" fillId="0" borderId="3960" xfId="0" applyFont="1" applyBorder="1" applyAlignment="1">
      <alignment vertical="top"/>
    </xf>
    <xf numFmtId="49" fontId="3961" fillId="0" borderId="3961" xfId="0" applyNumberFormat="1" applyFont="1" applyBorder="1" applyAlignment="1">
      <alignment vertical="top"/>
    </xf>
    <xf numFmtId="0" fontId="3962" fillId="0" borderId="3962" xfId="0" applyFont="1" applyBorder="1" applyAlignment="1">
      <alignment vertical="top"/>
    </xf>
    <xf numFmtId="0" fontId="3963" fillId="0" borderId="3963" xfId="0" applyFont="1" applyBorder="1" applyAlignment="1">
      <alignment vertical="top"/>
    </xf>
    <xf numFmtId="49" fontId="3964" fillId="0" borderId="3964" xfId="0" applyNumberFormat="1" applyFont="1" applyBorder="1" applyAlignment="1">
      <alignment vertical="top"/>
    </xf>
    <xf numFmtId="0" fontId="3965" fillId="0" borderId="3965" xfId="0" applyFont="1" applyBorder="1" applyAlignment="1">
      <alignment vertical="top"/>
    </xf>
    <xf numFmtId="0" fontId="3966" fillId="0" borderId="3966" xfId="0" applyFont="1" applyBorder="1" applyAlignment="1">
      <alignment vertical="top"/>
    </xf>
    <xf numFmtId="49" fontId="3967" fillId="0" borderId="3967" xfId="0" applyNumberFormat="1" applyFont="1" applyBorder="1" applyAlignment="1">
      <alignment vertical="top"/>
    </xf>
    <xf numFmtId="0" fontId="3968" fillId="0" borderId="3968" xfId="0" applyFont="1" applyBorder="1" applyAlignment="1">
      <alignment vertical="top"/>
    </xf>
    <xf numFmtId="0" fontId="3969" fillId="0" borderId="3969" xfId="0" applyFont="1" applyBorder="1" applyAlignment="1">
      <alignment vertical="top"/>
    </xf>
    <xf numFmtId="49" fontId="3970" fillId="0" borderId="3970" xfId="0" applyNumberFormat="1" applyFont="1" applyBorder="1" applyAlignment="1">
      <alignment vertical="top"/>
    </xf>
    <xf numFmtId="0" fontId="3971" fillId="0" borderId="3971" xfId="0" applyFont="1" applyBorder="1" applyAlignment="1">
      <alignment vertical="top"/>
    </xf>
    <xf numFmtId="0" fontId="3972" fillId="0" borderId="3972" xfId="0" applyFont="1" applyBorder="1" applyAlignment="1">
      <alignment vertical="top"/>
    </xf>
    <xf numFmtId="49" fontId="3973" fillId="0" borderId="3973" xfId="0" applyNumberFormat="1" applyFont="1" applyBorder="1" applyAlignment="1">
      <alignment vertical="top"/>
    </xf>
    <xf numFmtId="0" fontId="3974" fillId="0" borderId="3974" xfId="0" applyFont="1" applyBorder="1" applyAlignment="1">
      <alignment vertical="top"/>
    </xf>
    <xf numFmtId="0" fontId="3975" fillId="0" borderId="3975" xfId="0" applyFont="1" applyBorder="1" applyAlignment="1">
      <alignment vertical="top"/>
    </xf>
    <xf numFmtId="49" fontId="3976" fillId="0" borderId="3976" xfId="0" applyNumberFormat="1" applyFont="1" applyBorder="1" applyAlignment="1">
      <alignment vertical="top"/>
    </xf>
    <xf numFmtId="0" fontId="3977" fillId="0" borderId="3977" xfId="0" applyFont="1" applyBorder="1" applyAlignment="1">
      <alignment vertical="top"/>
    </xf>
    <xf numFmtId="0" fontId="3978" fillId="0" borderId="3978" xfId="0" applyFont="1" applyBorder="1" applyAlignment="1">
      <alignment vertical="top"/>
    </xf>
    <xf numFmtId="49" fontId="3979" fillId="0" borderId="3979" xfId="0" applyNumberFormat="1" applyFont="1" applyBorder="1" applyAlignment="1">
      <alignment vertical="top"/>
    </xf>
    <xf numFmtId="0" fontId="3980" fillId="0" borderId="3980" xfId="0" applyFont="1" applyBorder="1" applyAlignment="1">
      <alignment vertical="top"/>
    </xf>
    <xf numFmtId="0" fontId="3981" fillId="0" borderId="3981" xfId="0" applyFont="1" applyBorder="1" applyAlignment="1">
      <alignment vertical="top"/>
    </xf>
    <xf numFmtId="49" fontId="3982" fillId="0" borderId="3982" xfId="0" applyNumberFormat="1" applyFont="1" applyBorder="1" applyAlignment="1">
      <alignment vertical="top"/>
    </xf>
    <xf numFmtId="0" fontId="3983" fillId="0" borderId="3983" xfId="0" applyFont="1" applyBorder="1" applyAlignment="1">
      <alignment vertical="top"/>
    </xf>
    <xf numFmtId="0" fontId="3984" fillId="0" borderId="3984" xfId="0" applyFont="1" applyBorder="1" applyAlignment="1">
      <alignment vertical="top"/>
    </xf>
    <xf numFmtId="49" fontId="3985" fillId="0" borderId="3985" xfId="0" applyNumberFormat="1" applyFont="1" applyBorder="1" applyAlignment="1">
      <alignment vertical="top"/>
    </xf>
    <xf numFmtId="0" fontId="3986" fillId="0" borderId="3986" xfId="0" applyFont="1" applyBorder="1" applyAlignment="1">
      <alignment vertical="top"/>
    </xf>
    <xf numFmtId="0" fontId="3987" fillId="0" borderId="3987" xfId="0" applyFont="1" applyBorder="1" applyAlignment="1">
      <alignment vertical="top"/>
    </xf>
    <xf numFmtId="49" fontId="3988" fillId="0" borderId="3988" xfId="0" applyNumberFormat="1" applyFont="1" applyBorder="1" applyAlignment="1">
      <alignment vertical="top"/>
    </xf>
    <xf numFmtId="0" fontId="3989" fillId="0" borderId="3989" xfId="0" applyFont="1" applyBorder="1" applyAlignment="1">
      <alignment vertical="top"/>
    </xf>
    <xf numFmtId="0" fontId="3990" fillId="0" borderId="3990" xfId="0" applyFont="1" applyBorder="1" applyAlignment="1">
      <alignment vertical="top"/>
    </xf>
    <xf numFmtId="49" fontId="3991" fillId="0" borderId="3991" xfId="0" applyNumberFormat="1" applyFont="1" applyBorder="1" applyAlignment="1">
      <alignment vertical="top"/>
    </xf>
    <xf numFmtId="0" fontId="3992" fillId="0" borderId="3992" xfId="0" applyFont="1" applyBorder="1" applyAlignment="1">
      <alignment vertical="top"/>
    </xf>
    <xf numFmtId="0" fontId="3993" fillId="0" borderId="3993" xfId="0" applyFont="1" applyBorder="1" applyAlignment="1">
      <alignment vertical="top"/>
    </xf>
    <xf numFmtId="49" fontId="3994" fillId="0" borderId="3994" xfId="0" applyNumberFormat="1" applyFont="1" applyBorder="1" applyAlignment="1">
      <alignment vertical="top"/>
    </xf>
    <xf numFmtId="0" fontId="3995" fillId="0" borderId="3995" xfId="0" applyFont="1" applyBorder="1" applyAlignment="1">
      <alignment vertical="top"/>
    </xf>
    <xf numFmtId="0" fontId="3996" fillId="0" borderId="3996" xfId="0" applyFont="1" applyBorder="1" applyAlignment="1">
      <alignment vertical="top"/>
    </xf>
    <xf numFmtId="49" fontId="3997" fillId="0" borderId="3997" xfId="0" applyNumberFormat="1" applyFont="1" applyBorder="1" applyAlignment="1">
      <alignment vertical="top"/>
    </xf>
    <xf numFmtId="0" fontId="3998" fillId="0" borderId="3998" xfId="0" applyFont="1" applyBorder="1" applyAlignment="1">
      <alignment vertical="top"/>
    </xf>
    <xf numFmtId="0" fontId="3999" fillId="0" borderId="3999" xfId="0" applyFont="1" applyBorder="1" applyAlignment="1">
      <alignment vertical="top"/>
    </xf>
    <xf numFmtId="49" fontId="4000" fillId="0" borderId="4000" xfId="0" applyNumberFormat="1" applyFont="1" applyBorder="1" applyAlignment="1">
      <alignment vertical="top"/>
    </xf>
    <xf numFmtId="0" fontId="4001" fillId="0" borderId="4001" xfId="0" applyFont="1" applyBorder="1" applyAlignment="1">
      <alignment vertical="top"/>
    </xf>
    <xf numFmtId="0" fontId="4002" fillId="0" borderId="4002" xfId="0" applyFont="1" applyBorder="1" applyAlignment="1">
      <alignment vertical="top"/>
    </xf>
    <xf numFmtId="49" fontId="4003" fillId="0" borderId="4003" xfId="0" applyNumberFormat="1" applyFont="1" applyBorder="1" applyAlignment="1">
      <alignment vertical="top"/>
    </xf>
    <xf numFmtId="0" fontId="4004" fillId="0" borderId="4004" xfId="0" applyFont="1" applyBorder="1" applyAlignment="1">
      <alignment vertical="top"/>
    </xf>
    <xf numFmtId="0" fontId="4005" fillId="0" borderId="4005" xfId="0" applyFont="1" applyBorder="1" applyAlignment="1">
      <alignment vertical="top"/>
    </xf>
    <xf numFmtId="49" fontId="4006" fillId="0" borderId="4006" xfId="0" applyNumberFormat="1" applyFont="1" applyBorder="1" applyAlignment="1">
      <alignment vertical="top"/>
    </xf>
    <xf numFmtId="0" fontId="4007" fillId="0" borderId="4007" xfId="0" applyFont="1" applyBorder="1" applyAlignment="1">
      <alignment vertical="top"/>
    </xf>
    <xf numFmtId="0" fontId="4008" fillId="0" borderId="4008" xfId="0" applyFont="1" applyBorder="1" applyAlignment="1">
      <alignment vertical="top"/>
    </xf>
    <xf numFmtId="49" fontId="4009" fillId="0" borderId="4009" xfId="0" applyNumberFormat="1" applyFont="1" applyBorder="1" applyAlignment="1">
      <alignment vertical="top"/>
    </xf>
    <xf numFmtId="0" fontId="4010" fillId="0" borderId="4010" xfId="0" applyFont="1" applyBorder="1" applyAlignment="1">
      <alignment vertical="top"/>
    </xf>
    <xf numFmtId="0" fontId="4011" fillId="0" borderId="4011" xfId="0" applyFont="1" applyBorder="1" applyAlignment="1">
      <alignment vertical="top"/>
    </xf>
    <xf numFmtId="49" fontId="4012" fillId="0" borderId="4012" xfId="0" applyNumberFormat="1" applyFont="1" applyBorder="1" applyAlignment="1">
      <alignment vertical="top"/>
    </xf>
    <xf numFmtId="0" fontId="4013" fillId="0" borderId="4013" xfId="0" applyFont="1" applyBorder="1" applyAlignment="1">
      <alignment vertical="top"/>
    </xf>
    <xf numFmtId="0" fontId="4014" fillId="0" borderId="4014" xfId="0" applyFont="1" applyBorder="1" applyAlignment="1">
      <alignment vertical="top"/>
    </xf>
    <xf numFmtId="49" fontId="4015" fillId="0" borderId="4015" xfId="0" applyNumberFormat="1" applyFont="1" applyBorder="1" applyAlignment="1">
      <alignment vertical="top"/>
    </xf>
    <xf numFmtId="0" fontId="4016" fillId="0" borderId="4016" xfId="0" applyFont="1" applyBorder="1" applyAlignment="1">
      <alignment vertical="top"/>
    </xf>
    <xf numFmtId="0" fontId="4017" fillId="0" borderId="4017" xfId="0" applyFont="1" applyBorder="1" applyAlignment="1">
      <alignment vertical="top"/>
    </xf>
    <xf numFmtId="49" fontId="4018" fillId="0" borderId="4018" xfId="0" applyNumberFormat="1" applyFont="1" applyBorder="1" applyAlignment="1">
      <alignment vertical="top"/>
    </xf>
    <xf numFmtId="0" fontId="4019" fillId="0" borderId="4019" xfId="0" applyFont="1" applyBorder="1" applyAlignment="1">
      <alignment vertical="top"/>
    </xf>
    <xf numFmtId="0" fontId="4020" fillId="0" borderId="4020" xfId="0" applyFont="1" applyBorder="1" applyAlignment="1">
      <alignment vertical="top"/>
    </xf>
    <xf numFmtId="49" fontId="4021" fillId="0" borderId="4021" xfId="0" applyNumberFormat="1" applyFont="1" applyBorder="1" applyAlignment="1">
      <alignment vertical="top"/>
    </xf>
    <xf numFmtId="0" fontId="4022" fillId="0" borderId="4022" xfId="0" applyFont="1" applyBorder="1" applyAlignment="1">
      <alignment vertical="top"/>
    </xf>
    <xf numFmtId="0" fontId="4023" fillId="0" borderId="4023" xfId="0" applyFont="1" applyBorder="1" applyAlignment="1">
      <alignment vertical="top"/>
    </xf>
    <xf numFmtId="49" fontId="4024" fillId="0" borderId="4024" xfId="0" applyNumberFormat="1" applyFont="1" applyBorder="1" applyAlignment="1">
      <alignment vertical="top"/>
    </xf>
    <xf numFmtId="0" fontId="4025" fillId="0" borderId="4025" xfId="0" applyFont="1" applyBorder="1" applyAlignment="1">
      <alignment vertical="top"/>
    </xf>
    <xf numFmtId="0" fontId="4026" fillId="0" borderId="4026" xfId="0" applyFont="1" applyBorder="1" applyAlignment="1">
      <alignment vertical="top"/>
    </xf>
    <xf numFmtId="49" fontId="4027" fillId="0" borderId="4027" xfId="0" applyNumberFormat="1" applyFont="1" applyBorder="1" applyAlignment="1">
      <alignment vertical="top"/>
    </xf>
    <xf numFmtId="0" fontId="4028" fillId="0" borderId="4028" xfId="0" applyFont="1" applyBorder="1" applyAlignment="1">
      <alignment vertical="top"/>
    </xf>
    <xf numFmtId="0" fontId="4029" fillId="0" borderId="4029" xfId="0" applyFont="1" applyBorder="1" applyAlignment="1">
      <alignment vertical="top"/>
    </xf>
    <xf numFmtId="49" fontId="4030" fillId="0" borderId="4030" xfId="0" applyNumberFormat="1" applyFont="1" applyBorder="1" applyAlignment="1">
      <alignment vertical="top"/>
    </xf>
    <xf numFmtId="0" fontId="4031" fillId="0" borderId="4031" xfId="0" applyFont="1" applyBorder="1" applyAlignment="1">
      <alignment vertical="top"/>
    </xf>
    <xf numFmtId="0" fontId="4032" fillId="0" borderId="4032" xfId="0" applyFont="1" applyBorder="1" applyAlignment="1">
      <alignment vertical="top"/>
    </xf>
    <xf numFmtId="49" fontId="4033" fillId="0" borderId="4033" xfId="0" applyNumberFormat="1" applyFont="1" applyBorder="1" applyAlignment="1">
      <alignment vertical="top"/>
    </xf>
    <xf numFmtId="0" fontId="4034" fillId="0" borderId="4034" xfId="0" applyFont="1" applyBorder="1" applyAlignment="1">
      <alignment vertical="top"/>
    </xf>
    <xf numFmtId="0" fontId="4035" fillId="0" borderId="4035" xfId="0" applyFont="1" applyBorder="1" applyAlignment="1">
      <alignment vertical="top"/>
    </xf>
    <xf numFmtId="49" fontId="4036" fillId="0" borderId="4036" xfId="0" applyNumberFormat="1" applyFont="1" applyBorder="1" applyAlignment="1">
      <alignment vertical="top"/>
    </xf>
    <xf numFmtId="0" fontId="4037" fillId="0" borderId="4037" xfId="0" applyFont="1" applyBorder="1" applyAlignment="1">
      <alignment vertical="top"/>
    </xf>
    <xf numFmtId="0" fontId="4038" fillId="0" borderId="4038" xfId="0" applyFont="1" applyBorder="1" applyAlignment="1">
      <alignment vertical="top"/>
    </xf>
    <xf numFmtId="49" fontId="4039" fillId="0" borderId="4039" xfId="0" applyNumberFormat="1" applyFont="1" applyBorder="1" applyAlignment="1">
      <alignment vertical="top"/>
    </xf>
    <xf numFmtId="0" fontId="4040" fillId="0" borderId="4040" xfId="0" applyFont="1" applyBorder="1" applyAlignment="1">
      <alignment vertical="top"/>
    </xf>
    <xf numFmtId="0" fontId="4041" fillId="0" borderId="4041" xfId="0" applyFont="1" applyBorder="1" applyAlignment="1">
      <alignment vertical="top"/>
    </xf>
    <xf numFmtId="49" fontId="4042" fillId="0" borderId="4042" xfId="0" applyNumberFormat="1" applyFont="1" applyBorder="1" applyAlignment="1">
      <alignment vertical="top"/>
    </xf>
    <xf numFmtId="0" fontId="4043" fillId="0" borderId="4043" xfId="0" applyFont="1" applyBorder="1" applyAlignment="1">
      <alignment vertical="top"/>
    </xf>
    <xf numFmtId="0" fontId="4044" fillId="0" borderId="4044" xfId="0" applyFont="1" applyBorder="1" applyAlignment="1">
      <alignment vertical="top"/>
    </xf>
    <xf numFmtId="49" fontId="4045" fillId="0" borderId="4045" xfId="0" applyNumberFormat="1" applyFont="1" applyBorder="1" applyAlignment="1">
      <alignment vertical="top"/>
    </xf>
    <xf numFmtId="0" fontId="4046" fillId="0" borderId="4046" xfId="0" applyFont="1" applyBorder="1" applyAlignment="1">
      <alignment vertical="top"/>
    </xf>
    <xf numFmtId="0" fontId="4047" fillId="0" borderId="4047" xfId="0" applyFont="1" applyBorder="1" applyAlignment="1">
      <alignment vertical="top"/>
    </xf>
    <xf numFmtId="49" fontId="4048" fillId="0" borderId="4048" xfId="0" applyNumberFormat="1" applyFont="1" applyBorder="1" applyAlignment="1">
      <alignment vertical="top"/>
    </xf>
    <xf numFmtId="0" fontId="4049" fillId="0" borderId="4049" xfId="0" applyFont="1" applyBorder="1" applyAlignment="1">
      <alignment vertical="top"/>
    </xf>
    <xf numFmtId="0" fontId="4050" fillId="0" borderId="4050" xfId="0" applyFont="1" applyBorder="1" applyAlignment="1">
      <alignment vertical="top"/>
    </xf>
    <xf numFmtId="49" fontId="4051" fillId="0" borderId="4051" xfId="0" applyNumberFormat="1" applyFont="1" applyBorder="1" applyAlignment="1">
      <alignment vertical="top"/>
    </xf>
    <xf numFmtId="0" fontId="4052" fillId="0" borderId="4052" xfId="0" applyFont="1" applyBorder="1" applyAlignment="1">
      <alignment vertical="top"/>
    </xf>
    <xf numFmtId="0" fontId="4053" fillId="0" borderId="4053" xfId="0" applyFont="1" applyBorder="1" applyAlignment="1">
      <alignment vertical="top"/>
    </xf>
    <xf numFmtId="49" fontId="4054" fillId="0" borderId="4054" xfId="0" applyNumberFormat="1" applyFont="1" applyBorder="1" applyAlignment="1">
      <alignment vertical="top"/>
    </xf>
    <xf numFmtId="0" fontId="4055" fillId="0" borderId="4055" xfId="0" applyFont="1" applyBorder="1" applyAlignment="1">
      <alignment vertical="top"/>
    </xf>
    <xf numFmtId="0" fontId="4056" fillId="0" borderId="4056" xfId="0" applyFont="1" applyBorder="1" applyAlignment="1">
      <alignment vertical="top"/>
    </xf>
    <xf numFmtId="49" fontId="4057" fillId="0" borderId="4057" xfId="0" applyNumberFormat="1" applyFont="1" applyBorder="1" applyAlignment="1">
      <alignment vertical="top"/>
    </xf>
    <xf numFmtId="0" fontId="4058" fillId="0" borderId="4058" xfId="0" applyFont="1" applyBorder="1" applyAlignment="1">
      <alignment vertical="top"/>
    </xf>
    <xf numFmtId="0" fontId="4059" fillId="0" borderId="4059" xfId="0" applyFont="1" applyBorder="1" applyAlignment="1">
      <alignment vertical="top"/>
    </xf>
    <xf numFmtId="49" fontId="4060" fillId="0" borderId="4060" xfId="0" applyNumberFormat="1" applyFont="1" applyBorder="1" applyAlignment="1">
      <alignment vertical="top"/>
    </xf>
    <xf numFmtId="0" fontId="4061" fillId="0" borderId="4061" xfId="0" applyFont="1" applyBorder="1" applyAlignment="1">
      <alignment vertical="top"/>
    </xf>
    <xf numFmtId="0" fontId="4062" fillId="0" borderId="4062" xfId="0" applyFont="1" applyBorder="1" applyAlignment="1">
      <alignment vertical="top"/>
    </xf>
    <xf numFmtId="49" fontId="4063" fillId="0" borderId="4063" xfId="0" applyNumberFormat="1" applyFont="1" applyBorder="1" applyAlignment="1">
      <alignment vertical="top"/>
    </xf>
    <xf numFmtId="0" fontId="4064" fillId="0" borderId="4064" xfId="0" applyFont="1" applyBorder="1" applyAlignment="1">
      <alignment vertical="top"/>
    </xf>
    <xf numFmtId="0" fontId="4065" fillId="0" borderId="4065" xfId="0" applyFont="1" applyBorder="1" applyAlignment="1">
      <alignment vertical="top"/>
    </xf>
    <xf numFmtId="49" fontId="4066" fillId="0" borderId="4066" xfId="0" applyNumberFormat="1" applyFont="1" applyBorder="1" applyAlignment="1">
      <alignment vertical="top"/>
    </xf>
    <xf numFmtId="0" fontId="4067" fillId="0" borderId="4067" xfId="0" applyFont="1" applyBorder="1" applyAlignment="1">
      <alignment vertical="top"/>
    </xf>
    <xf numFmtId="0" fontId="4068" fillId="0" borderId="4068" xfId="0" applyFont="1" applyBorder="1" applyAlignment="1">
      <alignment vertical="top"/>
    </xf>
    <xf numFmtId="49" fontId="4069" fillId="0" borderId="4069" xfId="0" applyNumberFormat="1" applyFont="1" applyBorder="1" applyAlignment="1">
      <alignment vertical="top"/>
    </xf>
    <xf numFmtId="0" fontId="4070" fillId="0" borderId="4070" xfId="0" applyFont="1" applyBorder="1" applyAlignment="1">
      <alignment vertical="top"/>
    </xf>
    <xf numFmtId="0" fontId="4071" fillId="0" borderId="4071" xfId="0" applyFont="1" applyBorder="1" applyAlignment="1">
      <alignment vertical="top"/>
    </xf>
    <xf numFmtId="49" fontId="4072" fillId="0" borderId="4072" xfId="0" applyNumberFormat="1" applyFont="1" applyBorder="1" applyAlignment="1">
      <alignment vertical="top"/>
    </xf>
    <xf numFmtId="0" fontId="4073" fillId="0" borderId="4073" xfId="0" applyFont="1" applyBorder="1" applyAlignment="1">
      <alignment vertical="top"/>
    </xf>
    <xf numFmtId="0" fontId="4074" fillId="0" borderId="4074" xfId="0" applyFont="1" applyBorder="1" applyAlignment="1">
      <alignment vertical="top"/>
    </xf>
    <xf numFmtId="49" fontId="4075" fillId="0" borderId="4075" xfId="0" applyNumberFormat="1" applyFont="1" applyBorder="1" applyAlignment="1">
      <alignment vertical="top"/>
    </xf>
    <xf numFmtId="0" fontId="4076" fillId="0" borderId="4076" xfId="0" applyFont="1" applyBorder="1" applyAlignment="1">
      <alignment vertical="top"/>
    </xf>
    <xf numFmtId="0" fontId="4077" fillId="0" borderId="4077" xfId="0" applyFont="1" applyBorder="1" applyAlignment="1">
      <alignment vertical="top"/>
    </xf>
    <xf numFmtId="49" fontId="4078" fillId="0" borderId="4078" xfId="0" applyNumberFormat="1" applyFont="1" applyBorder="1" applyAlignment="1">
      <alignment vertical="top"/>
    </xf>
    <xf numFmtId="0" fontId="4079" fillId="0" borderId="4079" xfId="0" applyFont="1" applyBorder="1" applyAlignment="1">
      <alignment vertical="top"/>
    </xf>
    <xf numFmtId="0" fontId="4080" fillId="0" borderId="4080" xfId="0" applyFont="1" applyBorder="1" applyAlignment="1">
      <alignment vertical="top"/>
    </xf>
    <xf numFmtId="49" fontId="4081" fillId="0" borderId="4081" xfId="0" applyNumberFormat="1" applyFont="1" applyBorder="1" applyAlignment="1">
      <alignment vertical="top"/>
    </xf>
    <xf numFmtId="0" fontId="4082" fillId="0" borderId="4082" xfId="0" applyFont="1" applyBorder="1" applyAlignment="1">
      <alignment vertical="top"/>
    </xf>
    <xf numFmtId="0" fontId="4083" fillId="0" borderId="4083" xfId="0" applyFont="1" applyBorder="1" applyAlignment="1">
      <alignment vertical="top"/>
    </xf>
    <xf numFmtId="49" fontId="4084" fillId="0" borderId="4084" xfId="0" applyNumberFormat="1" applyFont="1" applyBorder="1" applyAlignment="1">
      <alignment vertical="top"/>
    </xf>
    <xf numFmtId="0" fontId="4085" fillId="0" borderId="4085" xfId="0" applyFont="1" applyBorder="1" applyAlignment="1">
      <alignment vertical="top"/>
    </xf>
    <xf numFmtId="0" fontId="4086" fillId="0" borderId="4086" xfId="0" applyFont="1" applyBorder="1" applyAlignment="1">
      <alignment vertical="top"/>
    </xf>
    <xf numFmtId="49" fontId="4087" fillId="0" borderId="4087" xfId="0" applyNumberFormat="1" applyFont="1" applyBorder="1" applyAlignment="1">
      <alignment vertical="top"/>
    </xf>
    <xf numFmtId="0" fontId="4088" fillId="0" borderId="4088" xfId="0" applyFont="1" applyBorder="1" applyAlignment="1">
      <alignment vertical="top"/>
    </xf>
    <xf numFmtId="0" fontId="4089" fillId="0" borderId="4089" xfId="0" applyFont="1" applyBorder="1" applyAlignment="1">
      <alignment vertical="top"/>
    </xf>
    <xf numFmtId="49" fontId="4090" fillId="0" borderId="4090" xfId="0" applyNumberFormat="1" applyFont="1" applyBorder="1" applyAlignment="1">
      <alignment vertical="top"/>
    </xf>
    <xf numFmtId="0" fontId="4091" fillId="0" borderId="4091" xfId="0" applyFont="1" applyBorder="1" applyAlignment="1">
      <alignment vertical="top"/>
    </xf>
    <xf numFmtId="0" fontId="4092" fillId="0" borderId="4092" xfId="0" applyFont="1" applyBorder="1" applyAlignment="1">
      <alignment vertical="top"/>
    </xf>
    <xf numFmtId="49" fontId="4093" fillId="0" borderId="4093" xfId="0" applyNumberFormat="1" applyFont="1" applyBorder="1" applyAlignment="1">
      <alignment vertical="top"/>
    </xf>
    <xf numFmtId="0" fontId="4094" fillId="0" borderId="4094" xfId="0" applyFont="1" applyBorder="1" applyAlignment="1">
      <alignment vertical="top"/>
    </xf>
    <xf numFmtId="0" fontId="4095" fillId="0" borderId="4095" xfId="0" applyFont="1" applyBorder="1" applyAlignment="1">
      <alignment vertical="top"/>
    </xf>
    <xf numFmtId="49" fontId="4096" fillId="0" borderId="4096" xfId="0" applyNumberFormat="1" applyFont="1" applyBorder="1" applyAlignment="1">
      <alignment vertical="top"/>
    </xf>
    <xf numFmtId="0" fontId="4097" fillId="0" borderId="4097" xfId="0" applyFont="1" applyBorder="1" applyAlignment="1">
      <alignment vertical="top"/>
    </xf>
    <xf numFmtId="0" fontId="4098" fillId="0" borderId="4098" xfId="0" applyFont="1" applyBorder="1" applyAlignment="1">
      <alignment vertical="top"/>
    </xf>
    <xf numFmtId="49" fontId="4099" fillId="0" borderId="4099" xfId="0" applyNumberFormat="1" applyFont="1" applyBorder="1" applyAlignment="1">
      <alignment vertical="top"/>
    </xf>
    <xf numFmtId="0" fontId="4100" fillId="0" borderId="4100" xfId="0" applyFont="1" applyBorder="1" applyAlignment="1">
      <alignment vertical="top"/>
    </xf>
    <xf numFmtId="0" fontId="4101" fillId="0" borderId="4101" xfId="0" applyFont="1" applyBorder="1" applyAlignment="1">
      <alignment vertical="top"/>
    </xf>
    <xf numFmtId="49" fontId="4102" fillId="0" borderId="4102" xfId="0" applyNumberFormat="1" applyFont="1" applyBorder="1" applyAlignment="1">
      <alignment vertical="top"/>
    </xf>
    <xf numFmtId="0" fontId="4103" fillId="0" borderId="4103" xfId="0" applyFont="1" applyBorder="1" applyAlignment="1">
      <alignment vertical="top"/>
    </xf>
    <xf numFmtId="0" fontId="4104" fillId="0" borderId="4104" xfId="0" applyFont="1" applyBorder="1" applyAlignment="1">
      <alignment vertical="top"/>
    </xf>
    <xf numFmtId="49" fontId="4105" fillId="0" borderId="4105" xfId="0" applyNumberFormat="1" applyFont="1" applyBorder="1" applyAlignment="1">
      <alignment vertical="top"/>
    </xf>
    <xf numFmtId="0" fontId="4106" fillId="0" borderId="4106" xfId="0" applyFont="1" applyBorder="1" applyAlignment="1">
      <alignment vertical="top"/>
    </xf>
    <xf numFmtId="0" fontId="4107" fillId="0" borderId="4107" xfId="0" applyFont="1" applyBorder="1" applyAlignment="1">
      <alignment vertical="top"/>
    </xf>
    <xf numFmtId="49" fontId="4108" fillId="0" borderId="4108" xfId="0" applyNumberFormat="1" applyFont="1" applyBorder="1" applyAlignment="1">
      <alignment vertical="top"/>
    </xf>
    <xf numFmtId="0" fontId="4109" fillId="0" borderId="4109" xfId="0" applyFont="1" applyBorder="1" applyAlignment="1">
      <alignment vertical="top"/>
    </xf>
    <xf numFmtId="0" fontId="4110" fillId="0" borderId="4110" xfId="0" applyFont="1" applyBorder="1" applyAlignment="1">
      <alignment vertical="top"/>
    </xf>
    <xf numFmtId="49" fontId="4111" fillId="0" borderId="4111" xfId="0" applyNumberFormat="1" applyFont="1" applyBorder="1" applyAlignment="1">
      <alignment vertical="top"/>
    </xf>
    <xf numFmtId="0" fontId="4112" fillId="0" borderId="4112" xfId="0" applyFont="1" applyBorder="1" applyAlignment="1">
      <alignment vertical="top"/>
    </xf>
    <xf numFmtId="0" fontId="4113" fillId="0" borderId="4113" xfId="0" applyFont="1" applyBorder="1" applyAlignment="1">
      <alignment vertical="top"/>
    </xf>
    <xf numFmtId="49" fontId="4114" fillId="0" borderId="4114" xfId="0" applyNumberFormat="1" applyFont="1" applyBorder="1" applyAlignment="1">
      <alignment vertical="top"/>
    </xf>
    <xf numFmtId="0" fontId="4115" fillId="0" borderId="4115" xfId="0" applyFont="1" applyBorder="1" applyAlignment="1">
      <alignment vertical="top"/>
    </xf>
    <xf numFmtId="0" fontId="4116" fillId="0" borderId="4116" xfId="0" applyFont="1" applyBorder="1" applyAlignment="1">
      <alignment vertical="top"/>
    </xf>
    <xf numFmtId="49" fontId="4117" fillId="0" borderId="4117" xfId="0" applyNumberFormat="1" applyFont="1" applyBorder="1" applyAlignment="1">
      <alignment vertical="top"/>
    </xf>
    <xf numFmtId="0" fontId="4118" fillId="0" borderId="4118" xfId="0" applyFont="1" applyBorder="1" applyAlignment="1">
      <alignment vertical="top"/>
    </xf>
    <xf numFmtId="0" fontId="4119" fillId="0" borderId="4119" xfId="0" applyFont="1" applyBorder="1" applyAlignment="1">
      <alignment vertical="top"/>
    </xf>
    <xf numFmtId="49" fontId="4120" fillId="0" borderId="4120" xfId="0" applyNumberFormat="1" applyFont="1" applyBorder="1" applyAlignment="1">
      <alignment vertical="top"/>
    </xf>
    <xf numFmtId="0" fontId="4121" fillId="0" borderId="4121" xfId="0" applyFont="1" applyBorder="1" applyAlignment="1">
      <alignment vertical="top"/>
    </xf>
    <xf numFmtId="0" fontId="4122" fillId="0" borderId="4122" xfId="0" applyFont="1" applyBorder="1" applyAlignment="1">
      <alignment vertical="top"/>
    </xf>
    <xf numFmtId="49" fontId="4123" fillId="0" borderId="4123" xfId="0" applyNumberFormat="1" applyFont="1" applyBorder="1" applyAlignment="1">
      <alignment vertical="top"/>
    </xf>
    <xf numFmtId="0" fontId="4124" fillId="0" borderId="4124" xfId="0" applyFont="1" applyBorder="1" applyAlignment="1">
      <alignment vertical="top"/>
    </xf>
    <xf numFmtId="0" fontId="4125" fillId="0" borderId="4125" xfId="0" applyFont="1" applyBorder="1" applyAlignment="1">
      <alignment vertical="top"/>
    </xf>
    <xf numFmtId="49" fontId="4126" fillId="0" borderId="4126" xfId="0" applyNumberFormat="1" applyFont="1" applyBorder="1" applyAlignment="1">
      <alignment vertical="top"/>
    </xf>
    <xf numFmtId="0" fontId="4127" fillId="0" borderId="4127" xfId="0" applyFont="1" applyBorder="1" applyAlignment="1">
      <alignment vertical="top"/>
    </xf>
    <xf numFmtId="0" fontId="4128" fillId="0" borderId="4128" xfId="0" applyFont="1" applyBorder="1" applyAlignment="1">
      <alignment vertical="top"/>
    </xf>
    <xf numFmtId="49" fontId="4129" fillId="0" borderId="4129" xfId="0" applyNumberFormat="1" applyFont="1" applyBorder="1" applyAlignment="1">
      <alignment vertical="top"/>
    </xf>
    <xf numFmtId="0" fontId="4130" fillId="0" borderId="4130" xfId="0" applyFont="1" applyBorder="1" applyAlignment="1">
      <alignment vertical="top"/>
    </xf>
    <xf numFmtId="0" fontId="4131" fillId="0" borderId="4131" xfId="0" applyFont="1" applyBorder="1" applyAlignment="1">
      <alignment vertical="top"/>
    </xf>
    <xf numFmtId="49" fontId="4132" fillId="0" borderId="4132" xfId="0" applyNumberFormat="1" applyFont="1" applyBorder="1" applyAlignment="1">
      <alignment vertical="top"/>
    </xf>
    <xf numFmtId="0" fontId="4133" fillId="0" borderId="4133" xfId="0" applyFont="1" applyBorder="1" applyAlignment="1">
      <alignment vertical="top"/>
    </xf>
    <xf numFmtId="0" fontId="4134" fillId="0" borderId="4134" xfId="0" applyFont="1" applyBorder="1" applyAlignment="1">
      <alignment vertical="top"/>
    </xf>
    <xf numFmtId="49" fontId="4135" fillId="0" borderId="4135" xfId="0" applyNumberFormat="1" applyFont="1" applyBorder="1" applyAlignment="1">
      <alignment vertical="top"/>
    </xf>
    <xf numFmtId="0" fontId="4136" fillId="0" borderId="4136" xfId="0" applyFont="1" applyBorder="1" applyAlignment="1">
      <alignment vertical="top"/>
    </xf>
    <xf numFmtId="0" fontId="4137" fillId="0" borderId="4137" xfId="0" applyFont="1" applyBorder="1" applyAlignment="1">
      <alignment vertical="top"/>
    </xf>
    <xf numFmtId="49" fontId="4138" fillId="0" borderId="4138" xfId="0" applyNumberFormat="1" applyFont="1" applyBorder="1" applyAlignment="1">
      <alignment vertical="top"/>
    </xf>
    <xf numFmtId="0" fontId="4139" fillId="0" borderId="4139" xfId="0" applyFont="1" applyBorder="1" applyAlignment="1">
      <alignment vertical="top"/>
    </xf>
    <xf numFmtId="0" fontId="4140" fillId="0" borderId="4140" xfId="0" applyFont="1" applyBorder="1" applyAlignment="1">
      <alignment vertical="top"/>
    </xf>
    <xf numFmtId="49" fontId="4141" fillId="0" borderId="4141" xfId="0" applyNumberFormat="1" applyFont="1" applyBorder="1" applyAlignment="1">
      <alignment vertical="top"/>
    </xf>
    <xf numFmtId="0" fontId="4142" fillId="0" borderId="4142" xfId="0" applyFont="1" applyBorder="1" applyAlignment="1">
      <alignment vertical="top"/>
    </xf>
    <xf numFmtId="0" fontId="4143" fillId="0" borderId="4143" xfId="0" applyFont="1" applyBorder="1" applyAlignment="1">
      <alignment vertical="top"/>
    </xf>
    <xf numFmtId="49" fontId="4144" fillId="0" borderId="4144" xfId="0" applyNumberFormat="1" applyFont="1" applyBorder="1" applyAlignment="1">
      <alignment vertical="top"/>
    </xf>
    <xf numFmtId="0" fontId="4145" fillId="0" borderId="4145" xfId="0" applyFont="1" applyBorder="1" applyAlignment="1">
      <alignment vertical="top"/>
    </xf>
    <xf numFmtId="0" fontId="4146" fillId="0" borderId="4146" xfId="0" applyFont="1" applyBorder="1" applyAlignment="1">
      <alignment vertical="top"/>
    </xf>
    <xf numFmtId="49" fontId="4147" fillId="0" borderId="4147" xfId="0" applyNumberFormat="1" applyFont="1" applyBorder="1" applyAlignment="1">
      <alignment vertical="top"/>
    </xf>
    <xf numFmtId="0" fontId="4148" fillId="0" borderId="4148" xfId="0" applyFont="1" applyBorder="1" applyAlignment="1">
      <alignment vertical="top"/>
    </xf>
    <xf numFmtId="0" fontId="4149" fillId="0" borderId="4149" xfId="0" applyFont="1" applyBorder="1" applyAlignment="1">
      <alignment vertical="top"/>
    </xf>
    <xf numFmtId="49" fontId="4150" fillId="0" borderId="4150" xfId="0" applyNumberFormat="1" applyFont="1" applyBorder="1" applyAlignment="1">
      <alignment vertical="top"/>
    </xf>
    <xf numFmtId="0" fontId="4151" fillId="0" borderId="4151" xfId="0" applyFont="1" applyBorder="1" applyAlignment="1">
      <alignment vertical="top"/>
    </xf>
    <xf numFmtId="0" fontId="4152" fillId="0" borderId="4152" xfId="0" applyFont="1" applyBorder="1" applyAlignment="1">
      <alignment vertical="top"/>
    </xf>
    <xf numFmtId="49" fontId="4153" fillId="0" borderId="4153" xfId="0" applyNumberFormat="1" applyFont="1" applyBorder="1" applyAlignment="1">
      <alignment vertical="top"/>
    </xf>
    <xf numFmtId="0" fontId="4154" fillId="0" borderId="4154" xfId="0" applyFont="1" applyBorder="1" applyAlignment="1">
      <alignment vertical="top"/>
    </xf>
    <xf numFmtId="0" fontId="4155" fillId="0" borderId="4155" xfId="0" applyFont="1" applyBorder="1" applyAlignment="1">
      <alignment vertical="top"/>
    </xf>
    <xf numFmtId="49" fontId="4156" fillId="0" borderId="4156" xfId="0" applyNumberFormat="1" applyFont="1" applyBorder="1" applyAlignment="1">
      <alignment vertical="top"/>
    </xf>
    <xf numFmtId="0" fontId="4157" fillId="0" borderId="4157" xfId="0" applyFont="1" applyBorder="1" applyAlignment="1">
      <alignment vertical="top"/>
    </xf>
    <xf numFmtId="0" fontId="4158" fillId="0" borderId="4158" xfId="0" applyFont="1" applyBorder="1" applyAlignment="1">
      <alignment vertical="top"/>
    </xf>
    <xf numFmtId="49" fontId="4159" fillId="0" borderId="4159" xfId="0" applyNumberFormat="1" applyFont="1" applyBorder="1" applyAlignment="1">
      <alignment vertical="top"/>
    </xf>
    <xf numFmtId="0" fontId="4160" fillId="0" borderId="4160" xfId="0" applyFont="1" applyBorder="1" applyAlignment="1">
      <alignment vertical="top"/>
    </xf>
    <xf numFmtId="0" fontId="4161" fillId="0" borderId="4161" xfId="0" applyFont="1" applyBorder="1" applyAlignment="1">
      <alignment vertical="top"/>
    </xf>
    <xf numFmtId="49" fontId="4162" fillId="0" borderId="4162" xfId="0" applyNumberFormat="1" applyFont="1" applyBorder="1" applyAlignment="1">
      <alignment vertical="top"/>
    </xf>
    <xf numFmtId="0" fontId="4163" fillId="0" borderId="4163" xfId="0" applyFont="1" applyBorder="1" applyAlignment="1">
      <alignment vertical="top"/>
    </xf>
    <xf numFmtId="0" fontId="4164" fillId="0" borderId="4164" xfId="0" applyFont="1" applyBorder="1" applyAlignment="1">
      <alignment vertical="top"/>
    </xf>
    <xf numFmtId="49" fontId="4165" fillId="0" borderId="4165" xfId="0" applyNumberFormat="1" applyFont="1" applyBorder="1" applyAlignment="1">
      <alignment vertical="top"/>
    </xf>
    <xf numFmtId="0" fontId="4166" fillId="0" borderId="4166" xfId="0" applyFont="1" applyBorder="1" applyAlignment="1">
      <alignment vertical="top"/>
    </xf>
    <xf numFmtId="0" fontId="4167" fillId="0" borderId="4167" xfId="0" applyFont="1" applyBorder="1" applyAlignment="1">
      <alignment vertical="top"/>
    </xf>
    <xf numFmtId="49" fontId="4168" fillId="0" borderId="4168" xfId="0" applyNumberFormat="1" applyFont="1" applyBorder="1" applyAlignment="1">
      <alignment vertical="top"/>
    </xf>
    <xf numFmtId="0" fontId="4169" fillId="0" borderId="4169" xfId="0" applyFont="1" applyBorder="1" applyAlignment="1">
      <alignment vertical="top"/>
    </xf>
    <xf numFmtId="0" fontId="4170" fillId="0" borderId="4170" xfId="0" applyFont="1" applyBorder="1" applyAlignment="1">
      <alignment vertical="top"/>
    </xf>
    <xf numFmtId="49" fontId="4171" fillId="0" borderId="4171" xfId="0" applyNumberFormat="1" applyFont="1" applyBorder="1" applyAlignment="1">
      <alignment vertical="top"/>
    </xf>
    <xf numFmtId="0" fontId="4172" fillId="0" borderId="4172" xfId="0" applyFont="1" applyBorder="1" applyAlignment="1">
      <alignment vertical="top"/>
    </xf>
    <xf numFmtId="0" fontId="4173" fillId="0" borderId="4173" xfId="0" applyFont="1" applyBorder="1" applyAlignment="1">
      <alignment vertical="top"/>
    </xf>
    <xf numFmtId="49" fontId="4174" fillId="0" borderId="4174" xfId="0" applyNumberFormat="1" applyFont="1" applyBorder="1" applyAlignment="1">
      <alignment vertical="top"/>
    </xf>
    <xf numFmtId="0" fontId="4175" fillId="0" borderId="4175" xfId="0" applyFont="1" applyBorder="1" applyAlignment="1">
      <alignment vertical="top"/>
    </xf>
    <xf numFmtId="0" fontId="4176" fillId="0" borderId="4176" xfId="0" applyFont="1" applyBorder="1" applyAlignment="1">
      <alignment vertical="top"/>
    </xf>
    <xf numFmtId="49" fontId="4177" fillId="0" borderId="4177" xfId="0" applyNumberFormat="1" applyFont="1" applyBorder="1" applyAlignment="1">
      <alignment vertical="top"/>
    </xf>
    <xf numFmtId="0" fontId="4178" fillId="0" borderId="4178" xfId="0" applyFont="1" applyBorder="1" applyAlignment="1">
      <alignment vertical="top"/>
    </xf>
    <xf numFmtId="0" fontId="4179" fillId="0" borderId="4179" xfId="0" applyFont="1" applyBorder="1" applyAlignment="1">
      <alignment vertical="top"/>
    </xf>
    <xf numFmtId="49" fontId="4180" fillId="0" borderId="4180" xfId="0" applyNumberFormat="1" applyFont="1" applyBorder="1" applyAlignment="1">
      <alignment vertical="top"/>
    </xf>
    <xf numFmtId="0" fontId="4181" fillId="0" borderId="4181" xfId="0" applyFont="1" applyBorder="1" applyAlignment="1">
      <alignment vertical="top"/>
    </xf>
    <xf numFmtId="0" fontId="4182" fillId="0" borderId="4182" xfId="0" applyFont="1" applyBorder="1" applyAlignment="1">
      <alignment vertical="top"/>
    </xf>
    <xf numFmtId="49" fontId="4183" fillId="0" borderId="4183" xfId="0" applyNumberFormat="1" applyFont="1" applyBorder="1" applyAlignment="1">
      <alignment vertical="top"/>
    </xf>
    <xf numFmtId="0" fontId="4184" fillId="0" borderId="4184" xfId="0" applyFont="1" applyBorder="1" applyAlignment="1">
      <alignment vertical="top"/>
    </xf>
    <xf numFmtId="0" fontId="4185" fillId="0" borderId="4185" xfId="0" applyFont="1" applyBorder="1" applyAlignment="1">
      <alignment vertical="top"/>
    </xf>
    <xf numFmtId="49" fontId="4186" fillId="0" borderId="4186" xfId="0" applyNumberFormat="1" applyFont="1" applyBorder="1" applyAlignment="1">
      <alignment vertical="top"/>
    </xf>
    <xf numFmtId="0" fontId="4187" fillId="0" borderId="4187" xfId="0" applyFont="1" applyBorder="1" applyAlignment="1">
      <alignment vertical="top"/>
    </xf>
    <xf numFmtId="0" fontId="4188" fillId="0" borderId="4188" xfId="0" applyFont="1" applyBorder="1" applyAlignment="1">
      <alignment vertical="top"/>
    </xf>
    <xf numFmtId="49" fontId="4189" fillId="0" borderId="4189" xfId="0" applyNumberFormat="1" applyFont="1" applyBorder="1" applyAlignment="1">
      <alignment vertical="top"/>
    </xf>
    <xf numFmtId="0" fontId="4190" fillId="0" borderId="4190" xfId="0" applyFont="1" applyBorder="1" applyAlignment="1">
      <alignment vertical="top"/>
    </xf>
    <xf numFmtId="0" fontId="4191" fillId="0" borderId="4191" xfId="0" applyFont="1" applyBorder="1" applyAlignment="1">
      <alignment vertical="top"/>
    </xf>
    <xf numFmtId="49" fontId="4192" fillId="0" borderId="4192" xfId="0" applyNumberFormat="1" applyFont="1" applyBorder="1" applyAlignment="1">
      <alignment vertical="top"/>
    </xf>
    <xf numFmtId="0" fontId="4193" fillId="0" borderId="4193" xfId="0" applyFont="1" applyBorder="1" applyAlignment="1">
      <alignment vertical="top"/>
    </xf>
    <xf numFmtId="0" fontId="4194" fillId="0" borderId="4194" xfId="0" applyFont="1" applyBorder="1" applyAlignment="1">
      <alignment vertical="top"/>
    </xf>
    <xf numFmtId="49" fontId="4195" fillId="0" borderId="4195" xfId="0" applyNumberFormat="1" applyFont="1" applyBorder="1" applyAlignment="1">
      <alignment vertical="top"/>
    </xf>
    <xf numFmtId="0" fontId="4196" fillId="0" borderId="4196" xfId="0" applyFont="1" applyBorder="1" applyAlignment="1">
      <alignment vertical="top"/>
    </xf>
    <xf numFmtId="0" fontId="4197" fillId="0" borderId="4197" xfId="0" applyFont="1" applyBorder="1" applyAlignment="1">
      <alignment vertical="top"/>
    </xf>
    <xf numFmtId="49" fontId="4198" fillId="0" borderId="4198" xfId="0" applyNumberFormat="1" applyFont="1" applyBorder="1" applyAlignment="1">
      <alignment vertical="top"/>
    </xf>
    <xf numFmtId="0" fontId="4199" fillId="0" borderId="4199" xfId="0" applyFont="1" applyBorder="1" applyAlignment="1">
      <alignment vertical="top"/>
    </xf>
    <xf numFmtId="0" fontId="4200" fillId="0" borderId="4200" xfId="0" applyFont="1" applyBorder="1" applyAlignment="1">
      <alignment vertical="top"/>
    </xf>
    <xf numFmtId="49" fontId="4201" fillId="0" borderId="4201" xfId="0" applyNumberFormat="1" applyFont="1" applyBorder="1" applyAlignment="1">
      <alignment vertical="top"/>
    </xf>
    <xf numFmtId="0" fontId="4202" fillId="0" borderId="4202" xfId="0" applyFont="1" applyBorder="1" applyAlignment="1">
      <alignment vertical="top"/>
    </xf>
    <xf numFmtId="0" fontId="4203" fillId="0" borderId="4203" xfId="0" applyFont="1" applyBorder="1" applyAlignment="1">
      <alignment vertical="top"/>
    </xf>
    <xf numFmtId="49" fontId="4204" fillId="0" borderId="4204" xfId="0" applyNumberFormat="1" applyFont="1" applyBorder="1" applyAlignment="1">
      <alignment vertical="top"/>
    </xf>
    <xf numFmtId="0" fontId="4205" fillId="0" borderId="4205" xfId="0" applyFont="1" applyBorder="1" applyAlignment="1">
      <alignment vertical="top"/>
    </xf>
    <xf numFmtId="0" fontId="4206" fillId="0" borderId="4206" xfId="0" applyFont="1" applyBorder="1" applyAlignment="1">
      <alignment vertical="top"/>
    </xf>
    <xf numFmtId="49" fontId="4207" fillId="0" borderId="4207" xfId="0" applyNumberFormat="1" applyFont="1" applyBorder="1" applyAlignment="1">
      <alignment vertical="top"/>
    </xf>
    <xf numFmtId="0" fontId="4208" fillId="0" borderId="4208" xfId="0" applyFont="1" applyBorder="1" applyAlignment="1">
      <alignment vertical="top"/>
    </xf>
    <xf numFmtId="0" fontId="4209" fillId="0" borderId="4209" xfId="0" applyFont="1" applyBorder="1" applyAlignment="1">
      <alignment vertical="top"/>
    </xf>
    <xf numFmtId="49" fontId="4210" fillId="0" borderId="4210" xfId="0" applyNumberFormat="1" applyFont="1" applyBorder="1" applyAlignment="1">
      <alignment vertical="top"/>
    </xf>
    <xf numFmtId="0" fontId="4211" fillId="0" borderId="4211" xfId="0" applyFont="1" applyBorder="1" applyAlignment="1">
      <alignment vertical="top"/>
    </xf>
    <xf numFmtId="0" fontId="4212" fillId="0" borderId="4212" xfId="0" applyFont="1" applyBorder="1" applyAlignment="1">
      <alignment vertical="top"/>
    </xf>
    <xf numFmtId="49" fontId="4213" fillId="0" borderId="4213" xfId="0" applyNumberFormat="1" applyFont="1" applyBorder="1" applyAlignment="1">
      <alignment vertical="top"/>
    </xf>
    <xf numFmtId="0" fontId="4214" fillId="0" borderId="4214" xfId="0" applyFont="1" applyBorder="1" applyAlignment="1">
      <alignment vertical="top"/>
    </xf>
    <xf numFmtId="0" fontId="4215" fillId="0" borderId="4215" xfId="0" applyFont="1" applyBorder="1" applyAlignment="1">
      <alignment vertical="top"/>
    </xf>
    <xf numFmtId="49" fontId="4216" fillId="0" borderId="4216" xfId="0" applyNumberFormat="1" applyFont="1" applyBorder="1" applyAlignment="1">
      <alignment vertical="top"/>
    </xf>
    <xf numFmtId="0" fontId="4217" fillId="0" borderId="4217" xfId="0" applyFont="1" applyBorder="1" applyAlignment="1">
      <alignment vertical="top"/>
    </xf>
    <xf numFmtId="0" fontId="4218" fillId="0" borderId="4218" xfId="0" applyFont="1" applyBorder="1" applyAlignment="1">
      <alignment vertical="top"/>
    </xf>
    <xf numFmtId="49" fontId="4219" fillId="0" borderId="4219" xfId="0" applyNumberFormat="1" applyFont="1" applyBorder="1" applyAlignment="1">
      <alignment vertical="top"/>
    </xf>
    <xf numFmtId="0" fontId="4220" fillId="0" borderId="4220" xfId="0" applyFont="1" applyBorder="1" applyAlignment="1">
      <alignment vertical="top"/>
    </xf>
    <xf numFmtId="0" fontId="4221" fillId="0" borderId="4221" xfId="0" applyFont="1" applyBorder="1" applyAlignment="1">
      <alignment vertical="top"/>
    </xf>
    <xf numFmtId="49" fontId="4222" fillId="0" borderId="4222" xfId="0" applyNumberFormat="1" applyFont="1" applyBorder="1" applyAlignment="1">
      <alignment vertical="top"/>
    </xf>
    <xf numFmtId="0" fontId="4223" fillId="0" borderId="4223" xfId="0" applyFont="1" applyBorder="1" applyAlignment="1">
      <alignment vertical="top"/>
    </xf>
    <xf numFmtId="0" fontId="4224" fillId="0" borderId="4224" xfId="0" applyFont="1" applyBorder="1" applyAlignment="1">
      <alignment vertical="top"/>
    </xf>
    <xf numFmtId="49" fontId="4225" fillId="0" borderId="4225" xfId="0" applyNumberFormat="1" applyFont="1" applyBorder="1" applyAlignment="1">
      <alignment vertical="top"/>
    </xf>
    <xf numFmtId="0" fontId="4226" fillId="0" borderId="4226" xfId="0" applyFont="1" applyBorder="1" applyAlignment="1">
      <alignment vertical="top"/>
    </xf>
    <xf numFmtId="0" fontId="4227" fillId="0" borderId="4227" xfId="0" applyFont="1" applyBorder="1" applyAlignment="1">
      <alignment vertical="top"/>
    </xf>
    <xf numFmtId="49" fontId="4228" fillId="0" borderId="4228" xfId="0" applyNumberFormat="1" applyFont="1" applyBorder="1" applyAlignment="1">
      <alignment vertical="top"/>
    </xf>
    <xf numFmtId="0" fontId="4229" fillId="0" borderId="4229" xfId="0" applyFont="1" applyBorder="1" applyAlignment="1">
      <alignment vertical="top"/>
    </xf>
    <xf numFmtId="0" fontId="4230" fillId="0" borderId="4230" xfId="0" applyFont="1" applyBorder="1" applyAlignment="1">
      <alignment vertical="top"/>
    </xf>
    <xf numFmtId="49" fontId="4231" fillId="0" borderId="4231" xfId="0" applyNumberFormat="1" applyFont="1" applyBorder="1" applyAlignment="1">
      <alignment vertical="top"/>
    </xf>
    <xf numFmtId="0" fontId="4232" fillId="0" borderId="4232" xfId="0" applyFont="1" applyBorder="1" applyAlignment="1">
      <alignment vertical="top"/>
    </xf>
    <xf numFmtId="0" fontId="4233" fillId="0" borderId="4233" xfId="0" applyFont="1" applyBorder="1" applyAlignment="1">
      <alignment vertical="top"/>
    </xf>
    <xf numFmtId="49" fontId="4234" fillId="0" borderId="4234" xfId="0" applyNumberFormat="1" applyFont="1" applyBorder="1" applyAlignment="1">
      <alignment vertical="top"/>
    </xf>
    <xf numFmtId="0" fontId="4235" fillId="0" borderId="4235" xfId="0" applyFont="1" applyBorder="1" applyAlignment="1">
      <alignment vertical="top"/>
    </xf>
    <xf numFmtId="0" fontId="4236" fillId="0" borderId="4236" xfId="0" applyFont="1" applyBorder="1" applyAlignment="1">
      <alignment vertical="top"/>
    </xf>
    <xf numFmtId="49" fontId="4237" fillId="0" borderId="4237" xfId="0" applyNumberFormat="1" applyFont="1" applyBorder="1" applyAlignment="1">
      <alignment vertical="top"/>
    </xf>
    <xf numFmtId="0" fontId="4238" fillId="0" borderId="4238" xfId="0" applyFont="1" applyBorder="1" applyAlignment="1">
      <alignment vertical="top"/>
    </xf>
    <xf numFmtId="0" fontId="4239" fillId="0" borderId="4239" xfId="0" applyFont="1" applyBorder="1" applyAlignment="1">
      <alignment vertical="top"/>
    </xf>
    <xf numFmtId="49" fontId="4240" fillId="0" borderId="4240" xfId="0" applyNumberFormat="1" applyFont="1" applyBorder="1" applyAlignment="1">
      <alignment vertical="top"/>
    </xf>
    <xf numFmtId="0" fontId="4241" fillId="0" borderId="4241" xfId="0" applyFont="1" applyBorder="1" applyAlignment="1">
      <alignment vertical="top"/>
    </xf>
    <xf numFmtId="0" fontId="4242" fillId="0" borderId="4242" xfId="0" applyFont="1" applyBorder="1" applyAlignment="1">
      <alignment vertical="top"/>
    </xf>
    <xf numFmtId="49" fontId="4243" fillId="0" borderId="4243" xfId="0" applyNumberFormat="1" applyFont="1" applyBorder="1" applyAlignment="1">
      <alignment vertical="top"/>
    </xf>
    <xf numFmtId="0" fontId="4244" fillId="0" borderId="4244" xfId="0" applyFont="1" applyBorder="1" applyAlignment="1">
      <alignment vertical="top"/>
    </xf>
    <xf numFmtId="0" fontId="4245" fillId="0" borderId="4245" xfId="0" applyFont="1" applyBorder="1" applyAlignment="1">
      <alignment vertical="top"/>
    </xf>
    <xf numFmtId="49" fontId="4246" fillId="0" borderId="4246" xfId="0" applyNumberFormat="1" applyFont="1" applyBorder="1" applyAlignment="1">
      <alignment vertical="top"/>
    </xf>
    <xf numFmtId="0" fontId="4247" fillId="0" borderId="4247" xfId="0" applyFont="1" applyBorder="1" applyAlignment="1">
      <alignment vertical="top"/>
    </xf>
    <xf numFmtId="0" fontId="4248" fillId="0" borderId="4248" xfId="0" applyFont="1" applyBorder="1" applyAlignment="1">
      <alignment vertical="top"/>
    </xf>
    <xf numFmtId="49" fontId="4249" fillId="0" borderId="4249" xfId="0" applyNumberFormat="1" applyFont="1" applyBorder="1" applyAlignment="1">
      <alignment vertical="top"/>
    </xf>
    <xf numFmtId="0" fontId="4250" fillId="0" borderId="4250" xfId="0" applyFont="1" applyBorder="1" applyAlignment="1">
      <alignment vertical="top"/>
    </xf>
    <xf numFmtId="0" fontId="4251" fillId="0" borderId="4251" xfId="0" applyFont="1" applyBorder="1" applyAlignment="1">
      <alignment vertical="top"/>
    </xf>
    <xf numFmtId="49" fontId="4252" fillId="0" borderId="4252" xfId="0" applyNumberFormat="1" applyFont="1" applyBorder="1" applyAlignment="1">
      <alignment vertical="top"/>
    </xf>
    <xf numFmtId="0" fontId="4253" fillId="0" borderId="4253" xfId="0" applyFont="1" applyBorder="1" applyAlignment="1">
      <alignment vertical="top"/>
    </xf>
    <xf numFmtId="0" fontId="4254" fillId="0" borderId="4254" xfId="0" applyFont="1" applyBorder="1" applyAlignment="1">
      <alignment vertical="top"/>
    </xf>
    <xf numFmtId="49" fontId="4255" fillId="0" borderId="4255" xfId="0" applyNumberFormat="1" applyFont="1" applyBorder="1" applyAlignment="1">
      <alignment vertical="top"/>
    </xf>
    <xf numFmtId="0" fontId="4256" fillId="0" borderId="4256" xfId="0" applyFont="1" applyBorder="1" applyAlignment="1">
      <alignment vertical="top"/>
    </xf>
    <xf numFmtId="0" fontId="4257" fillId="0" borderId="4257" xfId="0" applyFont="1" applyBorder="1" applyAlignment="1">
      <alignment vertical="top"/>
    </xf>
    <xf numFmtId="49" fontId="4258" fillId="0" borderId="4258" xfId="0" applyNumberFormat="1" applyFont="1" applyBorder="1" applyAlignment="1">
      <alignment vertical="top"/>
    </xf>
    <xf numFmtId="0" fontId="4259" fillId="0" borderId="4259" xfId="0" applyFont="1" applyBorder="1" applyAlignment="1">
      <alignment vertical="top"/>
    </xf>
    <xf numFmtId="0" fontId="4260" fillId="0" borderId="4260" xfId="0" applyFont="1" applyBorder="1" applyAlignment="1">
      <alignment vertical="top"/>
    </xf>
    <xf numFmtId="49" fontId="4261" fillId="0" borderId="4261" xfId="0" applyNumberFormat="1" applyFont="1" applyBorder="1" applyAlignment="1">
      <alignment vertical="top"/>
    </xf>
    <xf numFmtId="0" fontId="4262" fillId="0" borderId="4262" xfId="0" applyFont="1" applyBorder="1" applyAlignment="1">
      <alignment vertical="top"/>
    </xf>
    <xf numFmtId="0" fontId="4263" fillId="0" borderId="4263" xfId="0" applyFont="1" applyBorder="1" applyAlignment="1">
      <alignment vertical="top"/>
    </xf>
    <xf numFmtId="49" fontId="4264" fillId="0" borderId="4264" xfId="0" applyNumberFormat="1" applyFont="1" applyBorder="1" applyAlignment="1">
      <alignment vertical="top"/>
    </xf>
    <xf numFmtId="0" fontId="4265" fillId="0" borderId="4265" xfId="0" applyFont="1" applyBorder="1" applyAlignment="1">
      <alignment vertical="top"/>
    </xf>
    <xf numFmtId="0" fontId="4266" fillId="0" borderId="4266" xfId="0" applyFont="1" applyBorder="1" applyAlignment="1">
      <alignment vertical="top"/>
    </xf>
    <xf numFmtId="49" fontId="4267" fillId="0" borderId="4267" xfId="0" applyNumberFormat="1" applyFont="1" applyBorder="1" applyAlignment="1">
      <alignment vertical="top"/>
    </xf>
    <xf numFmtId="0" fontId="4268" fillId="0" borderId="4268" xfId="0" applyFont="1" applyBorder="1" applyAlignment="1">
      <alignment vertical="top"/>
    </xf>
    <xf numFmtId="0" fontId="4269" fillId="0" borderId="4269" xfId="0" applyFont="1" applyBorder="1" applyAlignment="1">
      <alignment vertical="top"/>
    </xf>
    <xf numFmtId="49" fontId="4270" fillId="0" borderId="4270" xfId="0" applyNumberFormat="1" applyFont="1" applyBorder="1" applyAlignment="1">
      <alignment vertical="top"/>
    </xf>
    <xf numFmtId="0" fontId="4271" fillId="0" borderId="4271" xfId="0" applyFont="1" applyBorder="1" applyAlignment="1">
      <alignment vertical="top"/>
    </xf>
    <xf numFmtId="0" fontId="4272" fillId="0" borderId="4272" xfId="0" applyFont="1" applyBorder="1" applyAlignment="1">
      <alignment vertical="top"/>
    </xf>
    <xf numFmtId="49" fontId="4273" fillId="0" borderId="4273" xfId="0" applyNumberFormat="1" applyFont="1" applyBorder="1" applyAlignment="1">
      <alignment vertical="top"/>
    </xf>
    <xf numFmtId="0" fontId="4274" fillId="0" borderId="4274" xfId="0" applyFont="1" applyBorder="1" applyAlignment="1">
      <alignment vertical="top"/>
    </xf>
    <xf numFmtId="0" fontId="4275" fillId="0" borderId="4275" xfId="0" applyFont="1" applyBorder="1" applyAlignment="1">
      <alignment vertical="top"/>
    </xf>
    <xf numFmtId="49" fontId="4276" fillId="0" borderId="4276" xfId="0" applyNumberFormat="1" applyFont="1" applyBorder="1" applyAlignment="1">
      <alignment vertical="top"/>
    </xf>
    <xf numFmtId="0" fontId="4277" fillId="0" borderId="4277" xfId="0" applyFont="1" applyBorder="1" applyAlignment="1">
      <alignment vertical="top"/>
    </xf>
    <xf numFmtId="0" fontId="4278" fillId="0" borderId="4278" xfId="0" applyFont="1" applyBorder="1" applyAlignment="1">
      <alignment vertical="top"/>
    </xf>
    <xf numFmtId="49" fontId="4279" fillId="0" borderId="4279" xfId="0" applyNumberFormat="1" applyFont="1" applyBorder="1" applyAlignment="1">
      <alignment vertical="top"/>
    </xf>
    <xf numFmtId="0" fontId="4280" fillId="0" borderId="4280" xfId="0" applyFont="1" applyBorder="1" applyAlignment="1">
      <alignment vertical="top"/>
    </xf>
    <xf numFmtId="0" fontId="4281" fillId="0" borderId="4281" xfId="0" applyFont="1" applyBorder="1" applyAlignment="1">
      <alignment vertical="top"/>
    </xf>
    <xf numFmtId="49" fontId="4282" fillId="0" borderId="4282" xfId="0" applyNumberFormat="1" applyFont="1" applyBorder="1" applyAlignment="1">
      <alignment vertical="top"/>
    </xf>
    <xf numFmtId="0" fontId="4283" fillId="0" borderId="4283" xfId="0" applyFont="1" applyBorder="1" applyAlignment="1">
      <alignment vertical="top"/>
    </xf>
    <xf numFmtId="0" fontId="4284" fillId="0" borderId="4284" xfId="0" applyFont="1" applyBorder="1" applyAlignment="1">
      <alignment vertical="top"/>
    </xf>
    <xf numFmtId="49" fontId="4285" fillId="0" borderId="4285" xfId="0" applyNumberFormat="1" applyFont="1" applyBorder="1" applyAlignment="1">
      <alignment vertical="top"/>
    </xf>
    <xf numFmtId="0" fontId="4286" fillId="0" borderId="4286" xfId="0" applyFont="1" applyBorder="1" applyAlignment="1">
      <alignment vertical="top"/>
    </xf>
    <xf numFmtId="0" fontId="4287" fillId="0" borderId="4287" xfId="0" applyFont="1" applyBorder="1" applyAlignment="1">
      <alignment vertical="top"/>
    </xf>
    <xf numFmtId="49" fontId="4288" fillId="0" borderId="4288" xfId="0" applyNumberFormat="1" applyFont="1" applyBorder="1" applyAlignment="1">
      <alignment vertical="top"/>
    </xf>
    <xf numFmtId="0" fontId="4289" fillId="0" borderId="4289" xfId="0" applyFont="1" applyBorder="1" applyAlignment="1">
      <alignment vertical="top"/>
    </xf>
    <xf numFmtId="0" fontId="4290" fillId="0" borderId="4290" xfId="0" applyFont="1" applyBorder="1" applyAlignment="1">
      <alignment vertical="top"/>
    </xf>
    <xf numFmtId="49" fontId="4291" fillId="0" borderId="4291" xfId="0" applyNumberFormat="1" applyFont="1" applyBorder="1" applyAlignment="1">
      <alignment vertical="top"/>
    </xf>
    <xf numFmtId="0" fontId="4292" fillId="0" borderId="4292" xfId="0" applyFont="1" applyBorder="1" applyAlignment="1">
      <alignment vertical="top"/>
    </xf>
    <xf numFmtId="0" fontId="4293" fillId="0" borderId="4293" xfId="0" applyFont="1" applyBorder="1" applyAlignment="1">
      <alignment vertical="top"/>
    </xf>
    <xf numFmtId="49" fontId="4294" fillId="0" borderId="4294" xfId="0" applyNumberFormat="1" applyFont="1" applyBorder="1" applyAlignment="1">
      <alignment vertical="top"/>
    </xf>
    <xf numFmtId="0" fontId="4295" fillId="0" borderId="4295" xfId="0" applyFont="1" applyBorder="1" applyAlignment="1">
      <alignment vertical="top"/>
    </xf>
    <xf numFmtId="0" fontId="4296" fillId="0" borderId="4296" xfId="0" applyFont="1" applyBorder="1" applyAlignment="1">
      <alignment vertical="top"/>
    </xf>
    <xf numFmtId="49" fontId="4297" fillId="0" borderId="4297" xfId="0" applyNumberFormat="1" applyFont="1" applyBorder="1" applyAlignment="1">
      <alignment vertical="top"/>
    </xf>
    <xf numFmtId="0" fontId="4298" fillId="0" borderId="4298" xfId="0" applyFont="1" applyBorder="1" applyAlignment="1">
      <alignment vertical="top"/>
    </xf>
    <xf numFmtId="0" fontId="4299" fillId="0" borderId="4299" xfId="0" applyFont="1" applyBorder="1" applyAlignment="1">
      <alignment vertical="top"/>
    </xf>
    <xf numFmtId="49" fontId="4300" fillId="0" borderId="4300" xfId="0" applyNumberFormat="1" applyFont="1" applyBorder="1" applyAlignment="1">
      <alignment vertical="top"/>
    </xf>
    <xf numFmtId="0" fontId="4301" fillId="0" borderId="4301" xfId="0" applyFont="1" applyBorder="1" applyAlignment="1">
      <alignment vertical="top"/>
    </xf>
    <xf numFmtId="0" fontId="4302" fillId="0" borderId="4302" xfId="0" applyFont="1" applyBorder="1" applyAlignment="1">
      <alignment vertical="top"/>
    </xf>
    <xf numFmtId="49" fontId="4303" fillId="0" borderId="4303" xfId="0" applyNumberFormat="1" applyFont="1" applyBorder="1" applyAlignment="1">
      <alignment vertical="top"/>
    </xf>
    <xf numFmtId="0" fontId="4304" fillId="0" borderId="4304" xfId="0" applyFont="1" applyBorder="1" applyAlignment="1">
      <alignment vertical="top"/>
    </xf>
    <xf numFmtId="0" fontId="4305" fillId="0" borderId="4305" xfId="0" applyFont="1" applyBorder="1" applyAlignment="1">
      <alignment vertical="top"/>
    </xf>
    <xf numFmtId="49" fontId="4306" fillId="0" borderId="4306" xfId="0" applyNumberFormat="1" applyFont="1" applyBorder="1" applyAlignment="1">
      <alignment vertical="top"/>
    </xf>
    <xf numFmtId="0" fontId="4307" fillId="0" borderId="4307" xfId="0" applyFont="1" applyBorder="1" applyAlignment="1">
      <alignment vertical="top"/>
    </xf>
    <xf numFmtId="0" fontId="4308" fillId="0" borderId="4308" xfId="0" applyFont="1" applyBorder="1" applyAlignment="1">
      <alignment vertical="top"/>
    </xf>
    <xf numFmtId="49" fontId="4309" fillId="0" borderId="4309" xfId="0" applyNumberFormat="1" applyFont="1" applyBorder="1" applyAlignment="1">
      <alignment vertical="top"/>
    </xf>
    <xf numFmtId="0" fontId="4310" fillId="0" borderId="4310" xfId="0" applyFont="1" applyBorder="1" applyAlignment="1">
      <alignment vertical="top"/>
    </xf>
    <xf numFmtId="0" fontId="4311" fillId="0" borderId="4311" xfId="0" applyFont="1" applyBorder="1" applyAlignment="1">
      <alignment vertical="top"/>
    </xf>
    <xf numFmtId="49" fontId="4312" fillId="0" borderId="4312" xfId="0" applyNumberFormat="1" applyFont="1" applyBorder="1" applyAlignment="1">
      <alignment vertical="top"/>
    </xf>
    <xf numFmtId="0" fontId="4313" fillId="0" borderId="4313" xfId="0" applyFont="1" applyBorder="1" applyAlignment="1">
      <alignment vertical="top"/>
    </xf>
    <xf numFmtId="0" fontId="4314" fillId="0" borderId="4314" xfId="0" applyFont="1" applyBorder="1" applyAlignment="1">
      <alignment vertical="top"/>
    </xf>
    <xf numFmtId="49" fontId="4315" fillId="0" borderId="4315" xfId="0" applyNumberFormat="1" applyFont="1" applyBorder="1" applyAlignment="1">
      <alignment vertical="top"/>
    </xf>
    <xf numFmtId="0" fontId="4316" fillId="0" borderId="4316" xfId="0" applyFont="1" applyBorder="1" applyAlignment="1">
      <alignment vertical="top"/>
    </xf>
    <xf numFmtId="0" fontId="4317" fillId="0" borderId="4317" xfId="0" applyFont="1" applyBorder="1" applyAlignment="1">
      <alignment vertical="top"/>
    </xf>
    <xf numFmtId="49" fontId="4318" fillId="0" borderId="4318" xfId="0" applyNumberFormat="1" applyFont="1" applyBorder="1" applyAlignment="1">
      <alignment vertical="top"/>
    </xf>
    <xf numFmtId="0" fontId="4319" fillId="0" borderId="4319" xfId="0" applyFont="1" applyBorder="1" applyAlignment="1">
      <alignment vertical="top"/>
    </xf>
    <xf numFmtId="0" fontId="4320" fillId="0" borderId="4320" xfId="0" applyFont="1" applyBorder="1" applyAlignment="1">
      <alignment vertical="top"/>
    </xf>
    <xf numFmtId="49" fontId="4321" fillId="0" borderId="4321" xfId="0" applyNumberFormat="1" applyFont="1" applyBorder="1" applyAlignment="1">
      <alignment vertical="top"/>
    </xf>
    <xf numFmtId="0" fontId="4322" fillId="0" borderId="4322" xfId="0" applyFont="1" applyBorder="1" applyAlignment="1">
      <alignment vertical="top"/>
    </xf>
    <xf numFmtId="0" fontId="4323" fillId="0" borderId="4323" xfId="0" applyFont="1" applyBorder="1" applyAlignment="1">
      <alignment vertical="top"/>
    </xf>
    <xf numFmtId="49" fontId="4324" fillId="0" borderId="4324" xfId="0" applyNumberFormat="1" applyFont="1" applyBorder="1" applyAlignment="1">
      <alignment vertical="top"/>
    </xf>
    <xf numFmtId="0" fontId="4325" fillId="0" borderId="4325" xfId="0" applyFont="1" applyBorder="1" applyAlignment="1">
      <alignment vertical="top"/>
    </xf>
    <xf numFmtId="0" fontId="4326" fillId="0" borderId="4326" xfId="0" applyFont="1" applyBorder="1" applyAlignment="1">
      <alignment vertical="top"/>
    </xf>
    <xf numFmtId="49" fontId="4327" fillId="0" borderId="4327" xfId="0" applyNumberFormat="1" applyFont="1" applyBorder="1" applyAlignment="1">
      <alignment vertical="top"/>
    </xf>
    <xf numFmtId="0" fontId="4328" fillId="0" borderId="4328" xfId="0" applyFont="1" applyBorder="1" applyAlignment="1">
      <alignment vertical="top"/>
    </xf>
    <xf numFmtId="0" fontId="4329" fillId="0" borderId="4329" xfId="0" applyFont="1" applyBorder="1" applyAlignment="1">
      <alignment vertical="top"/>
    </xf>
    <xf numFmtId="49" fontId="4330" fillId="0" borderId="4330" xfId="0" applyNumberFormat="1" applyFont="1" applyBorder="1" applyAlignment="1">
      <alignment vertical="top"/>
    </xf>
    <xf numFmtId="0" fontId="4331" fillId="0" borderId="4331" xfId="0" applyFont="1" applyBorder="1" applyAlignment="1">
      <alignment vertical="top"/>
    </xf>
    <xf numFmtId="0" fontId="4332" fillId="0" borderId="4332" xfId="0" applyFont="1" applyBorder="1" applyAlignment="1">
      <alignment vertical="top"/>
    </xf>
    <xf numFmtId="49" fontId="4333" fillId="0" borderId="4333" xfId="0" applyNumberFormat="1" applyFont="1" applyBorder="1" applyAlignment="1">
      <alignment vertical="top"/>
    </xf>
    <xf numFmtId="0" fontId="4334" fillId="0" borderId="4334" xfId="0" applyFont="1" applyBorder="1" applyAlignment="1">
      <alignment vertical="top"/>
    </xf>
    <xf numFmtId="0" fontId="4335" fillId="0" borderId="4335" xfId="0" applyFont="1" applyBorder="1" applyAlignment="1">
      <alignment vertical="top"/>
    </xf>
    <xf numFmtId="49" fontId="4336" fillId="0" borderId="4336" xfId="0" applyNumberFormat="1" applyFont="1" applyBorder="1" applyAlignment="1">
      <alignment vertical="top"/>
    </xf>
    <xf numFmtId="0" fontId="4337" fillId="0" borderId="4337" xfId="0" applyFont="1" applyBorder="1" applyAlignment="1">
      <alignment vertical="top"/>
    </xf>
    <xf numFmtId="0" fontId="4338" fillId="0" borderId="4338" xfId="0" applyFont="1" applyBorder="1" applyAlignment="1">
      <alignment vertical="top"/>
    </xf>
    <xf numFmtId="49" fontId="4339" fillId="0" borderId="4339" xfId="0" applyNumberFormat="1" applyFont="1" applyBorder="1" applyAlignment="1">
      <alignment vertical="top"/>
    </xf>
    <xf numFmtId="0" fontId="4340" fillId="0" borderId="4340" xfId="0" applyFont="1" applyBorder="1" applyAlignment="1">
      <alignment vertical="top"/>
    </xf>
    <xf numFmtId="0" fontId="4341" fillId="0" borderId="4341" xfId="0" applyFont="1" applyBorder="1" applyAlignment="1">
      <alignment vertical="top"/>
    </xf>
    <xf numFmtId="49" fontId="4342" fillId="0" borderId="4342" xfId="0" applyNumberFormat="1" applyFont="1" applyBorder="1" applyAlignment="1">
      <alignment vertical="top"/>
    </xf>
    <xf numFmtId="0" fontId="4343" fillId="0" borderId="4343" xfId="0" applyFont="1" applyBorder="1" applyAlignment="1">
      <alignment vertical="top"/>
    </xf>
    <xf numFmtId="0" fontId="4344" fillId="0" borderId="4344" xfId="0" applyFont="1" applyBorder="1" applyAlignment="1">
      <alignment vertical="top"/>
    </xf>
    <xf numFmtId="49" fontId="4345" fillId="0" borderId="4345" xfId="0" applyNumberFormat="1" applyFont="1" applyBorder="1" applyAlignment="1">
      <alignment vertical="top"/>
    </xf>
    <xf numFmtId="0" fontId="4346" fillId="0" borderId="4346" xfId="0" applyFont="1" applyBorder="1" applyAlignment="1">
      <alignment vertical="top"/>
    </xf>
    <xf numFmtId="0" fontId="4347" fillId="0" borderId="4347" xfId="0" applyFont="1" applyBorder="1" applyAlignment="1">
      <alignment vertical="top"/>
    </xf>
    <xf numFmtId="49" fontId="4348" fillId="0" borderId="4348" xfId="0" applyNumberFormat="1" applyFont="1" applyBorder="1" applyAlignment="1">
      <alignment vertical="top"/>
    </xf>
    <xf numFmtId="0" fontId="4349" fillId="0" borderId="4349" xfId="0" applyFont="1" applyBorder="1" applyAlignment="1">
      <alignment vertical="top"/>
    </xf>
    <xf numFmtId="0" fontId="4350" fillId="0" borderId="4350" xfId="0" applyFont="1" applyBorder="1" applyAlignment="1">
      <alignment vertical="top"/>
    </xf>
    <xf numFmtId="49" fontId="4351" fillId="0" borderId="4351" xfId="0" applyNumberFormat="1" applyFont="1" applyBorder="1" applyAlignment="1">
      <alignment vertical="top"/>
    </xf>
    <xf numFmtId="0" fontId="4352" fillId="0" borderId="4352" xfId="0" applyFont="1" applyBorder="1" applyAlignment="1">
      <alignment vertical="top"/>
    </xf>
    <xf numFmtId="0" fontId="4353" fillId="0" borderId="4353" xfId="0" applyFont="1" applyBorder="1" applyAlignment="1">
      <alignment vertical="top"/>
    </xf>
    <xf numFmtId="49" fontId="4354" fillId="0" borderId="4354" xfId="0" applyNumberFormat="1" applyFont="1" applyBorder="1" applyAlignment="1">
      <alignment vertical="top"/>
    </xf>
    <xf numFmtId="0" fontId="4355" fillId="0" borderId="4355" xfId="0" applyFont="1" applyBorder="1" applyAlignment="1">
      <alignment vertical="top"/>
    </xf>
    <xf numFmtId="0" fontId="4356" fillId="0" borderId="4356" xfId="0" applyFont="1" applyBorder="1" applyAlignment="1">
      <alignment vertical="top"/>
    </xf>
    <xf numFmtId="49" fontId="4357" fillId="0" borderId="4357" xfId="0" applyNumberFormat="1" applyFont="1" applyBorder="1" applyAlignment="1">
      <alignment vertical="top"/>
    </xf>
    <xf numFmtId="0" fontId="4358" fillId="0" borderId="4358" xfId="0" applyFont="1" applyBorder="1" applyAlignment="1">
      <alignment vertical="top"/>
    </xf>
    <xf numFmtId="0" fontId="4359" fillId="0" borderId="4359" xfId="0" applyFont="1" applyBorder="1" applyAlignment="1">
      <alignment vertical="top"/>
    </xf>
    <xf numFmtId="49" fontId="4360" fillId="0" borderId="4360" xfId="0" applyNumberFormat="1" applyFont="1" applyBorder="1" applyAlignment="1">
      <alignment vertical="top"/>
    </xf>
    <xf numFmtId="0" fontId="4361" fillId="0" borderId="4361" xfId="0" applyFont="1" applyBorder="1" applyAlignment="1">
      <alignment vertical="top"/>
    </xf>
    <xf numFmtId="0" fontId="4362" fillId="0" borderId="4362" xfId="0" applyFont="1" applyBorder="1" applyAlignment="1">
      <alignment vertical="top"/>
    </xf>
    <xf numFmtId="49" fontId="4363" fillId="0" borderId="4363" xfId="0" applyNumberFormat="1" applyFont="1" applyBorder="1" applyAlignment="1">
      <alignment vertical="top"/>
    </xf>
    <xf numFmtId="0" fontId="4364" fillId="0" borderId="4364" xfId="0" applyFont="1" applyBorder="1" applyAlignment="1">
      <alignment vertical="top"/>
    </xf>
    <xf numFmtId="0" fontId="4365" fillId="0" borderId="4365" xfId="0" applyFont="1" applyBorder="1" applyAlignment="1">
      <alignment vertical="top"/>
    </xf>
    <xf numFmtId="49" fontId="4366" fillId="0" borderId="4366" xfId="0" applyNumberFormat="1" applyFont="1" applyBorder="1" applyAlignment="1">
      <alignment vertical="top"/>
    </xf>
    <xf numFmtId="0" fontId="4367" fillId="0" borderId="4367" xfId="0" applyFont="1" applyBorder="1" applyAlignment="1">
      <alignment vertical="top"/>
    </xf>
    <xf numFmtId="0" fontId="4368" fillId="0" borderId="4368" xfId="0" applyFont="1" applyBorder="1" applyAlignment="1">
      <alignment vertical="top"/>
    </xf>
    <xf numFmtId="49" fontId="4369" fillId="0" borderId="4369" xfId="0" applyNumberFormat="1" applyFont="1" applyBorder="1" applyAlignment="1">
      <alignment vertical="top"/>
    </xf>
    <xf numFmtId="0" fontId="4370" fillId="0" borderId="4370" xfId="0" applyFont="1" applyBorder="1" applyAlignment="1">
      <alignment vertical="top"/>
    </xf>
    <xf numFmtId="0" fontId="4371" fillId="0" borderId="4371" xfId="0" applyFont="1" applyBorder="1" applyAlignment="1">
      <alignment vertical="top"/>
    </xf>
    <xf numFmtId="49" fontId="4372" fillId="0" borderId="4372" xfId="0" applyNumberFormat="1" applyFont="1" applyBorder="1" applyAlignment="1">
      <alignment vertical="top"/>
    </xf>
    <xf numFmtId="0" fontId="4373" fillId="0" borderId="4373" xfId="0" applyFont="1" applyBorder="1" applyAlignment="1">
      <alignment vertical="top"/>
    </xf>
    <xf numFmtId="0" fontId="4374" fillId="0" borderId="4374" xfId="0" applyFont="1" applyBorder="1" applyAlignment="1">
      <alignment vertical="top"/>
    </xf>
    <xf numFmtId="49" fontId="4375" fillId="0" borderId="4375" xfId="0" applyNumberFormat="1" applyFont="1" applyBorder="1" applyAlignment="1">
      <alignment vertical="top"/>
    </xf>
    <xf numFmtId="0" fontId="4376" fillId="0" borderId="4376" xfId="0" applyFont="1" applyBorder="1" applyAlignment="1">
      <alignment vertical="top"/>
    </xf>
    <xf numFmtId="0" fontId="4377" fillId="0" borderId="4377" xfId="0" applyFont="1" applyBorder="1" applyAlignment="1">
      <alignment vertical="top"/>
    </xf>
    <xf numFmtId="49" fontId="4378" fillId="0" borderId="4378" xfId="0" applyNumberFormat="1" applyFont="1" applyBorder="1" applyAlignment="1">
      <alignment vertical="top"/>
    </xf>
    <xf numFmtId="0" fontId="4379" fillId="0" borderId="4379" xfId="0" applyFont="1" applyBorder="1" applyAlignment="1">
      <alignment vertical="top"/>
    </xf>
    <xf numFmtId="0" fontId="4380" fillId="0" borderId="4380" xfId="0" applyFont="1" applyBorder="1" applyAlignment="1">
      <alignment vertical="top"/>
    </xf>
    <xf numFmtId="49" fontId="4381" fillId="0" borderId="4381" xfId="0" applyNumberFormat="1" applyFont="1" applyBorder="1" applyAlignment="1">
      <alignment vertical="top"/>
    </xf>
    <xf numFmtId="0" fontId="4382" fillId="0" borderId="4382" xfId="0" applyFont="1" applyBorder="1" applyAlignment="1">
      <alignment vertical="top"/>
    </xf>
    <xf numFmtId="0" fontId="4383" fillId="0" borderId="4383" xfId="0" applyFont="1" applyBorder="1" applyAlignment="1">
      <alignment vertical="top"/>
    </xf>
    <xf numFmtId="49" fontId="4384" fillId="0" borderId="4384" xfId="0" applyNumberFormat="1" applyFont="1" applyBorder="1" applyAlignment="1">
      <alignment vertical="top"/>
    </xf>
    <xf numFmtId="0" fontId="4385" fillId="0" borderId="4385" xfId="0" applyFont="1" applyBorder="1" applyAlignment="1">
      <alignment vertical="top"/>
    </xf>
    <xf numFmtId="0" fontId="4386" fillId="0" borderId="4386" xfId="0" applyFont="1" applyBorder="1" applyAlignment="1">
      <alignment vertical="top"/>
    </xf>
    <xf numFmtId="49" fontId="4387" fillId="0" borderId="4387" xfId="0" applyNumberFormat="1" applyFont="1" applyBorder="1" applyAlignment="1">
      <alignment vertical="top"/>
    </xf>
    <xf numFmtId="0" fontId="4388" fillId="0" borderId="4388" xfId="0" applyFont="1" applyBorder="1" applyAlignment="1">
      <alignment vertical="top"/>
    </xf>
    <xf numFmtId="0" fontId="4389" fillId="0" borderId="4389" xfId="0" applyFont="1" applyBorder="1" applyAlignment="1">
      <alignment vertical="top"/>
    </xf>
    <xf numFmtId="49" fontId="4390" fillId="0" borderId="4390" xfId="0" applyNumberFormat="1" applyFont="1" applyBorder="1" applyAlignment="1">
      <alignment vertical="top"/>
    </xf>
    <xf numFmtId="0" fontId="4391" fillId="0" borderId="4391" xfId="0" applyFont="1" applyBorder="1" applyAlignment="1">
      <alignment vertical="top"/>
    </xf>
    <xf numFmtId="0" fontId="4392" fillId="0" borderId="4392" xfId="0" applyFont="1" applyBorder="1" applyAlignment="1">
      <alignment vertical="top"/>
    </xf>
    <xf numFmtId="49" fontId="4393" fillId="0" borderId="4393" xfId="0" applyNumberFormat="1" applyFont="1" applyBorder="1" applyAlignment="1">
      <alignment vertical="top"/>
    </xf>
    <xf numFmtId="0" fontId="4394" fillId="0" borderId="4394" xfId="0" applyFont="1" applyBorder="1" applyAlignment="1">
      <alignment vertical="top"/>
    </xf>
    <xf numFmtId="0" fontId="4395" fillId="0" borderId="4395" xfId="0" applyFont="1" applyBorder="1" applyAlignment="1">
      <alignment vertical="top"/>
    </xf>
    <xf numFmtId="49" fontId="4396" fillId="0" borderId="4396" xfId="0" applyNumberFormat="1" applyFont="1" applyBorder="1" applyAlignment="1">
      <alignment vertical="top"/>
    </xf>
    <xf numFmtId="0" fontId="4397" fillId="0" borderId="4397" xfId="0" applyFont="1" applyBorder="1" applyAlignment="1">
      <alignment vertical="top"/>
    </xf>
    <xf numFmtId="0" fontId="4398" fillId="0" borderId="4398" xfId="0" applyFont="1" applyBorder="1" applyAlignment="1">
      <alignment vertical="top"/>
    </xf>
    <xf numFmtId="49" fontId="4399" fillId="0" borderId="4399" xfId="0" applyNumberFormat="1" applyFont="1" applyBorder="1" applyAlignment="1">
      <alignment vertical="top"/>
    </xf>
    <xf numFmtId="0" fontId="4400" fillId="0" borderId="4400" xfId="0" applyFont="1" applyBorder="1" applyAlignment="1">
      <alignment vertical="top"/>
    </xf>
    <xf numFmtId="0" fontId="4401" fillId="0" borderId="4401" xfId="0" applyFont="1" applyBorder="1" applyAlignment="1">
      <alignment vertical="top"/>
    </xf>
    <xf numFmtId="49" fontId="4402" fillId="0" borderId="4402" xfId="0" applyNumberFormat="1" applyFont="1" applyBorder="1" applyAlignment="1">
      <alignment vertical="top"/>
    </xf>
    <xf numFmtId="0" fontId="4403" fillId="0" borderId="4403" xfId="0" applyFont="1" applyBorder="1" applyAlignment="1">
      <alignment vertical="top"/>
    </xf>
    <xf numFmtId="0" fontId="4404" fillId="0" borderId="4404" xfId="0" applyFont="1" applyBorder="1" applyAlignment="1">
      <alignment vertical="top"/>
    </xf>
    <xf numFmtId="49" fontId="4405" fillId="0" borderId="4405" xfId="0" applyNumberFormat="1" applyFont="1" applyBorder="1" applyAlignment="1">
      <alignment vertical="top"/>
    </xf>
    <xf numFmtId="0" fontId="4406" fillId="0" borderId="4406" xfId="0" applyFont="1" applyBorder="1" applyAlignment="1">
      <alignment vertical="top"/>
    </xf>
    <xf numFmtId="0" fontId="4407" fillId="0" borderId="4407" xfId="0" applyFont="1" applyBorder="1" applyAlignment="1">
      <alignment vertical="top"/>
    </xf>
    <xf numFmtId="49" fontId="4408" fillId="0" borderId="4408" xfId="0" applyNumberFormat="1" applyFont="1" applyBorder="1" applyAlignment="1">
      <alignment vertical="top"/>
    </xf>
    <xf numFmtId="0" fontId="4409" fillId="0" borderId="4409" xfId="0" applyFont="1" applyBorder="1" applyAlignment="1">
      <alignment vertical="top"/>
    </xf>
    <xf numFmtId="0" fontId="4410" fillId="0" borderId="4410" xfId="0" applyFont="1" applyBorder="1" applyAlignment="1">
      <alignment vertical="top"/>
    </xf>
    <xf numFmtId="49" fontId="4411" fillId="0" borderId="4411" xfId="0" applyNumberFormat="1" applyFont="1" applyBorder="1" applyAlignment="1">
      <alignment vertical="top"/>
    </xf>
    <xf numFmtId="0" fontId="4412" fillId="0" borderId="4412" xfId="0" applyFont="1" applyBorder="1" applyAlignment="1">
      <alignment vertical="top"/>
    </xf>
    <xf numFmtId="0" fontId="4413" fillId="0" borderId="4413" xfId="0" applyFont="1" applyBorder="1" applyAlignment="1">
      <alignment vertical="top"/>
    </xf>
    <xf numFmtId="49" fontId="4414" fillId="0" borderId="4414" xfId="0" applyNumberFormat="1" applyFont="1" applyBorder="1" applyAlignment="1">
      <alignment vertical="top"/>
    </xf>
    <xf numFmtId="0" fontId="4415" fillId="0" borderId="4415" xfId="0" applyFont="1" applyBorder="1" applyAlignment="1">
      <alignment vertical="top"/>
    </xf>
    <xf numFmtId="0" fontId="4416" fillId="0" borderId="4416" xfId="0" applyFont="1" applyBorder="1" applyAlignment="1">
      <alignment vertical="top"/>
    </xf>
    <xf numFmtId="49" fontId="4417" fillId="0" borderId="4417" xfId="0" applyNumberFormat="1" applyFont="1" applyBorder="1" applyAlignment="1">
      <alignment vertical="top"/>
    </xf>
    <xf numFmtId="0" fontId="4418" fillId="0" borderId="4418" xfId="0" applyFont="1" applyBorder="1" applyAlignment="1">
      <alignment vertical="top"/>
    </xf>
    <xf numFmtId="0" fontId="4419" fillId="0" borderId="4419" xfId="0" applyFont="1" applyBorder="1" applyAlignment="1">
      <alignment vertical="top"/>
    </xf>
    <xf numFmtId="49" fontId="4420" fillId="0" borderId="4420" xfId="0" applyNumberFormat="1" applyFont="1" applyBorder="1" applyAlignment="1">
      <alignment vertical="top"/>
    </xf>
    <xf numFmtId="0" fontId="4421" fillId="0" borderId="4421" xfId="0" applyFont="1" applyBorder="1" applyAlignment="1">
      <alignment vertical="top"/>
    </xf>
    <xf numFmtId="0" fontId="4422" fillId="0" borderId="4422" xfId="0" applyFont="1" applyBorder="1" applyAlignment="1">
      <alignment vertical="top"/>
    </xf>
    <xf numFmtId="49" fontId="4423" fillId="0" borderId="4423" xfId="0" applyNumberFormat="1" applyFont="1" applyBorder="1" applyAlignment="1">
      <alignment vertical="top"/>
    </xf>
    <xf numFmtId="0" fontId="4424" fillId="0" borderId="4424" xfId="0" applyFont="1" applyBorder="1" applyAlignment="1">
      <alignment vertical="top"/>
    </xf>
    <xf numFmtId="0" fontId="4425" fillId="0" borderId="4425" xfId="0" applyFont="1" applyBorder="1" applyAlignment="1">
      <alignment vertical="top"/>
    </xf>
    <xf numFmtId="49" fontId="4426" fillId="0" borderId="4426" xfId="0" applyNumberFormat="1" applyFont="1" applyBorder="1" applyAlignment="1">
      <alignment vertical="top"/>
    </xf>
    <xf numFmtId="0" fontId="4427" fillId="0" borderId="4427" xfId="0" applyFont="1" applyBorder="1" applyAlignment="1">
      <alignment vertical="top"/>
    </xf>
    <xf numFmtId="0" fontId="4428" fillId="0" borderId="4428" xfId="0" applyFont="1" applyBorder="1" applyAlignment="1">
      <alignment vertical="top"/>
    </xf>
    <xf numFmtId="49" fontId="4429" fillId="0" borderId="4429" xfId="0" applyNumberFormat="1" applyFont="1" applyBorder="1" applyAlignment="1">
      <alignment vertical="top"/>
    </xf>
    <xf numFmtId="0" fontId="4430" fillId="0" borderId="4430" xfId="0" applyFont="1" applyBorder="1" applyAlignment="1">
      <alignment vertical="top"/>
    </xf>
    <xf numFmtId="0" fontId="4431" fillId="0" borderId="4431" xfId="0" applyFont="1" applyBorder="1" applyAlignment="1">
      <alignment vertical="top"/>
    </xf>
    <xf numFmtId="49" fontId="4432" fillId="0" borderId="4432" xfId="0" applyNumberFormat="1" applyFont="1" applyBorder="1" applyAlignment="1">
      <alignment vertical="top"/>
    </xf>
    <xf numFmtId="0" fontId="4433" fillId="0" borderId="4433" xfId="0" applyFont="1" applyBorder="1" applyAlignment="1">
      <alignment vertical="top"/>
    </xf>
    <xf numFmtId="0" fontId="4434" fillId="0" borderId="4434" xfId="0" applyFont="1" applyBorder="1" applyAlignment="1">
      <alignment vertical="top"/>
    </xf>
    <xf numFmtId="49" fontId="4435" fillId="0" borderId="4435" xfId="0" applyNumberFormat="1" applyFont="1" applyBorder="1" applyAlignment="1">
      <alignment vertical="top"/>
    </xf>
    <xf numFmtId="0" fontId="4436" fillId="0" borderId="4436" xfId="0" applyFont="1" applyBorder="1" applyAlignment="1">
      <alignment vertical="top"/>
    </xf>
    <xf numFmtId="0" fontId="4437" fillId="0" borderId="4437" xfId="0" applyFont="1" applyBorder="1" applyAlignment="1">
      <alignment vertical="top"/>
    </xf>
    <xf numFmtId="49" fontId="4438" fillId="0" borderId="4438" xfId="0" applyNumberFormat="1" applyFont="1" applyBorder="1" applyAlignment="1">
      <alignment vertical="top"/>
    </xf>
    <xf numFmtId="0" fontId="4439" fillId="0" borderId="4439" xfId="0" applyFont="1" applyBorder="1" applyAlignment="1">
      <alignment vertical="top"/>
    </xf>
    <xf numFmtId="0" fontId="4440" fillId="0" borderId="4440" xfId="0" applyFont="1" applyBorder="1" applyAlignment="1">
      <alignment vertical="top"/>
    </xf>
    <xf numFmtId="49" fontId="4441" fillId="0" borderId="4441" xfId="0" applyNumberFormat="1" applyFont="1" applyBorder="1" applyAlignment="1">
      <alignment vertical="top"/>
    </xf>
    <xf numFmtId="0" fontId="4442" fillId="0" borderId="4442" xfId="0" applyFont="1" applyBorder="1" applyAlignment="1">
      <alignment vertical="top"/>
    </xf>
    <xf numFmtId="0" fontId="4443" fillId="0" borderId="4443" xfId="0" applyFont="1" applyBorder="1" applyAlignment="1">
      <alignment vertical="top"/>
    </xf>
    <xf numFmtId="49" fontId="4444" fillId="0" borderId="4444" xfId="0" applyNumberFormat="1" applyFont="1" applyBorder="1" applyAlignment="1">
      <alignment vertical="top"/>
    </xf>
    <xf numFmtId="0" fontId="4445" fillId="0" borderId="4445" xfId="0" applyFont="1" applyBorder="1" applyAlignment="1">
      <alignment vertical="top"/>
    </xf>
    <xf numFmtId="0" fontId="4446" fillId="0" borderId="4446" xfId="0" applyFont="1" applyBorder="1" applyAlignment="1">
      <alignment vertical="top"/>
    </xf>
    <xf numFmtId="49" fontId="4447" fillId="0" borderId="4447" xfId="0" applyNumberFormat="1" applyFont="1" applyBorder="1" applyAlignment="1">
      <alignment vertical="top"/>
    </xf>
    <xf numFmtId="0" fontId="4448" fillId="0" borderId="4448" xfId="0" applyFont="1" applyBorder="1" applyAlignment="1">
      <alignment vertical="top"/>
    </xf>
    <xf numFmtId="0" fontId="4449" fillId="0" borderId="4449" xfId="0" applyFont="1" applyBorder="1" applyAlignment="1">
      <alignment vertical="top"/>
    </xf>
    <xf numFmtId="49" fontId="4450" fillId="0" borderId="4450" xfId="0" applyNumberFormat="1" applyFont="1" applyBorder="1" applyAlignment="1">
      <alignment vertical="top"/>
    </xf>
    <xf numFmtId="0" fontId="4451" fillId="0" borderId="4451" xfId="0" applyFont="1" applyBorder="1" applyAlignment="1">
      <alignment vertical="top"/>
    </xf>
    <xf numFmtId="0" fontId="4452" fillId="0" borderId="4452" xfId="0" applyFont="1" applyBorder="1" applyAlignment="1">
      <alignment vertical="top"/>
    </xf>
    <xf numFmtId="49" fontId="4453" fillId="0" borderId="4453" xfId="0" applyNumberFormat="1" applyFont="1" applyBorder="1" applyAlignment="1">
      <alignment vertical="top"/>
    </xf>
    <xf numFmtId="0" fontId="4454" fillId="0" borderId="4454" xfId="0" applyFont="1" applyBorder="1" applyAlignment="1">
      <alignment vertical="top"/>
    </xf>
    <xf numFmtId="0" fontId="4455" fillId="0" borderId="4455" xfId="0" applyFont="1" applyBorder="1" applyAlignment="1">
      <alignment vertical="top"/>
    </xf>
    <xf numFmtId="49" fontId="4456" fillId="0" borderId="4456" xfId="0" applyNumberFormat="1" applyFont="1" applyBorder="1" applyAlignment="1">
      <alignment vertical="top"/>
    </xf>
    <xf numFmtId="0" fontId="4457" fillId="0" borderId="4457" xfId="0" applyFont="1" applyBorder="1" applyAlignment="1">
      <alignment vertical="top"/>
    </xf>
    <xf numFmtId="0" fontId="4458" fillId="0" borderId="4458" xfId="0" applyFont="1" applyBorder="1" applyAlignment="1">
      <alignment vertical="top"/>
    </xf>
    <xf numFmtId="49" fontId="4459" fillId="0" borderId="4459" xfId="0" applyNumberFormat="1" applyFont="1" applyBorder="1" applyAlignment="1">
      <alignment vertical="top"/>
    </xf>
    <xf numFmtId="0" fontId="4460" fillId="0" borderId="4460" xfId="0" applyFont="1" applyBorder="1" applyAlignment="1">
      <alignment vertical="top"/>
    </xf>
    <xf numFmtId="0" fontId="4461" fillId="0" borderId="4461" xfId="0" applyFont="1" applyBorder="1" applyAlignment="1">
      <alignment vertical="top"/>
    </xf>
    <xf numFmtId="49" fontId="4462" fillId="0" borderId="4462" xfId="0" applyNumberFormat="1" applyFont="1" applyBorder="1" applyAlignment="1">
      <alignment vertical="top"/>
    </xf>
    <xf numFmtId="0" fontId="4463" fillId="0" borderId="4463" xfId="0" applyFont="1" applyBorder="1" applyAlignment="1">
      <alignment vertical="top"/>
    </xf>
    <xf numFmtId="0" fontId="4464" fillId="0" borderId="4464" xfId="0" applyFont="1" applyBorder="1" applyAlignment="1">
      <alignment vertical="top"/>
    </xf>
    <xf numFmtId="49" fontId="4465" fillId="0" borderId="4465" xfId="0" applyNumberFormat="1" applyFont="1" applyBorder="1" applyAlignment="1">
      <alignment vertical="top"/>
    </xf>
    <xf numFmtId="0" fontId="4466" fillId="0" borderId="4466" xfId="0" applyFont="1" applyBorder="1" applyAlignment="1">
      <alignment vertical="top"/>
    </xf>
    <xf numFmtId="0" fontId="4467" fillId="0" borderId="4467" xfId="0" applyFont="1" applyBorder="1" applyAlignment="1">
      <alignment vertical="top"/>
    </xf>
    <xf numFmtId="49" fontId="4468" fillId="0" borderId="4468" xfId="0" applyNumberFormat="1" applyFont="1" applyBorder="1" applyAlignment="1">
      <alignment vertical="top"/>
    </xf>
    <xf numFmtId="0" fontId="4469" fillId="0" borderId="4469" xfId="0" applyFont="1" applyBorder="1" applyAlignment="1">
      <alignment vertical="top"/>
    </xf>
    <xf numFmtId="0" fontId="4470" fillId="0" borderId="4470" xfId="0" applyFont="1" applyBorder="1" applyAlignment="1">
      <alignment vertical="top"/>
    </xf>
    <xf numFmtId="49" fontId="4471" fillId="0" borderId="4471" xfId="0" applyNumberFormat="1" applyFont="1" applyBorder="1" applyAlignment="1">
      <alignment vertical="top"/>
    </xf>
    <xf numFmtId="0" fontId="4472" fillId="0" borderId="4472" xfId="0" applyFont="1" applyBorder="1" applyAlignment="1">
      <alignment vertical="top"/>
    </xf>
    <xf numFmtId="0" fontId="4473" fillId="0" borderId="4473" xfId="0" applyFont="1" applyBorder="1" applyAlignment="1">
      <alignment vertical="top"/>
    </xf>
    <xf numFmtId="49" fontId="4474" fillId="0" borderId="4474" xfId="0" applyNumberFormat="1" applyFont="1" applyBorder="1" applyAlignment="1">
      <alignment vertical="top"/>
    </xf>
    <xf numFmtId="0" fontId="4475" fillId="0" borderId="4475" xfId="0" applyFont="1" applyBorder="1" applyAlignment="1">
      <alignment vertical="top"/>
    </xf>
    <xf numFmtId="0" fontId="4476" fillId="0" borderId="4476" xfId="0" applyFont="1" applyBorder="1" applyAlignment="1">
      <alignment vertical="top"/>
    </xf>
    <xf numFmtId="49" fontId="4477" fillId="0" borderId="4477" xfId="0" applyNumberFormat="1" applyFont="1" applyBorder="1" applyAlignment="1">
      <alignment vertical="top"/>
    </xf>
    <xf numFmtId="0" fontId="4478" fillId="0" borderId="4478" xfId="0" applyFont="1" applyBorder="1" applyAlignment="1">
      <alignment vertical="top"/>
    </xf>
    <xf numFmtId="0" fontId="4479" fillId="0" borderId="4479" xfId="0" applyFont="1" applyBorder="1" applyAlignment="1">
      <alignment vertical="top"/>
    </xf>
    <xf numFmtId="49" fontId="4480" fillId="0" borderId="4480" xfId="0" applyNumberFormat="1" applyFont="1" applyBorder="1" applyAlignment="1">
      <alignment vertical="top"/>
    </xf>
    <xf numFmtId="0" fontId="4481" fillId="0" borderId="4481" xfId="0" applyFont="1" applyBorder="1" applyAlignment="1">
      <alignment vertical="top"/>
    </xf>
    <xf numFmtId="0" fontId="4482" fillId="0" borderId="4482" xfId="0" applyFont="1" applyBorder="1" applyAlignment="1">
      <alignment vertical="top"/>
    </xf>
    <xf numFmtId="49" fontId="4483" fillId="0" borderId="4483" xfId="0" applyNumberFormat="1" applyFont="1" applyBorder="1" applyAlignment="1">
      <alignment vertical="top"/>
    </xf>
    <xf numFmtId="0" fontId="4484" fillId="0" borderId="4484" xfId="0" applyFont="1" applyBorder="1" applyAlignment="1">
      <alignment vertical="top"/>
    </xf>
    <xf numFmtId="0" fontId="4485" fillId="0" borderId="4485" xfId="0" applyFont="1" applyBorder="1" applyAlignment="1">
      <alignment vertical="top"/>
    </xf>
    <xf numFmtId="49" fontId="4486" fillId="0" borderId="4486" xfId="0" applyNumberFormat="1" applyFont="1" applyBorder="1" applyAlignment="1">
      <alignment vertical="top"/>
    </xf>
    <xf numFmtId="0" fontId="4487" fillId="0" borderId="4487" xfId="0" applyFont="1" applyBorder="1" applyAlignment="1">
      <alignment vertical="top"/>
    </xf>
    <xf numFmtId="0" fontId="4488" fillId="0" borderId="4488" xfId="0" applyFont="1" applyBorder="1" applyAlignment="1">
      <alignment vertical="top"/>
    </xf>
    <xf numFmtId="49" fontId="4489" fillId="0" borderId="4489" xfId="0" applyNumberFormat="1" applyFont="1" applyBorder="1" applyAlignment="1">
      <alignment vertical="top"/>
    </xf>
    <xf numFmtId="0" fontId="4490" fillId="0" borderId="4490" xfId="0" applyFont="1" applyBorder="1" applyAlignment="1">
      <alignment vertical="top"/>
    </xf>
    <xf numFmtId="0" fontId="4491" fillId="0" borderId="4491" xfId="0" applyFont="1" applyBorder="1" applyAlignment="1">
      <alignment vertical="top"/>
    </xf>
    <xf numFmtId="49" fontId="4492" fillId="0" borderId="4492" xfId="0" applyNumberFormat="1" applyFont="1" applyBorder="1" applyAlignment="1">
      <alignment vertical="top"/>
    </xf>
    <xf numFmtId="0" fontId="4493" fillId="0" borderId="4493" xfId="0" applyFont="1" applyBorder="1" applyAlignment="1">
      <alignment vertical="top"/>
    </xf>
    <xf numFmtId="0" fontId="4494" fillId="0" borderId="4494" xfId="0" applyFont="1" applyBorder="1" applyAlignment="1">
      <alignment vertical="top"/>
    </xf>
    <xf numFmtId="49" fontId="4495" fillId="0" borderId="4495" xfId="0" applyNumberFormat="1" applyFont="1" applyBorder="1" applyAlignment="1">
      <alignment vertical="top"/>
    </xf>
    <xf numFmtId="0" fontId="4496" fillId="0" borderId="4496" xfId="0" applyFont="1" applyBorder="1" applyAlignment="1">
      <alignment vertical="top"/>
    </xf>
    <xf numFmtId="0" fontId="4497" fillId="0" borderId="4497" xfId="0" applyFont="1" applyBorder="1" applyAlignment="1">
      <alignment vertical="top"/>
    </xf>
    <xf numFmtId="49" fontId="4498" fillId="0" borderId="4498" xfId="0" applyNumberFormat="1" applyFont="1" applyBorder="1" applyAlignment="1">
      <alignment vertical="top"/>
    </xf>
    <xf numFmtId="0" fontId="4499" fillId="0" borderId="4499" xfId="0" applyFont="1" applyBorder="1" applyAlignment="1">
      <alignment vertical="top"/>
    </xf>
    <xf numFmtId="0" fontId="4500" fillId="0" borderId="4500" xfId="0" applyFont="1" applyBorder="1" applyAlignment="1">
      <alignment vertical="top"/>
    </xf>
    <xf numFmtId="49" fontId="4501" fillId="0" borderId="4501" xfId="0" applyNumberFormat="1" applyFont="1" applyBorder="1" applyAlignment="1">
      <alignment vertical="top"/>
    </xf>
    <xf numFmtId="0" fontId="4502" fillId="0" borderId="4502" xfId="0" applyFont="1" applyBorder="1" applyAlignment="1">
      <alignment vertical="top"/>
    </xf>
    <xf numFmtId="0" fontId="4503" fillId="0" borderId="4503" xfId="0" applyFont="1" applyBorder="1" applyAlignment="1">
      <alignment vertical="top"/>
    </xf>
    <xf numFmtId="49" fontId="4504" fillId="0" borderId="4504" xfId="0" applyNumberFormat="1" applyFont="1" applyBorder="1" applyAlignment="1">
      <alignment vertical="top"/>
    </xf>
    <xf numFmtId="0" fontId="4505" fillId="0" borderId="4505" xfId="0" applyFont="1" applyBorder="1" applyAlignment="1">
      <alignment vertical="top"/>
    </xf>
    <xf numFmtId="0" fontId="4506" fillId="0" borderId="4506" xfId="0" applyFont="1" applyBorder="1" applyAlignment="1">
      <alignment vertical="top"/>
    </xf>
    <xf numFmtId="49" fontId="4507" fillId="0" borderId="4507" xfId="0" applyNumberFormat="1" applyFont="1" applyBorder="1" applyAlignment="1">
      <alignment vertical="top"/>
    </xf>
    <xf numFmtId="0" fontId="4508" fillId="0" borderId="4508" xfId="0" applyFont="1" applyBorder="1" applyAlignment="1">
      <alignment vertical="top"/>
    </xf>
    <xf numFmtId="0" fontId="4509" fillId="0" borderId="4509" xfId="0" applyFont="1" applyBorder="1" applyAlignment="1">
      <alignment vertical="top"/>
    </xf>
    <xf numFmtId="49" fontId="4510" fillId="0" borderId="4510" xfId="0" applyNumberFormat="1" applyFont="1" applyBorder="1" applyAlignment="1">
      <alignment vertical="top"/>
    </xf>
    <xf numFmtId="0" fontId="4511" fillId="0" borderId="4511" xfId="0" applyFont="1" applyBorder="1" applyAlignment="1">
      <alignment vertical="top"/>
    </xf>
    <xf numFmtId="0" fontId="4512" fillId="0" borderId="4512" xfId="0" applyFont="1" applyBorder="1" applyAlignment="1">
      <alignment vertical="top"/>
    </xf>
    <xf numFmtId="49" fontId="4513" fillId="0" borderId="4513" xfId="0" applyNumberFormat="1" applyFont="1" applyBorder="1" applyAlignment="1">
      <alignment vertical="top"/>
    </xf>
    <xf numFmtId="0" fontId="4514" fillId="0" borderId="4514" xfId="0" applyFont="1" applyBorder="1" applyAlignment="1">
      <alignment vertical="top"/>
    </xf>
    <xf numFmtId="0" fontId="4515" fillId="0" borderId="4515" xfId="0" applyFont="1" applyBorder="1" applyAlignment="1">
      <alignment vertical="top"/>
    </xf>
    <xf numFmtId="49" fontId="4516" fillId="0" borderId="4516" xfId="0" applyNumberFormat="1" applyFont="1" applyBorder="1" applyAlignment="1">
      <alignment vertical="top"/>
    </xf>
    <xf numFmtId="0" fontId="4517" fillId="0" borderId="4517" xfId="0" applyFont="1" applyBorder="1" applyAlignment="1">
      <alignment vertical="top"/>
    </xf>
    <xf numFmtId="0" fontId="4518" fillId="0" borderId="4518" xfId="0" applyFont="1" applyBorder="1" applyAlignment="1">
      <alignment vertical="top"/>
    </xf>
    <xf numFmtId="49" fontId="4519" fillId="0" borderId="4519" xfId="0" applyNumberFormat="1" applyFont="1" applyBorder="1" applyAlignment="1">
      <alignment vertical="top"/>
    </xf>
    <xf numFmtId="0" fontId="4520" fillId="0" borderId="4520" xfId="0" applyFont="1" applyBorder="1" applyAlignment="1">
      <alignment vertical="top"/>
    </xf>
    <xf numFmtId="0" fontId="4521" fillId="0" borderId="4521" xfId="0" applyFont="1" applyBorder="1" applyAlignment="1">
      <alignment vertical="top"/>
    </xf>
    <xf numFmtId="49" fontId="4522" fillId="0" borderId="4522" xfId="0" applyNumberFormat="1" applyFont="1" applyBorder="1" applyAlignment="1">
      <alignment vertical="top"/>
    </xf>
    <xf numFmtId="0" fontId="4523" fillId="0" borderId="4523" xfId="0" applyFont="1" applyBorder="1" applyAlignment="1">
      <alignment vertical="top"/>
    </xf>
    <xf numFmtId="0" fontId="4524" fillId="0" borderId="4524" xfId="0" applyFont="1" applyBorder="1" applyAlignment="1">
      <alignment vertical="top"/>
    </xf>
    <xf numFmtId="49" fontId="4525" fillId="0" borderId="4525" xfId="0" applyNumberFormat="1" applyFont="1" applyBorder="1" applyAlignment="1">
      <alignment vertical="top"/>
    </xf>
    <xf numFmtId="0" fontId="4526" fillId="0" borderId="4526" xfId="0" applyFont="1" applyBorder="1" applyAlignment="1">
      <alignment vertical="top"/>
    </xf>
    <xf numFmtId="0" fontId="4527" fillId="0" borderId="4527" xfId="0" applyFont="1" applyBorder="1" applyAlignment="1">
      <alignment vertical="top"/>
    </xf>
    <xf numFmtId="49" fontId="4528" fillId="0" borderId="4528" xfId="0" applyNumberFormat="1" applyFont="1" applyBorder="1" applyAlignment="1">
      <alignment vertical="top"/>
    </xf>
    <xf numFmtId="0" fontId="4529" fillId="0" borderId="4529" xfId="0" applyFont="1" applyBorder="1" applyAlignment="1">
      <alignment vertical="top"/>
    </xf>
    <xf numFmtId="0" fontId="4530" fillId="0" borderId="4530" xfId="0" applyFont="1" applyBorder="1" applyAlignment="1">
      <alignment vertical="top"/>
    </xf>
    <xf numFmtId="49" fontId="4531" fillId="0" borderId="4531" xfId="0" applyNumberFormat="1" applyFont="1" applyBorder="1" applyAlignment="1">
      <alignment vertical="top"/>
    </xf>
    <xf numFmtId="0" fontId="4532" fillId="0" borderId="4532" xfId="0" applyFont="1" applyBorder="1" applyAlignment="1">
      <alignment vertical="top"/>
    </xf>
    <xf numFmtId="0" fontId="4533" fillId="0" borderId="4533" xfId="0" applyFont="1" applyBorder="1" applyAlignment="1">
      <alignment vertical="top"/>
    </xf>
    <xf numFmtId="49" fontId="4534" fillId="0" borderId="4534" xfId="0" applyNumberFormat="1" applyFont="1" applyBorder="1" applyAlignment="1">
      <alignment vertical="top"/>
    </xf>
    <xf numFmtId="0" fontId="4535" fillId="0" borderId="4535" xfId="0" applyFont="1" applyBorder="1" applyAlignment="1">
      <alignment vertical="top"/>
    </xf>
    <xf numFmtId="0" fontId="4536" fillId="0" borderId="4536" xfId="0" applyFont="1" applyBorder="1" applyAlignment="1">
      <alignment vertical="top"/>
    </xf>
    <xf numFmtId="49" fontId="4537" fillId="0" borderId="4537" xfId="0" applyNumberFormat="1" applyFont="1" applyBorder="1" applyAlignment="1">
      <alignment vertical="top"/>
    </xf>
    <xf numFmtId="0" fontId="4538" fillId="0" borderId="4538" xfId="0" applyFont="1" applyBorder="1" applyAlignment="1">
      <alignment vertical="top"/>
    </xf>
    <xf numFmtId="0" fontId="4539" fillId="0" borderId="4539" xfId="0" applyFont="1" applyBorder="1" applyAlignment="1">
      <alignment vertical="top"/>
    </xf>
    <xf numFmtId="49" fontId="4540" fillId="0" borderId="4540" xfId="0" applyNumberFormat="1" applyFont="1" applyBorder="1" applyAlignment="1">
      <alignment vertical="top"/>
    </xf>
    <xf numFmtId="0" fontId="4541" fillId="0" borderId="4541" xfId="0" applyFont="1" applyBorder="1" applyAlignment="1">
      <alignment vertical="top"/>
    </xf>
    <xf numFmtId="0" fontId="4542" fillId="0" borderId="4542" xfId="0" applyFont="1" applyBorder="1" applyAlignment="1">
      <alignment vertical="top"/>
    </xf>
    <xf numFmtId="49" fontId="4543" fillId="0" borderId="4543" xfId="0" applyNumberFormat="1" applyFont="1" applyBorder="1" applyAlignment="1">
      <alignment vertical="top"/>
    </xf>
    <xf numFmtId="0" fontId="4544" fillId="0" borderId="4544" xfId="0" applyFont="1" applyBorder="1" applyAlignment="1">
      <alignment vertical="top"/>
    </xf>
    <xf numFmtId="0" fontId="4545" fillId="0" borderId="4545" xfId="0" applyFont="1" applyBorder="1" applyAlignment="1">
      <alignment vertical="top"/>
    </xf>
    <xf numFmtId="49" fontId="4546" fillId="0" borderId="4546" xfId="0" applyNumberFormat="1" applyFont="1" applyBorder="1" applyAlignment="1">
      <alignment vertical="top"/>
    </xf>
    <xf numFmtId="0" fontId="4547" fillId="0" borderId="4547" xfId="0" applyFont="1" applyBorder="1" applyAlignment="1">
      <alignment vertical="top"/>
    </xf>
    <xf numFmtId="0" fontId="4548" fillId="0" borderId="4548" xfId="0" applyFont="1" applyBorder="1" applyAlignment="1">
      <alignment vertical="top"/>
    </xf>
    <xf numFmtId="49" fontId="4549" fillId="0" borderId="4549" xfId="0" applyNumberFormat="1" applyFont="1" applyBorder="1" applyAlignment="1">
      <alignment vertical="top"/>
    </xf>
    <xf numFmtId="0" fontId="4550" fillId="0" borderId="4550" xfId="0" applyFont="1" applyBorder="1" applyAlignment="1">
      <alignment vertical="top"/>
    </xf>
    <xf numFmtId="0" fontId="4551" fillId="0" borderId="4551" xfId="0" applyFont="1" applyBorder="1" applyAlignment="1">
      <alignment vertical="top"/>
    </xf>
    <xf numFmtId="49" fontId="4552" fillId="0" borderId="4552" xfId="0" applyNumberFormat="1" applyFont="1" applyBorder="1" applyAlignment="1">
      <alignment vertical="top"/>
    </xf>
    <xf numFmtId="0" fontId="4553" fillId="0" borderId="4553" xfId="0" applyFont="1" applyBorder="1" applyAlignment="1">
      <alignment vertical="top"/>
    </xf>
    <xf numFmtId="0" fontId="4554" fillId="0" borderId="4554" xfId="0" applyFont="1" applyBorder="1" applyAlignment="1">
      <alignment vertical="top"/>
    </xf>
    <xf numFmtId="49" fontId="4555" fillId="0" borderId="4555" xfId="0" applyNumberFormat="1" applyFont="1" applyBorder="1" applyAlignment="1">
      <alignment vertical="top"/>
    </xf>
    <xf numFmtId="0" fontId="4556" fillId="0" borderId="4556" xfId="0" applyFont="1" applyBorder="1" applyAlignment="1">
      <alignment vertical="top"/>
    </xf>
    <xf numFmtId="0" fontId="4557" fillId="0" borderId="4557" xfId="0" applyFont="1" applyBorder="1" applyAlignment="1">
      <alignment vertical="top"/>
    </xf>
    <xf numFmtId="49" fontId="4558" fillId="0" borderId="4558" xfId="0" applyNumberFormat="1" applyFont="1" applyBorder="1" applyAlignment="1">
      <alignment vertical="top"/>
    </xf>
    <xf numFmtId="0" fontId="4559" fillId="0" borderId="4559" xfId="0" applyFont="1" applyBorder="1" applyAlignment="1">
      <alignment vertical="top"/>
    </xf>
    <xf numFmtId="0" fontId="4560" fillId="0" borderId="4560" xfId="0" applyFont="1" applyBorder="1" applyAlignment="1">
      <alignment vertical="top"/>
    </xf>
    <xf numFmtId="49" fontId="4561" fillId="0" borderId="4561" xfId="0" applyNumberFormat="1" applyFont="1" applyBorder="1" applyAlignment="1">
      <alignment vertical="top"/>
    </xf>
    <xf numFmtId="0" fontId="4562" fillId="0" borderId="4562" xfId="0" applyFont="1" applyBorder="1" applyAlignment="1">
      <alignment vertical="top"/>
    </xf>
    <xf numFmtId="0" fontId="4563" fillId="0" borderId="4563" xfId="0" applyFont="1" applyBorder="1" applyAlignment="1">
      <alignment vertical="top"/>
    </xf>
    <xf numFmtId="49" fontId="4564" fillId="0" borderId="4564" xfId="0" applyNumberFormat="1" applyFont="1" applyBorder="1" applyAlignment="1">
      <alignment vertical="top"/>
    </xf>
    <xf numFmtId="0" fontId="4565" fillId="0" borderId="4565" xfId="0" applyFont="1" applyBorder="1" applyAlignment="1">
      <alignment vertical="top"/>
    </xf>
    <xf numFmtId="0" fontId="4566" fillId="0" borderId="4566" xfId="0" applyFont="1" applyBorder="1" applyAlignment="1">
      <alignment vertical="top"/>
    </xf>
    <xf numFmtId="49" fontId="4567" fillId="0" borderId="4567" xfId="0" applyNumberFormat="1" applyFont="1" applyBorder="1" applyAlignment="1">
      <alignment vertical="top"/>
    </xf>
    <xf numFmtId="0" fontId="4568" fillId="0" borderId="4568" xfId="0" applyFont="1" applyBorder="1" applyAlignment="1">
      <alignment vertical="top"/>
    </xf>
    <xf numFmtId="0" fontId="4569" fillId="0" borderId="4569" xfId="0" applyFont="1" applyBorder="1" applyAlignment="1">
      <alignment vertical="top"/>
    </xf>
    <xf numFmtId="49" fontId="4570" fillId="0" borderId="4570" xfId="0" applyNumberFormat="1" applyFont="1" applyBorder="1" applyAlignment="1">
      <alignment vertical="top"/>
    </xf>
    <xf numFmtId="0" fontId="4571" fillId="0" borderId="4571" xfId="0" applyFont="1" applyBorder="1" applyAlignment="1">
      <alignment vertical="top"/>
    </xf>
    <xf numFmtId="0" fontId="4572" fillId="0" borderId="4572" xfId="0" applyFont="1" applyBorder="1" applyAlignment="1">
      <alignment vertical="top"/>
    </xf>
    <xf numFmtId="49" fontId="4573" fillId="0" borderId="4573" xfId="0" applyNumberFormat="1" applyFont="1" applyBorder="1" applyAlignment="1">
      <alignment vertical="top"/>
    </xf>
    <xf numFmtId="0" fontId="4574" fillId="0" borderId="4574" xfId="0" applyFont="1" applyBorder="1" applyAlignment="1">
      <alignment vertical="top"/>
    </xf>
    <xf numFmtId="0" fontId="4575" fillId="0" borderId="4575" xfId="0" applyFont="1" applyBorder="1" applyAlignment="1">
      <alignment vertical="top"/>
    </xf>
    <xf numFmtId="49" fontId="4576" fillId="0" borderId="4576" xfId="0" applyNumberFormat="1" applyFont="1" applyBorder="1" applyAlignment="1">
      <alignment vertical="top"/>
    </xf>
    <xf numFmtId="0" fontId="4577" fillId="0" borderId="4577" xfId="0" applyFont="1" applyBorder="1" applyAlignment="1">
      <alignment vertical="top"/>
    </xf>
    <xf numFmtId="0" fontId="4578" fillId="0" borderId="4578" xfId="0" applyFont="1" applyBorder="1" applyAlignment="1">
      <alignment vertical="top"/>
    </xf>
    <xf numFmtId="49" fontId="4579" fillId="0" borderId="4579" xfId="0" applyNumberFormat="1" applyFont="1" applyBorder="1" applyAlignment="1">
      <alignment vertical="top"/>
    </xf>
    <xf numFmtId="0" fontId="4580" fillId="0" borderId="4580" xfId="0" applyFont="1" applyBorder="1" applyAlignment="1">
      <alignment vertical="top"/>
    </xf>
    <xf numFmtId="0" fontId="4581" fillId="0" borderId="4581" xfId="0" applyFont="1" applyBorder="1" applyAlignment="1">
      <alignment vertical="top"/>
    </xf>
    <xf numFmtId="49" fontId="4582" fillId="0" borderId="4582" xfId="0" applyNumberFormat="1" applyFont="1" applyBorder="1" applyAlignment="1">
      <alignment vertical="top"/>
    </xf>
    <xf numFmtId="0" fontId="4583" fillId="0" borderId="4583" xfId="0" applyFont="1" applyBorder="1" applyAlignment="1">
      <alignment vertical="top"/>
    </xf>
    <xf numFmtId="0" fontId="4584" fillId="0" borderId="4584" xfId="0" applyFont="1" applyBorder="1" applyAlignment="1">
      <alignment vertical="top"/>
    </xf>
    <xf numFmtId="49" fontId="4585" fillId="0" borderId="4585" xfId="0" applyNumberFormat="1" applyFont="1" applyBorder="1" applyAlignment="1">
      <alignment vertical="top"/>
    </xf>
    <xf numFmtId="0" fontId="4586" fillId="0" borderId="4586" xfId="0" applyFont="1" applyBorder="1" applyAlignment="1">
      <alignment vertical="top"/>
    </xf>
    <xf numFmtId="0" fontId="4587" fillId="0" borderId="4587" xfId="0" applyFont="1" applyBorder="1" applyAlignment="1">
      <alignment vertical="top"/>
    </xf>
    <xf numFmtId="49" fontId="4588" fillId="0" borderId="4588" xfId="0" applyNumberFormat="1" applyFont="1" applyBorder="1" applyAlignment="1">
      <alignment vertical="top"/>
    </xf>
    <xf numFmtId="0" fontId="4589" fillId="0" borderId="4589" xfId="0" applyFont="1" applyBorder="1" applyAlignment="1">
      <alignment vertical="top"/>
    </xf>
    <xf numFmtId="0" fontId="4590" fillId="0" borderId="4590" xfId="0" applyFont="1" applyBorder="1" applyAlignment="1">
      <alignment vertical="top"/>
    </xf>
    <xf numFmtId="49" fontId="4591" fillId="0" borderId="4591" xfId="0" applyNumberFormat="1" applyFont="1" applyBorder="1" applyAlignment="1">
      <alignment vertical="top"/>
    </xf>
    <xf numFmtId="0" fontId="4592" fillId="0" borderId="4592" xfId="0" applyFont="1" applyBorder="1" applyAlignment="1">
      <alignment vertical="top"/>
    </xf>
    <xf numFmtId="0" fontId="4593" fillId="0" borderId="4593" xfId="0" applyFont="1" applyBorder="1" applyAlignment="1">
      <alignment vertical="top"/>
    </xf>
    <xf numFmtId="49" fontId="4594" fillId="0" borderId="4594" xfId="0" applyNumberFormat="1" applyFont="1" applyBorder="1" applyAlignment="1">
      <alignment vertical="top"/>
    </xf>
    <xf numFmtId="0" fontId="4595" fillId="0" borderId="4595" xfId="0" applyFont="1" applyBorder="1" applyAlignment="1">
      <alignment vertical="top"/>
    </xf>
    <xf numFmtId="0" fontId="4596" fillId="0" borderId="4596" xfId="0" applyFont="1" applyBorder="1" applyAlignment="1">
      <alignment vertical="top"/>
    </xf>
    <xf numFmtId="49" fontId="4597" fillId="0" borderId="4597" xfId="0" applyNumberFormat="1" applyFont="1" applyBorder="1" applyAlignment="1">
      <alignment vertical="top"/>
    </xf>
    <xf numFmtId="0" fontId="4598" fillId="0" borderId="4598" xfId="0" applyFont="1" applyBorder="1" applyAlignment="1">
      <alignment vertical="top"/>
    </xf>
    <xf numFmtId="0" fontId="4599" fillId="0" borderId="4599" xfId="0" applyFont="1" applyBorder="1" applyAlignment="1">
      <alignment vertical="top"/>
    </xf>
    <xf numFmtId="49" fontId="4600" fillId="0" borderId="4600" xfId="0" applyNumberFormat="1" applyFont="1" applyBorder="1" applyAlignment="1">
      <alignment vertical="top"/>
    </xf>
    <xf numFmtId="0" fontId="4601" fillId="0" borderId="4601" xfId="0" applyFont="1" applyBorder="1" applyAlignment="1">
      <alignment vertical="top"/>
    </xf>
    <xf numFmtId="0" fontId="4602" fillId="0" borderId="4602" xfId="0" applyFont="1" applyBorder="1" applyAlignment="1">
      <alignment vertical="top"/>
    </xf>
    <xf numFmtId="49" fontId="4603" fillId="0" borderId="4603" xfId="0" applyNumberFormat="1" applyFont="1" applyBorder="1" applyAlignment="1">
      <alignment vertical="top"/>
    </xf>
    <xf numFmtId="0" fontId="4604" fillId="0" borderId="4604" xfId="0" applyFont="1" applyBorder="1" applyAlignment="1">
      <alignment vertical="top"/>
    </xf>
    <xf numFmtId="0" fontId="4605" fillId="0" borderId="4605" xfId="0" applyFont="1" applyBorder="1" applyAlignment="1">
      <alignment vertical="top"/>
    </xf>
    <xf numFmtId="49" fontId="4606" fillId="0" borderId="4606" xfId="0" applyNumberFormat="1" applyFont="1" applyBorder="1" applyAlignment="1">
      <alignment vertical="top"/>
    </xf>
    <xf numFmtId="0" fontId="4607" fillId="0" borderId="4607" xfId="0" applyFont="1" applyBorder="1" applyAlignment="1">
      <alignment vertical="top"/>
    </xf>
    <xf numFmtId="0" fontId="4608" fillId="0" borderId="4608" xfId="0" applyFont="1" applyBorder="1" applyAlignment="1">
      <alignment vertical="top"/>
    </xf>
    <xf numFmtId="49" fontId="4609" fillId="0" borderId="4609" xfId="0" applyNumberFormat="1" applyFont="1" applyBorder="1" applyAlignment="1">
      <alignment vertical="top"/>
    </xf>
    <xf numFmtId="0" fontId="4610" fillId="0" borderId="4610" xfId="0" applyFont="1" applyBorder="1" applyAlignment="1">
      <alignment vertical="top"/>
    </xf>
    <xf numFmtId="0" fontId="4611" fillId="0" borderId="4611" xfId="0" applyFont="1" applyBorder="1" applyAlignment="1">
      <alignment vertical="top"/>
    </xf>
    <xf numFmtId="49" fontId="4612" fillId="0" borderId="4612" xfId="0" applyNumberFormat="1" applyFont="1" applyBorder="1" applyAlignment="1">
      <alignment vertical="top"/>
    </xf>
    <xf numFmtId="0" fontId="4613" fillId="0" borderId="4613" xfId="0" applyFont="1" applyBorder="1" applyAlignment="1">
      <alignment vertical="top"/>
    </xf>
    <xf numFmtId="0" fontId="4614" fillId="0" borderId="4614" xfId="0" applyFont="1" applyBorder="1" applyAlignment="1">
      <alignment vertical="top"/>
    </xf>
    <xf numFmtId="49" fontId="4615" fillId="0" borderId="4615" xfId="0" applyNumberFormat="1" applyFont="1" applyBorder="1" applyAlignment="1">
      <alignment vertical="top"/>
    </xf>
    <xf numFmtId="0" fontId="4616" fillId="0" borderId="4616" xfId="0" applyFont="1" applyBorder="1" applyAlignment="1">
      <alignment vertical="top"/>
    </xf>
    <xf numFmtId="0" fontId="4617" fillId="0" borderId="4617" xfId="0" applyFont="1" applyBorder="1" applyAlignment="1">
      <alignment vertical="top"/>
    </xf>
    <xf numFmtId="49" fontId="4618" fillId="0" borderId="4618" xfId="0" applyNumberFormat="1" applyFont="1" applyBorder="1" applyAlignment="1">
      <alignment vertical="top"/>
    </xf>
    <xf numFmtId="0" fontId="4619" fillId="0" borderId="4619" xfId="0" applyFont="1" applyBorder="1" applyAlignment="1">
      <alignment vertical="top"/>
    </xf>
    <xf numFmtId="0" fontId="4620" fillId="0" borderId="4620" xfId="0" applyFont="1" applyBorder="1" applyAlignment="1">
      <alignment vertical="top"/>
    </xf>
    <xf numFmtId="49" fontId="4621" fillId="0" borderId="4621" xfId="0" applyNumberFormat="1" applyFont="1" applyBorder="1" applyAlignment="1">
      <alignment vertical="top"/>
    </xf>
    <xf numFmtId="0" fontId="4622" fillId="0" borderId="4622" xfId="0" applyFont="1" applyBorder="1" applyAlignment="1">
      <alignment vertical="top"/>
    </xf>
    <xf numFmtId="0" fontId="4623" fillId="0" borderId="4623" xfId="0" applyFont="1" applyBorder="1" applyAlignment="1">
      <alignment vertical="top"/>
    </xf>
    <xf numFmtId="49" fontId="4624" fillId="0" borderId="4624" xfId="0" applyNumberFormat="1" applyFont="1" applyBorder="1" applyAlignment="1">
      <alignment vertical="top"/>
    </xf>
    <xf numFmtId="0" fontId="4625" fillId="0" borderId="4625" xfId="0" applyFont="1" applyBorder="1" applyAlignment="1">
      <alignment vertical="top"/>
    </xf>
    <xf numFmtId="0" fontId="4626" fillId="0" borderId="4626" xfId="0" applyFont="1" applyBorder="1" applyAlignment="1">
      <alignment vertical="top"/>
    </xf>
    <xf numFmtId="49" fontId="4627" fillId="0" borderId="4627" xfId="0" applyNumberFormat="1" applyFont="1" applyBorder="1" applyAlignment="1">
      <alignment vertical="top"/>
    </xf>
    <xf numFmtId="0" fontId="4628" fillId="0" borderId="4628" xfId="0" applyFont="1" applyBorder="1" applyAlignment="1">
      <alignment vertical="top"/>
    </xf>
    <xf numFmtId="0" fontId="4629" fillId="0" borderId="4629" xfId="0" applyFont="1" applyBorder="1" applyAlignment="1">
      <alignment vertical="top"/>
    </xf>
    <xf numFmtId="49" fontId="4630" fillId="0" borderId="4630" xfId="0" applyNumberFormat="1" applyFont="1" applyBorder="1" applyAlignment="1">
      <alignment vertical="top"/>
    </xf>
    <xf numFmtId="0" fontId="4631" fillId="0" borderId="4631" xfId="0" applyFont="1" applyBorder="1" applyAlignment="1">
      <alignment vertical="top"/>
    </xf>
    <xf numFmtId="0" fontId="4632" fillId="0" borderId="4632" xfId="0" applyFont="1" applyBorder="1" applyAlignment="1">
      <alignment vertical="top"/>
    </xf>
    <xf numFmtId="49" fontId="4633" fillId="0" borderId="4633" xfId="0" applyNumberFormat="1" applyFont="1" applyBorder="1" applyAlignment="1">
      <alignment vertical="top"/>
    </xf>
    <xf numFmtId="0" fontId="4634" fillId="0" borderId="4634" xfId="0" applyFont="1" applyBorder="1" applyAlignment="1">
      <alignment vertical="top"/>
    </xf>
    <xf numFmtId="0" fontId="4635" fillId="0" borderId="4635" xfId="0" applyFont="1" applyBorder="1" applyAlignment="1">
      <alignment vertical="top"/>
    </xf>
    <xf numFmtId="49" fontId="4636" fillId="0" borderId="4636" xfId="0" applyNumberFormat="1" applyFont="1" applyBorder="1" applyAlignment="1">
      <alignment vertical="top"/>
    </xf>
    <xf numFmtId="0" fontId="4637" fillId="0" borderId="4637" xfId="0" applyFont="1" applyBorder="1" applyAlignment="1">
      <alignment vertical="top"/>
    </xf>
    <xf numFmtId="0" fontId="4638" fillId="0" borderId="4638" xfId="0" applyFont="1" applyBorder="1" applyAlignment="1">
      <alignment vertical="top"/>
    </xf>
    <xf numFmtId="49" fontId="4639" fillId="0" borderId="4639" xfId="0" applyNumberFormat="1" applyFont="1" applyBorder="1" applyAlignment="1">
      <alignment vertical="top"/>
    </xf>
    <xf numFmtId="0" fontId="4640" fillId="0" borderId="4640" xfId="0" applyFont="1" applyBorder="1" applyAlignment="1">
      <alignment vertical="top"/>
    </xf>
    <xf numFmtId="0" fontId="4641" fillId="0" borderId="4641" xfId="0" applyFont="1" applyBorder="1" applyAlignment="1">
      <alignment vertical="top"/>
    </xf>
    <xf numFmtId="49" fontId="4642" fillId="0" borderId="4642" xfId="0" applyNumberFormat="1" applyFont="1" applyBorder="1" applyAlignment="1">
      <alignment vertical="top"/>
    </xf>
    <xf numFmtId="0" fontId="4643" fillId="0" borderId="4643" xfId="0" applyFont="1" applyBorder="1" applyAlignment="1">
      <alignment vertical="top"/>
    </xf>
    <xf numFmtId="0" fontId="4644" fillId="0" borderId="4644" xfId="0" applyFont="1" applyBorder="1" applyAlignment="1">
      <alignment vertical="top"/>
    </xf>
    <xf numFmtId="49" fontId="4645" fillId="0" borderId="4645" xfId="0" applyNumberFormat="1" applyFont="1" applyBorder="1" applyAlignment="1">
      <alignment vertical="top"/>
    </xf>
    <xf numFmtId="0" fontId="4646" fillId="0" borderId="4646" xfId="0" applyFont="1" applyBorder="1" applyAlignment="1">
      <alignment vertical="top"/>
    </xf>
    <xf numFmtId="0" fontId="4647" fillId="0" borderId="4647" xfId="0" applyFont="1" applyBorder="1" applyAlignment="1">
      <alignment vertical="top"/>
    </xf>
    <xf numFmtId="49" fontId="4648" fillId="0" borderId="4648" xfId="0" applyNumberFormat="1" applyFont="1" applyBorder="1" applyAlignment="1">
      <alignment vertical="top"/>
    </xf>
    <xf numFmtId="0" fontId="4649" fillId="0" borderId="4649" xfId="0" applyFont="1" applyBorder="1" applyAlignment="1">
      <alignment vertical="top"/>
    </xf>
    <xf numFmtId="0" fontId="4650" fillId="0" borderId="4650" xfId="0" applyFont="1" applyBorder="1" applyAlignment="1">
      <alignment vertical="top"/>
    </xf>
    <xf numFmtId="49" fontId="4651" fillId="0" borderId="4651" xfId="0" applyNumberFormat="1" applyFont="1" applyBorder="1" applyAlignment="1">
      <alignment vertical="top"/>
    </xf>
    <xf numFmtId="0" fontId="4652" fillId="0" borderId="4652" xfId="0" applyFont="1" applyBorder="1" applyAlignment="1">
      <alignment vertical="top"/>
    </xf>
    <xf numFmtId="0" fontId="4653" fillId="0" borderId="4653" xfId="0" applyFont="1" applyBorder="1" applyAlignment="1">
      <alignment vertical="top"/>
    </xf>
    <xf numFmtId="49" fontId="4654" fillId="0" borderId="4654" xfId="0" applyNumberFormat="1" applyFont="1" applyBorder="1" applyAlignment="1">
      <alignment vertical="top"/>
    </xf>
    <xf numFmtId="0" fontId="4655" fillId="0" borderId="4655" xfId="0" applyFont="1" applyBorder="1" applyAlignment="1">
      <alignment vertical="top"/>
    </xf>
    <xf numFmtId="0" fontId="4656" fillId="0" borderId="4656" xfId="0" applyFont="1" applyBorder="1" applyAlignment="1">
      <alignment vertical="top"/>
    </xf>
    <xf numFmtId="49" fontId="4657" fillId="0" borderId="4657" xfId="0" applyNumberFormat="1" applyFont="1" applyBorder="1" applyAlignment="1">
      <alignment vertical="top"/>
    </xf>
    <xf numFmtId="0" fontId="4658" fillId="0" borderId="4658" xfId="0" applyFont="1" applyBorder="1" applyAlignment="1">
      <alignment vertical="top"/>
    </xf>
    <xf numFmtId="0" fontId="4659" fillId="0" borderId="4659" xfId="0" applyFont="1" applyBorder="1" applyAlignment="1">
      <alignment vertical="top"/>
    </xf>
    <xf numFmtId="49" fontId="4660" fillId="0" borderId="4660" xfId="0" applyNumberFormat="1" applyFont="1" applyBorder="1" applyAlignment="1">
      <alignment vertical="top"/>
    </xf>
    <xf numFmtId="0" fontId="4661" fillId="0" borderId="4661" xfId="0" applyFont="1" applyBorder="1" applyAlignment="1">
      <alignment vertical="top"/>
    </xf>
    <xf numFmtId="0" fontId="4662" fillId="0" borderId="4662" xfId="0" applyFont="1" applyBorder="1" applyAlignment="1">
      <alignment vertical="top"/>
    </xf>
    <xf numFmtId="49" fontId="4663" fillId="0" borderId="4663" xfId="0" applyNumberFormat="1" applyFont="1" applyBorder="1" applyAlignment="1">
      <alignment vertical="top"/>
    </xf>
    <xf numFmtId="0" fontId="4664" fillId="0" borderId="4664" xfId="0" applyFont="1" applyBorder="1" applyAlignment="1">
      <alignment vertical="top"/>
    </xf>
    <xf numFmtId="0" fontId="4665" fillId="0" borderId="4665" xfId="0" applyFont="1" applyBorder="1" applyAlignment="1">
      <alignment vertical="top"/>
    </xf>
    <xf numFmtId="49" fontId="4666" fillId="0" borderId="4666" xfId="0" applyNumberFormat="1" applyFont="1" applyBorder="1" applyAlignment="1">
      <alignment vertical="top"/>
    </xf>
    <xf numFmtId="0" fontId="4667" fillId="0" borderId="4667" xfId="0" applyFont="1" applyBorder="1" applyAlignment="1">
      <alignment vertical="top"/>
    </xf>
    <xf numFmtId="0" fontId="4668" fillId="0" borderId="4668" xfId="0" applyFont="1" applyBorder="1" applyAlignment="1">
      <alignment vertical="top"/>
    </xf>
    <xf numFmtId="49" fontId="4669" fillId="0" borderId="4669" xfId="0" applyNumberFormat="1" applyFont="1" applyBorder="1" applyAlignment="1">
      <alignment vertical="top"/>
    </xf>
    <xf numFmtId="0" fontId="4670" fillId="0" borderId="4670" xfId="0" applyFont="1" applyBorder="1" applyAlignment="1">
      <alignment vertical="top"/>
    </xf>
    <xf numFmtId="0" fontId="4671" fillId="0" borderId="4671" xfId="0" applyFont="1" applyBorder="1" applyAlignment="1">
      <alignment vertical="top"/>
    </xf>
    <xf numFmtId="49" fontId="4672" fillId="0" borderId="4672" xfId="0" applyNumberFormat="1" applyFont="1" applyBorder="1" applyAlignment="1">
      <alignment vertical="top"/>
    </xf>
    <xf numFmtId="0" fontId="4673" fillId="0" borderId="4673" xfId="0" applyFont="1" applyBorder="1" applyAlignment="1">
      <alignment vertical="top"/>
    </xf>
    <xf numFmtId="0" fontId="4674" fillId="0" borderId="4674" xfId="0" applyFont="1" applyBorder="1" applyAlignment="1">
      <alignment vertical="top"/>
    </xf>
    <xf numFmtId="49" fontId="4675" fillId="0" borderId="4675" xfId="0" applyNumberFormat="1" applyFont="1" applyBorder="1" applyAlignment="1">
      <alignment vertical="top"/>
    </xf>
    <xf numFmtId="0" fontId="4676" fillId="0" borderId="4676" xfId="0" applyFont="1" applyBorder="1" applyAlignment="1">
      <alignment vertical="top"/>
    </xf>
    <xf numFmtId="0" fontId="4677" fillId="0" borderId="4677" xfId="0" applyFont="1" applyBorder="1" applyAlignment="1">
      <alignment vertical="top"/>
    </xf>
    <xf numFmtId="49" fontId="4678" fillId="0" borderId="4678" xfId="0" applyNumberFormat="1" applyFont="1" applyBorder="1" applyAlignment="1">
      <alignment vertical="top"/>
    </xf>
    <xf numFmtId="0" fontId="4679" fillId="0" borderId="4679" xfId="0" applyFont="1" applyBorder="1" applyAlignment="1">
      <alignment vertical="top"/>
    </xf>
    <xf numFmtId="0" fontId="4680" fillId="0" borderId="4680" xfId="0" applyFont="1" applyBorder="1" applyAlignment="1">
      <alignment vertical="top"/>
    </xf>
    <xf numFmtId="49" fontId="4681" fillId="0" borderId="4681" xfId="0" applyNumberFormat="1" applyFont="1" applyBorder="1" applyAlignment="1">
      <alignment vertical="top"/>
    </xf>
    <xf numFmtId="0" fontId="4682" fillId="0" borderId="4682" xfId="0" applyFont="1" applyBorder="1" applyAlignment="1">
      <alignment vertical="top"/>
    </xf>
    <xf numFmtId="0" fontId="4683" fillId="0" borderId="4683" xfId="0" applyFont="1" applyBorder="1" applyAlignment="1">
      <alignment vertical="top"/>
    </xf>
    <xf numFmtId="49" fontId="4684" fillId="0" borderId="4684" xfId="0" applyNumberFormat="1" applyFont="1" applyBorder="1" applyAlignment="1">
      <alignment vertical="top"/>
    </xf>
    <xf numFmtId="0" fontId="4685" fillId="0" borderId="4685" xfId="0" applyFont="1" applyBorder="1" applyAlignment="1">
      <alignment vertical="top"/>
    </xf>
    <xf numFmtId="0" fontId="4686" fillId="0" borderId="4686" xfId="0" applyFont="1" applyBorder="1" applyAlignment="1">
      <alignment vertical="top"/>
    </xf>
    <xf numFmtId="49" fontId="4687" fillId="0" borderId="4687" xfId="0" applyNumberFormat="1" applyFont="1" applyBorder="1" applyAlignment="1">
      <alignment vertical="top"/>
    </xf>
    <xf numFmtId="0" fontId="4688" fillId="0" borderId="4688" xfId="0" applyFont="1" applyBorder="1" applyAlignment="1">
      <alignment vertical="top"/>
    </xf>
    <xf numFmtId="0" fontId="4689" fillId="0" borderId="4689" xfId="0" applyFont="1" applyBorder="1" applyAlignment="1">
      <alignment vertical="top"/>
    </xf>
    <xf numFmtId="49" fontId="4690" fillId="0" borderId="4690" xfId="0" applyNumberFormat="1" applyFont="1" applyBorder="1" applyAlignment="1">
      <alignment vertical="top"/>
    </xf>
    <xf numFmtId="0" fontId="4691" fillId="0" borderId="4691" xfId="0" applyFont="1" applyBorder="1" applyAlignment="1">
      <alignment vertical="top"/>
    </xf>
    <xf numFmtId="0" fontId="4692" fillId="0" borderId="4692" xfId="0" applyFont="1" applyBorder="1" applyAlignment="1">
      <alignment vertical="top"/>
    </xf>
    <xf numFmtId="49" fontId="4693" fillId="0" borderId="4693" xfId="0" applyNumberFormat="1" applyFont="1" applyBorder="1" applyAlignment="1">
      <alignment vertical="top"/>
    </xf>
    <xf numFmtId="0" fontId="4694" fillId="0" borderId="4694" xfId="0" applyFont="1" applyBorder="1" applyAlignment="1">
      <alignment vertical="top"/>
    </xf>
    <xf numFmtId="0" fontId="4695" fillId="0" borderId="4695" xfId="0" applyFont="1" applyBorder="1" applyAlignment="1">
      <alignment vertical="top"/>
    </xf>
    <xf numFmtId="49" fontId="4696" fillId="0" borderId="4696" xfId="0" applyNumberFormat="1" applyFont="1" applyBorder="1" applyAlignment="1">
      <alignment vertical="top"/>
    </xf>
    <xf numFmtId="0" fontId="4697" fillId="0" borderId="4697" xfId="0" applyFont="1" applyBorder="1" applyAlignment="1">
      <alignment vertical="top"/>
    </xf>
    <xf numFmtId="0" fontId="4698" fillId="0" borderId="4698" xfId="0" applyFont="1" applyBorder="1" applyAlignment="1">
      <alignment vertical="top"/>
    </xf>
    <xf numFmtId="49" fontId="4699" fillId="0" borderId="4699" xfId="0" applyNumberFormat="1" applyFont="1" applyBorder="1" applyAlignment="1">
      <alignment vertical="top"/>
    </xf>
    <xf numFmtId="0" fontId="4700" fillId="0" borderId="4700" xfId="0" applyFont="1" applyBorder="1" applyAlignment="1">
      <alignment vertical="top"/>
    </xf>
    <xf numFmtId="0" fontId="4701" fillId="0" borderId="4701" xfId="0" applyFont="1" applyBorder="1" applyAlignment="1">
      <alignment vertical="top"/>
    </xf>
    <xf numFmtId="49" fontId="4702" fillId="0" borderId="4702" xfId="0" applyNumberFormat="1" applyFont="1" applyBorder="1" applyAlignment="1">
      <alignment vertical="top"/>
    </xf>
    <xf numFmtId="0" fontId="4703" fillId="0" borderId="4703" xfId="0" applyFont="1" applyBorder="1" applyAlignment="1">
      <alignment vertical="top"/>
    </xf>
    <xf numFmtId="0" fontId="4704" fillId="0" borderId="4704" xfId="0" applyFont="1" applyBorder="1" applyAlignment="1">
      <alignment vertical="top"/>
    </xf>
    <xf numFmtId="49" fontId="4705" fillId="0" borderId="4705" xfId="0" applyNumberFormat="1" applyFont="1" applyBorder="1" applyAlignment="1">
      <alignment vertical="top"/>
    </xf>
    <xf numFmtId="0" fontId="4706" fillId="0" borderId="4706" xfId="0" applyFont="1" applyBorder="1" applyAlignment="1">
      <alignment vertical="top"/>
    </xf>
    <xf numFmtId="0" fontId="4707" fillId="0" borderId="4707" xfId="0" applyFont="1" applyBorder="1" applyAlignment="1">
      <alignment vertical="top"/>
    </xf>
    <xf numFmtId="49" fontId="4708" fillId="0" borderId="4708" xfId="0" applyNumberFormat="1" applyFont="1" applyBorder="1" applyAlignment="1">
      <alignment vertical="top"/>
    </xf>
    <xf numFmtId="0" fontId="4709" fillId="0" borderId="4709" xfId="0" applyFont="1" applyBorder="1" applyAlignment="1">
      <alignment vertical="top"/>
    </xf>
    <xf numFmtId="0" fontId="4710" fillId="0" borderId="4710" xfId="0" applyFont="1" applyBorder="1" applyAlignment="1">
      <alignment vertical="top"/>
    </xf>
    <xf numFmtId="49" fontId="4711" fillId="0" borderId="4711" xfId="0" applyNumberFormat="1" applyFont="1" applyBorder="1" applyAlignment="1">
      <alignment vertical="top"/>
    </xf>
    <xf numFmtId="0" fontId="4712" fillId="0" borderId="4712" xfId="0" applyFont="1" applyBorder="1" applyAlignment="1">
      <alignment vertical="top"/>
    </xf>
    <xf numFmtId="0" fontId="4713" fillId="0" borderId="4713" xfId="0" applyFont="1" applyBorder="1" applyAlignment="1">
      <alignment vertical="top"/>
    </xf>
    <xf numFmtId="49" fontId="4714" fillId="0" borderId="4714" xfId="0" applyNumberFormat="1" applyFont="1" applyBorder="1" applyAlignment="1">
      <alignment vertical="top"/>
    </xf>
    <xf numFmtId="0" fontId="4715" fillId="0" borderId="4715" xfId="0" applyFont="1" applyBorder="1" applyAlignment="1">
      <alignment vertical="top"/>
    </xf>
    <xf numFmtId="0" fontId="4716" fillId="0" borderId="4716" xfId="0" applyFont="1" applyBorder="1" applyAlignment="1">
      <alignment vertical="top"/>
    </xf>
    <xf numFmtId="49" fontId="4717" fillId="0" borderId="4717" xfId="0" applyNumberFormat="1" applyFont="1" applyBorder="1" applyAlignment="1">
      <alignment vertical="top"/>
    </xf>
    <xf numFmtId="0" fontId="4718" fillId="0" borderId="4718" xfId="0" applyFont="1" applyBorder="1" applyAlignment="1">
      <alignment vertical="top"/>
    </xf>
    <xf numFmtId="0" fontId="4719" fillId="0" borderId="4719" xfId="0" applyFont="1" applyBorder="1" applyAlignment="1">
      <alignment vertical="top"/>
    </xf>
    <xf numFmtId="49" fontId="4720" fillId="0" borderId="4720" xfId="0" applyNumberFormat="1" applyFont="1" applyBorder="1" applyAlignment="1">
      <alignment vertical="top"/>
    </xf>
    <xf numFmtId="0" fontId="4721" fillId="0" borderId="4721" xfId="0" applyFont="1" applyBorder="1" applyAlignment="1">
      <alignment vertical="top"/>
    </xf>
    <xf numFmtId="0" fontId="4722" fillId="0" borderId="4722" xfId="0" applyFont="1" applyBorder="1" applyAlignment="1">
      <alignment vertical="top"/>
    </xf>
    <xf numFmtId="49" fontId="4723" fillId="0" borderId="4723" xfId="0" applyNumberFormat="1" applyFont="1" applyBorder="1" applyAlignment="1">
      <alignment vertical="top"/>
    </xf>
    <xf numFmtId="0" fontId="4724" fillId="0" borderId="4724" xfId="0" applyFont="1" applyBorder="1" applyAlignment="1">
      <alignment vertical="top"/>
    </xf>
    <xf numFmtId="0" fontId="4725" fillId="0" borderId="4725" xfId="0" applyFont="1" applyBorder="1" applyAlignment="1">
      <alignment vertical="top"/>
    </xf>
    <xf numFmtId="49" fontId="4726" fillId="0" borderId="4726" xfId="0" applyNumberFormat="1" applyFont="1" applyBorder="1" applyAlignment="1">
      <alignment vertical="top"/>
    </xf>
    <xf numFmtId="0" fontId="4727" fillId="0" borderId="4727" xfId="0" applyFont="1" applyBorder="1" applyAlignment="1">
      <alignment vertical="top"/>
    </xf>
    <xf numFmtId="0" fontId="4728" fillId="0" borderId="4728" xfId="0" applyFont="1" applyBorder="1" applyAlignment="1">
      <alignment vertical="top"/>
    </xf>
    <xf numFmtId="49" fontId="4729" fillId="0" borderId="4729" xfId="0" applyNumberFormat="1" applyFont="1" applyBorder="1" applyAlignment="1">
      <alignment vertical="top"/>
    </xf>
    <xf numFmtId="0" fontId="4730" fillId="0" borderId="4730" xfId="0" applyFont="1" applyBorder="1" applyAlignment="1">
      <alignment vertical="top"/>
    </xf>
    <xf numFmtId="0" fontId="4731" fillId="0" borderId="4731" xfId="0" applyFont="1" applyBorder="1" applyAlignment="1">
      <alignment vertical="top"/>
    </xf>
    <xf numFmtId="49" fontId="4732" fillId="0" borderId="4732" xfId="0" applyNumberFormat="1" applyFont="1" applyBorder="1" applyAlignment="1">
      <alignment vertical="top"/>
    </xf>
    <xf numFmtId="0" fontId="4733" fillId="0" borderId="4733" xfId="0" applyFont="1" applyBorder="1" applyAlignment="1">
      <alignment vertical="top"/>
    </xf>
    <xf numFmtId="0" fontId="4734" fillId="0" borderId="4734" xfId="0" applyFont="1" applyBorder="1" applyAlignment="1">
      <alignment vertical="top"/>
    </xf>
    <xf numFmtId="49" fontId="4735" fillId="0" borderId="4735" xfId="0" applyNumberFormat="1" applyFont="1" applyBorder="1" applyAlignment="1">
      <alignment vertical="top"/>
    </xf>
    <xf numFmtId="0" fontId="4736" fillId="0" borderId="4736" xfId="0" applyFont="1" applyBorder="1" applyAlignment="1">
      <alignment vertical="top"/>
    </xf>
    <xf numFmtId="0" fontId="4737" fillId="0" borderId="4737" xfId="0" applyFont="1" applyBorder="1" applyAlignment="1">
      <alignment vertical="top"/>
    </xf>
    <xf numFmtId="49" fontId="4738" fillId="0" borderId="4738" xfId="0" applyNumberFormat="1" applyFont="1" applyBorder="1" applyAlignment="1">
      <alignment vertical="top"/>
    </xf>
    <xf numFmtId="0" fontId="4739" fillId="0" borderId="4739" xfId="0" applyFont="1" applyBorder="1" applyAlignment="1">
      <alignment vertical="top"/>
    </xf>
    <xf numFmtId="0" fontId="4740" fillId="0" borderId="4740" xfId="0" applyFont="1" applyBorder="1" applyAlignment="1">
      <alignment vertical="top"/>
    </xf>
    <xf numFmtId="49" fontId="4741" fillId="0" borderId="4741" xfId="0" applyNumberFormat="1" applyFont="1" applyBorder="1" applyAlignment="1">
      <alignment vertical="top"/>
    </xf>
    <xf numFmtId="0" fontId="4742" fillId="0" borderId="4742" xfId="0" applyFont="1" applyBorder="1" applyAlignment="1">
      <alignment vertical="top"/>
    </xf>
    <xf numFmtId="0" fontId="4743" fillId="0" borderId="4743" xfId="0" applyFont="1" applyBorder="1" applyAlignment="1">
      <alignment vertical="top"/>
    </xf>
    <xf numFmtId="49" fontId="4744" fillId="0" borderId="4744" xfId="0" applyNumberFormat="1" applyFont="1" applyBorder="1" applyAlignment="1">
      <alignment vertical="top"/>
    </xf>
    <xf numFmtId="0" fontId="4745" fillId="0" borderId="4745" xfId="0" applyFont="1" applyBorder="1" applyAlignment="1">
      <alignment vertical="top"/>
    </xf>
    <xf numFmtId="0" fontId="4746" fillId="0" borderId="4746" xfId="0" applyFont="1" applyBorder="1" applyAlignment="1">
      <alignment vertical="top"/>
    </xf>
    <xf numFmtId="49" fontId="4747" fillId="0" borderId="4747" xfId="0" applyNumberFormat="1" applyFont="1" applyBorder="1" applyAlignment="1">
      <alignment vertical="top"/>
    </xf>
    <xf numFmtId="0" fontId="4748" fillId="0" borderId="4748" xfId="0" applyFont="1" applyBorder="1" applyAlignment="1">
      <alignment vertical="top"/>
    </xf>
    <xf numFmtId="0" fontId="4749" fillId="0" borderId="4749" xfId="0" applyFont="1" applyBorder="1" applyAlignment="1">
      <alignment vertical="top"/>
    </xf>
    <xf numFmtId="49" fontId="4750" fillId="0" borderId="4750" xfId="0" applyNumberFormat="1" applyFont="1" applyBorder="1" applyAlignment="1">
      <alignment vertical="top"/>
    </xf>
    <xf numFmtId="0" fontId="4751" fillId="0" borderId="4751" xfId="0" applyFont="1" applyBorder="1" applyAlignment="1">
      <alignment vertical="top"/>
    </xf>
    <xf numFmtId="0" fontId="4752" fillId="0" borderId="4752" xfId="0" applyFont="1" applyBorder="1" applyAlignment="1">
      <alignment vertical="top"/>
    </xf>
    <xf numFmtId="49" fontId="4753" fillId="0" borderId="4753" xfId="0" applyNumberFormat="1" applyFont="1" applyBorder="1" applyAlignment="1">
      <alignment vertical="top"/>
    </xf>
    <xf numFmtId="0" fontId="4754" fillId="0" borderId="4754" xfId="0" applyFont="1" applyBorder="1" applyAlignment="1">
      <alignment vertical="top"/>
    </xf>
    <xf numFmtId="0" fontId="4755" fillId="0" borderId="4755" xfId="0" applyFont="1" applyBorder="1" applyAlignment="1">
      <alignment vertical="top"/>
    </xf>
    <xf numFmtId="49" fontId="4756" fillId="0" borderId="4756" xfId="0" applyNumberFormat="1" applyFont="1" applyBorder="1" applyAlignment="1">
      <alignment vertical="top"/>
    </xf>
    <xf numFmtId="0" fontId="4757" fillId="0" borderId="4757" xfId="0" applyFont="1" applyBorder="1" applyAlignment="1">
      <alignment vertical="top"/>
    </xf>
    <xf numFmtId="0" fontId="4758" fillId="0" borderId="4758" xfId="0" applyFont="1" applyBorder="1" applyAlignment="1">
      <alignment vertical="top"/>
    </xf>
    <xf numFmtId="49" fontId="4759" fillId="0" borderId="4759" xfId="0" applyNumberFormat="1" applyFont="1" applyBorder="1" applyAlignment="1">
      <alignment vertical="top"/>
    </xf>
    <xf numFmtId="0" fontId="4760" fillId="0" borderId="4760" xfId="0" applyFont="1" applyBorder="1" applyAlignment="1">
      <alignment vertical="top"/>
    </xf>
    <xf numFmtId="0" fontId="4761" fillId="0" borderId="4761" xfId="0" applyFont="1" applyBorder="1" applyAlignment="1">
      <alignment vertical="top"/>
    </xf>
    <xf numFmtId="49" fontId="4762" fillId="0" borderId="4762" xfId="0" applyNumberFormat="1" applyFont="1" applyBorder="1" applyAlignment="1">
      <alignment vertical="top"/>
    </xf>
    <xf numFmtId="0" fontId="4763" fillId="0" borderId="4763" xfId="0" applyFont="1" applyBorder="1" applyAlignment="1">
      <alignment vertical="top"/>
    </xf>
    <xf numFmtId="0" fontId="4764" fillId="0" borderId="4764" xfId="0" applyFont="1" applyBorder="1" applyAlignment="1">
      <alignment vertical="top"/>
    </xf>
    <xf numFmtId="49" fontId="4765" fillId="0" borderId="4765" xfId="0" applyNumberFormat="1" applyFont="1" applyBorder="1" applyAlignment="1">
      <alignment vertical="top"/>
    </xf>
    <xf numFmtId="0" fontId="4766" fillId="0" borderId="4766" xfId="0" applyFont="1" applyBorder="1" applyAlignment="1">
      <alignment vertical="top"/>
    </xf>
    <xf numFmtId="0" fontId="4767" fillId="0" borderId="4767" xfId="0" applyFont="1" applyBorder="1" applyAlignment="1">
      <alignment vertical="top"/>
    </xf>
    <xf numFmtId="49" fontId="4768" fillId="0" borderId="4768" xfId="0" applyNumberFormat="1" applyFont="1" applyBorder="1" applyAlignment="1">
      <alignment vertical="top"/>
    </xf>
    <xf numFmtId="0" fontId="4769" fillId="0" borderId="4769" xfId="0" applyFont="1" applyBorder="1" applyAlignment="1">
      <alignment vertical="top"/>
    </xf>
    <xf numFmtId="0" fontId="4770" fillId="0" borderId="4770" xfId="0" applyFont="1" applyBorder="1" applyAlignment="1">
      <alignment vertical="top"/>
    </xf>
    <xf numFmtId="49" fontId="4771" fillId="0" borderId="4771" xfId="0" applyNumberFormat="1" applyFont="1" applyBorder="1" applyAlignment="1">
      <alignment vertical="top"/>
    </xf>
    <xf numFmtId="0" fontId="4772" fillId="0" borderId="4772" xfId="0" applyFont="1" applyBorder="1" applyAlignment="1">
      <alignment vertical="top"/>
    </xf>
    <xf numFmtId="0" fontId="4773" fillId="0" borderId="4773" xfId="0" applyFont="1" applyBorder="1" applyAlignment="1">
      <alignment vertical="top"/>
    </xf>
    <xf numFmtId="49" fontId="4774" fillId="0" borderId="4774" xfId="0" applyNumberFormat="1" applyFont="1" applyBorder="1" applyAlignment="1">
      <alignment vertical="top"/>
    </xf>
    <xf numFmtId="0" fontId="4775" fillId="0" borderId="4775" xfId="0" applyFont="1" applyBorder="1" applyAlignment="1">
      <alignment vertical="top"/>
    </xf>
    <xf numFmtId="0" fontId="4776" fillId="0" borderId="4776" xfId="0" applyFont="1" applyBorder="1" applyAlignment="1">
      <alignment vertical="top"/>
    </xf>
    <xf numFmtId="49" fontId="4777" fillId="0" borderId="4777" xfId="0" applyNumberFormat="1" applyFont="1" applyBorder="1" applyAlignment="1">
      <alignment vertical="top"/>
    </xf>
    <xf numFmtId="0" fontId="4778" fillId="0" borderId="4778" xfId="0" applyFont="1" applyBorder="1" applyAlignment="1">
      <alignment vertical="top"/>
    </xf>
    <xf numFmtId="0" fontId="4779" fillId="0" borderId="4779" xfId="0" applyFont="1" applyBorder="1" applyAlignment="1">
      <alignment vertical="top"/>
    </xf>
    <xf numFmtId="49" fontId="4780" fillId="0" borderId="4780" xfId="0" applyNumberFormat="1" applyFont="1" applyBorder="1" applyAlignment="1">
      <alignment vertical="top"/>
    </xf>
    <xf numFmtId="0" fontId="4781" fillId="0" borderId="4781" xfId="0" applyFont="1" applyBorder="1" applyAlignment="1">
      <alignment vertical="top"/>
    </xf>
    <xf numFmtId="0" fontId="4782" fillId="0" borderId="4782" xfId="0" applyFont="1" applyBorder="1" applyAlignment="1">
      <alignment vertical="top"/>
    </xf>
    <xf numFmtId="49" fontId="4783" fillId="0" borderId="4783" xfId="0" applyNumberFormat="1" applyFont="1" applyBorder="1" applyAlignment="1">
      <alignment vertical="top"/>
    </xf>
    <xf numFmtId="0" fontId="4784" fillId="0" borderId="4784" xfId="0" applyFont="1" applyBorder="1" applyAlignment="1">
      <alignment vertical="top"/>
    </xf>
    <xf numFmtId="0" fontId="4785" fillId="0" borderId="4785" xfId="0" applyFont="1" applyBorder="1" applyAlignment="1">
      <alignment vertical="top"/>
    </xf>
    <xf numFmtId="49" fontId="4786" fillId="0" borderId="4786" xfId="0" applyNumberFormat="1" applyFont="1" applyBorder="1" applyAlignment="1">
      <alignment vertical="top"/>
    </xf>
    <xf numFmtId="0" fontId="4787" fillId="0" borderId="4787" xfId="0" applyFont="1" applyBorder="1" applyAlignment="1">
      <alignment vertical="top"/>
    </xf>
    <xf numFmtId="0" fontId="4788" fillId="0" borderId="4788" xfId="0" applyFont="1" applyBorder="1" applyAlignment="1">
      <alignment vertical="top"/>
    </xf>
    <xf numFmtId="49" fontId="4789" fillId="0" borderId="4789" xfId="0" applyNumberFormat="1" applyFont="1" applyBorder="1" applyAlignment="1">
      <alignment vertical="top"/>
    </xf>
    <xf numFmtId="0" fontId="4790" fillId="0" borderId="4790" xfId="0" applyFont="1" applyBorder="1" applyAlignment="1">
      <alignment vertical="top"/>
    </xf>
    <xf numFmtId="0" fontId="4791" fillId="0" borderId="4791" xfId="0" applyFont="1" applyBorder="1" applyAlignment="1">
      <alignment vertical="top"/>
    </xf>
    <xf numFmtId="49" fontId="4792" fillId="0" borderId="4792" xfId="0" applyNumberFormat="1" applyFont="1" applyBorder="1" applyAlignment="1">
      <alignment vertical="top"/>
    </xf>
    <xf numFmtId="0" fontId="4793" fillId="0" borderId="4793" xfId="0" applyFont="1" applyBorder="1" applyAlignment="1">
      <alignment vertical="top"/>
    </xf>
    <xf numFmtId="0" fontId="4794" fillId="0" borderId="4794" xfId="0" applyFont="1" applyBorder="1" applyAlignment="1">
      <alignment vertical="top"/>
    </xf>
    <xf numFmtId="49" fontId="4795" fillId="0" borderId="4795" xfId="0" applyNumberFormat="1" applyFont="1" applyBorder="1" applyAlignment="1">
      <alignment vertical="top"/>
    </xf>
    <xf numFmtId="0" fontId="4796" fillId="0" borderId="4796" xfId="0" applyFont="1" applyBorder="1" applyAlignment="1">
      <alignment vertical="top"/>
    </xf>
    <xf numFmtId="0" fontId="4797" fillId="0" borderId="4797" xfId="0" applyFont="1" applyBorder="1" applyAlignment="1">
      <alignment vertical="top"/>
    </xf>
    <xf numFmtId="49" fontId="4798" fillId="0" borderId="4798" xfId="0" applyNumberFormat="1" applyFont="1" applyBorder="1" applyAlignment="1">
      <alignment vertical="top"/>
    </xf>
    <xf numFmtId="0" fontId="4799" fillId="0" borderId="4799" xfId="0" applyFont="1" applyBorder="1" applyAlignment="1">
      <alignment vertical="top"/>
    </xf>
    <xf numFmtId="0" fontId="4800" fillId="0" borderId="4800" xfId="0" applyFont="1" applyBorder="1" applyAlignment="1">
      <alignment vertical="top"/>
    </xf>
    <xf numFmtId="49" fontId="4801" fillId="0" borderId="4801" xfId="0" applyNumberFormat="1" applyFont="1" applyBorder="1" applyAlignment="1">
      <alignment vertical="top"/>
    </xf>
    <xf numFmtId="0" fontId="4802" fillId="0" borderId="4802" xfId="0" applyFont="1" applyBorder="1" applyAlignment="1">
      <alignment vertical="top"/>
    </xf>
    <xf numFmtId="0" fontId="4803" fillId="0" borderId="4803" xfId="0" applyFont="1" applyBorder="1" applyAlignment="1">
      <alignment vertical="top"/>
    </xf>
    <xf numFmtId="49" fontId="4804" fillId="0" borderId="4804" xfId="0" applyNumberFormat="1" applyFont="1" applyBorder="1" applyAlignment="1">
      <alignment vertical="top"/>
    </xf>
    <xf numFmtId="0" fontId="4805" fillId="0" borderId="4805" xfId="0" applyFont="1" applyBorder="1" applyAlignment="1">
      <alignment vertical="top"/>
    </xf>
    <xf numFmtId="0" fontId="4806" fillId="0" borderId="4806" xfId="0" applyFont="1" applyBorder="1" applyAlignment="1">
      <alignment vertical="top"/>
    </xf>
    <xf numFmtId="49" fontId="4807" fillId="0" borderId="4807" xfId="0" applyNumberFormat="1" applyFont="1" applyBorder="1" applyAlignment="1">
      <alignment vertical="top"/>
    </xf>
    <xf numFmtId="0" fontId="4808" fillId="0" borderId="4808" xfId="0" applyFont="1" applyBorder="1" applyAlignment="1">
      <alignment vertical="top"/>
    </xf>
    <xf numFmtId="0" fontId="4809" fillId="0" borderId="4809" xfId="0" applyFont="1" applyBorder="1" applyAlignment="1">
      <alignment vertical="top"/>
    </xf>
    <xf numFmtId="49" fontId="4810" fillId="0" borderId="4810" xfId="0" applyNumberFormat="1" applyFont="1" applyBorder="1" applyAlignment="1">
      <alignment vertical="top"/>
    </xf>
    <xf numFmtId="0" fontId="4811" fillId="0" borderId="4811" xfId="0" applyFont="1" applyBorder="1" applyAlignment="1">
      <alignment vertical="top"/>
    </xf>
    <xf numFmtId="0" fontId="4812" fillId="0" borderId="4812" xfId="0" applyFont="1" applyBorder="1" applyAlignment="1">
      <alignment vertical="top"/>
    </xf>
    <xf numFmtId="49" fontId="4813" fillId="0" borderId="4813" xfId="0" applyNumberFormat="1" applyFont="1" applyBorder="1" applyAlignment="1">
      <alignment vertical="top"/>
    </xf>
    <xf numFmtId="0" fontId="4814" fillId="0" borderId="4814" xfId="0" applyFont="1" applyBorder="1" applyAlignment="1">
      <alignment vertical="top"/>
    </xf>
    <xf numFmtId="0" fontId="4815" fillId="0" borderId="4815" xfId="0" applyFont="1" applyBorder="1" applyAlignment="1">
      <alignment vertical="top"/>
    </xf>
    <xf numFmtId="49" fontId="4816" fillId="0" borderId="4816" xfId="0" applyNumberFormat="1" applyFont="1" applyBorder="1" applyAlignment="1">
      <alignment vertical="top"/>
    </xf>
    <xf numFmtId="0" fontId="4817" fillId="0" borderId="4817" xfId="0" applyFont="1" applyBorder="1" applyAlignment="1">
      <alignment vertical="top"/>
    </xf>
    <xf numFmtId="0" fontId="4818" fillId="0" borderId="4818" xfId="0" applyFont="1" applyBorder="1" applyAlignment="1">
      <alignment vertical="top"/>
    </xf>
    <xf numFmtId="49" fontId="4819" fillId="0" borderId="4819" xfId="0" applyNumberFormat="1" applyFont="1" applyBorder="1" applyAlignment="1">
      <alignment vertical="top"/>
    </xf>
    <xf numFmtId="0" fontId="4820" fillId="0" borderId="4820" xfId="0" applyFont="1" applyBorder="1" applyAlignment="1">
      <alignment vertical="top"/>
    </xf>
    <xf numFmtId="0" fontId="4821" fillId="0" borderId="4821" xfId="0" applyFont="1" applyBorder="1" applyAlignment="1">
      <alignment vertical="top"/>
    </xf>
    <xf numFmtId="49" fontId="4822" fillId="0" borderId="4822" xfId="0" applyNumberFormat="1" applyFont="1" applyBorder="1" applyAlignment="1">
      <alignment vertical="top"/>
    </xf>
    <xf numFmtId="0" fontId="4823" fillId="0" borderId="4823" xfId="0" applyFont="1" applyBorder="1" applyAlignment="1">
      <alignment vertical="top"/>
    </xf>
    <xf numFmtId="0" fontId="4824" fillId="0" borderId="4824" xfId="0" applyFont="1" applyBorder="1" applyAlignment="1">
      <alignment vertical="top"/>
    </xf>
    <xf numFmtId="49" fontId="4825" fillId="0" borderId="4825" xfId="0" applyNumberFormat="1" applyFont="1" applyBorder="1" applyAlignment="1">
      <alignment vertical="top"/>
    </xf>
    <xf numFmtId="0" fontId="4826" fillId="0" borderId="4826" xfId="0" applyFont="1" applyBorder="1" applyAlignment="1">
      <alignment vertical="top"/>
    </xf>
    <xf numFmtId="0" fontId="4827" fillId="0" borderId="4827" xfId="0" applyFont="1" applyBorder="1" applyAlignment="1">
      <alignment vertical="top"/>
    </xf>
    <xf numFmtId="49" fontId="4828" fillId="0" borderId="4828" xfId="0" applyNumberFormat="1" applyFont="1" applyBorder="1" applyAlignment="1">
      <alignment vertical="top"/>
    </xf>
    <xf numFmtId="0" fontId="4829" fillId="0" borderId="4829" xfId="0" applyFont="1" applyBorder="1" applyAlignment="1">
      <alignment vertical="top"/>
    </xf>
    <xf numFmtId="0" fontId="4830" fillId="0" borderId="4830" xfId="0" applyFont="1" applyBorder="1" applyAlignment="1">
      <alignment vertical="top"/>
    </xf>
    <xf numFmtId="49" fontId="4831" fillId="0" borderId="4831" xfId="0" applyNumberFormat="1" applyFont="1" applyBorder="1" applyAlignment="1">
      <alignment vertical="top"/>
    </xf>
    <xf numFmtId="0" fontId="4832" fillId="0" borderId="4832" xfId="0" applyFont="1" applyBorder="1" applyAlignment="1">
      <alignment vertical="top"/>
    </xf>
    <xf numFmtId="0" fontId="4833" fillId="0" borderId="4833" xfId="0" applyFont="1" applyBorder="1" applyAlignment="1">
      <alignment vertical="top"/>
    </xf>
    <xf numFmtId="49" fontId="4834" fillId="0" borderId="4834" xfId="0" applyNumberFormat="1" applyFont="1" applyBorder="1" applyAlignment="1">
      <alignment vertical="top"/>
    </xf>
    <xf numFmtId="0" fontId="4835" fillId="0" borderId="4835" xfId="0" applyFont="1" applyBorder="1" applyAlignment="1">
      <alignment vertical="top"/>
    </xf>
    <xf numFmtId="0" fontId="4836" fillId="0" borderId="4836" xfId="0" applyFont="1" applyBorder="1" applyAlignment="1">
      <alignment vertical="top"/>
    </xf>
    <xf numFmtId="49" fontId="4837" fillId="0" borderId="4837" xfId="0" applyNumberFormat="1" applyFont="1" applyBorder="1" applyAlignment="1">
      <alignment vertical="top"/>
    </xf>
    <xf numFmtId="0" fontId="4838" fillId="0" borderId="4838" xfId="0" applyFont="1" applyBorder="1" applyAlignment="1">
      <alignment vertical="top"/>
    </xf>
    <xf numFmtId="0" fontId="4839" fillId="0" borderId="4839" xfId="0" applyFont="1" applyBorder="1" applyAlignment="1">
      <alignment vertical="top"/>
    </xf>
    <xf numFmtId="49" fontId="4840" fillId="0" borderId="4840" xfId="0" applyNumberFormat="1" applyFont="1" applyBorder="1" applyAlignment="1">
      <alignment vertical="top"/>
    </xf>
    <xf numFmtId="0" fontId="4841" fillId="0" borderId="4841" xfId="0" applyFont="1" applyBorder="1" applyAlignment="1">
      <alignment vertical="top"/>
    </xf>
    <xf numFmtId="0" fontId="4842" fillId="0" borderId="4842" xfId="0" applyFont="1" applyBorder="1" applyAlignment="1">
      <alignment vertical="top"/>
    </xf>
    <xf numFmtId="49" fontId="4843" fillId="0" borderId="4843" xfId="0" applyNumberFormat="1" applyFont="1" applyBorder="1" applyAlignment="1">
      <alignment vertical="top"/>
    </xf>
    <xf numFmtId="0" fontId="4844" fillId="0" borderId="4844" xfId="0" applyFont="1" applyBorder="1" applyAlignment="1">
      <alignment vertical="top"/>
    </xf>
    <xf numFmtId="0" fontId="4845" fillId="0" borderId="4845" xfId="0" applyFont="1" applyBorder="1" applyAlignment="1">
      <alignment vertical="top"/>
    </xf>
    <xf numFmtId="49" fontId="4846" fillId="0" borderId="4846" xfId="0" applyNumberFormat="1" applyFont="1" applyBorder="1" applyAlignment="1">
      <alignment vertical="top"/>
    </xf>
    <xf numFmtId="0" fontId="4847" fillId="0" borderId="4847" xfId="0" applyFont="1" applyBorder="1" applyAlignment="1">
      <alignment vertical="top"/>
    </xf>
    <xf numFmtId="0" fontId="4848" fillId="0" borderId="4848" xfId="0" applyFont="1" applyBorder="1" applyAlignment="1">
      <alignment vertical="top"/>
    </xf>
    <xf numFmtId="49" fontId="4849" fillId="0" borderId="4849" xfId="0" applyNumberFormat="1" applyFont="1" applyBorder="1" applyAlignment="1">
      <alignment vertical="top"/>
    </xf>
    <xf numFmtId="0" fontId="4850" fillId="0" borderId="4850" xfId="0" applyFont="1" applyBorder="1" applyAlignment="1">
      <alignment vertical="top"/>
    </xf>
    <xf numFmtId="0" fontId="4851" fillId="0" borderId="4851" xfId="0" applyFont="1" applyBorder="1" applyAlignment="1">
      <alignment vertical="top"/>
    </xf>
    <xf numFmtId="49" fontId="4852" fillId="0" borderId="4852" xfId="0" applyNumberFormat="1" applyFont="1" applyBorder="1" applyAlignment="1">
      <alignment vertical="top"/>
    </xf>
    <xf numFmtId="0" fontId="4853" fillId="0" borderId="4853" xfId="0" applyFont="1" applyBorder="1" applyAlignment="1">
      <alignment vertical="top"/>
    </xf>
    <xf numFmtId="0" fontId="4854" fillId="0" borderId="4854" xfId="0" applyFont="1" applyBorder="1" applyAlignment="1">
      <alignment vertical="top"/>
    </xf>
    <xf numFmtId="49" fontId="4855" fillId="0" borderId="4855" xfId="0" applyNumberFormat="1" applyFont="1" applyBorder="1" applyAlignment="1">
      <alignment vertical="top"/>
    </xf>
    <xf numFmtId="0" fontId="4856" fillId="0" borderId="4856" xfId="0" applyFont="1" applyBorder="1" applyAlignment="1">
      <alignment vertical="top"/>
    </xf>
    <xf numFmtId="0" fontId="4857" fillId="0" borderId="4857" xfId="0" applyFont="1" applyBorder="1" applyAlignment="1">
      <alignment vertical="top"/>
    </xf>
    <xf numFmtId="49" fontId="4858" fillId="0" borderId="4858" xfId="0" applyNumberFormat="1" applyFont="1" applyBorder="1" applyAlignment="1">
      <alignment vertical="top"/>
    </xf>
    <xf numFmtId="0" fontId="4859" fillId="0" borderId="4859" xfId="0" applyFont="1" applyBorder="1" applyAlignment="1">
      <alignment vertical="top"/>
    </xf>
    <xf numFmtId="0" fontId="4860" fillId="0" borderId="4860" xfId="0" applyFont="1" applyBorder="1" applyAlignment="1">
      <alignment vertical="top"/>
    </xf>
    <xf numFmtId="49" fontId="4861" fillId="0" borderId="4861" xfId="0" applyNumberFormat="1" applyFont="1" applyBorder="1" applyAlignment="1">
      <alignment vertical="top"/>
    </xf>
    <xf numFmtId="0" fontId="4862" fillId="0" borderId="4862" xfId="0" applyFont="1" applyBorder="1" applyAlignment="1">
      <alignment vertical="top"/>
    </xf>
    <xf numFmtId="0" fontId="4863" fillId="0" borderId="4863" xfId="0" applyFont="1" applyBorder="1" applyAlignment="1">
      <alignment vertical="top"/>
    </xf>
    <xf numFmtId="49" fontId="4864" fillId="0" borderId="4864" xfId="0" applyNumberFormat="1" applyFont="1" applyBorder="1" applyAlignment="1">
      <alignment vertical="top"/>
    </xf>
    <xf numFmtId="0" fontId="4865" fillId="0" borderId="4865" xfId="0" applyFont="1" applyBorder="1" applyAlignment="1">
      <alignment vertical="top"/>
    </xf>
    <xf numFmtId="0" fontId="4866" fillId="0" borderId="4866" xfId="0" applyFont="1" applyBorder="1" applyAlignment="1">
      <alignment vertical="top"/>
    </xf>
    <xf numFmtId="49" fontId="4867" fillId="0" borderId="4867" xfId="0" applyNumberFormat="1" applyFont="1" applyBorder="1" applyAlignment="1">
      <alignment vertical="top"/>
    </xf>
    <xf numFmtId="0" fontId="4868" fillId="0" borderId="4868" xfId="0" applyFont="1" applyBorder="1" applyAlignment="1">
      <alignment vertical="top"/>
    </xf>
    <xf numFmtId="0" fontId="4869" fillId="0" borderId="4869" xfId="0" applyFont="1" applyBorder="1" applyAlignment="1">
      <alignment vertical="top"/>
    </xf>
    <xf numFmtId="49" fontId="4870" fillId="0" borderId="4870" xfId="0" applyNumberFormat="1" applyFont="1" applyBorder="1" applyAlignment="1">
      <alignment vertical="top"/>
    </xf>
    <xf numFmtId="0" fontId="4871" fillId="0" borderId="4871" xfId="0" applyFont="1" applyBorder="1" applyAlignment="1">
      <alignment vertical="top"/>
    </xf>
    <xf numFmtId="0" fontId="4872" fillId="0" borderId="4872" xfId="0" applyFont="1" applyBorder="1" applyAlignment="1">
      <alignment vertical="top"/>
    </xf>
    <xf numFmtId="49" fontId="4873" fillId="0" borderId="4873" xfId="0" applyNumberFormat="1" applyFont="1" applyBorder="1" applyAlignment="1">
      <alignment vertical="top"/>
    </xf>
    <xf numFmtId="0" fontId="4874" fillId="0" borderId="4874" xfId="0" applyFont="1" applyBorder="1" applyAlignment="1">
      <alignment vertical="top"/>
    </xf>
    <xf numFmtId="0" fontId="4875" fillId="0" borderId="4875" xfId="0" applyFont="1" applyBorder="1" applyAlignment="1">
      <alignment vertical="top"/>
    </xf>
    <xf numFmtId="49" fontId="4876" fillId="0" borderId="4876" xfId="0" applyNumberFormat="1" applyFont="1" applyBorder="1" applyAlignment="1">
      <alignment vertical="top"/>
    </xf>
    <xf numFmtId="0" fontId="4877" fillId="0" borderId="4877" xfId="0" applyFont="1" applyBorder="1" applyAlignment="1">
      <alignment vertical="top"/>
    </xf>
    <xf numFmtId="0" fontId="4878" fillId="0" borderId="4878" xfId="0" applyFont="1" applyBorder="1" applyAlignment="1">
      <alignment vertical="top"/>
    </xf>
    <xf numFmtId="49" fontId="4879" fillId="0" borderId="4879" xfId="0" applyNumberFormat="1" applyFont="1" applyBorder="1" applyAlignment="1">
      <alignment vertical="top"/>
    </xf>
    <xf numFmtId="0" fontId="4880" fillId="0" borderId="4880" xfId="0" applyFont="1" applyBorder="1" applyAlignment="1">
      <alignment vertical="top"/>
    </xf>
    <xf numFmtId="0" fontId="4881" fillId="0" borderId="4881" xfId="0" applyFont="1" applyBorder="1" applyAlignment="1">
      <alignment vertical="top"/>
    </xf>
    <xf numFmtId="49" fontId="4882" fillId="0" borderId="4882" xfId="0" applyNumberFormat="1" applyFont="1" applyBorder="1" applyAlignment="1">
      <alignment vertical="top"/>
    </xf>
    <xf numFmtId="0" fontId="4883" fillId="0" borderId="4883" xfId="0" applyFont="1" applyBorder="1" applyAlignment="1">
      <alignment vertical="top"/>
    </xf>
    <xf numFmtId="0" fontId="4884" fillId="0" borderId="4884" xfId="0" applyFont="1" applyBorder="1" applyAlignment="1">
      <alignment vertical="top"/>
    </xf>
    <xf numFmtId="49" fontId="4885" fillId="0" borderId="4885" xfId="0" applyNumberFormat="1" applyFont="1" applyBorder="1" applyAlignment="1">
      <alignment vertical="top"/>
    </xf>
    <xf numFmtId="0" fontId="4886" fillId="0" borderId="4886" xfId="0" applyFont="1" applyBorder="1" applyAlignment="1">
      <alignment vertical="top"/>
    </xf>
    <xf numFmtId="0" fontId="4887" fillId="0" borderId="4887" xfId="0" applyFont="1" applyBorder="1" applyAlignment="1">
      <alignment vertical="top"/>
    </xf>
    <xf numFmtId="49" fontId="4888" fillId="0" borderId="4888" xfId="0" applyNumberFormat="1" applyFont="1" applyBorder="1" applyAlignment="1">
      <alignment vertical="top"/>
    </xf>
    <xf numFmtId="0" fontId="4889" fillId="0" borderId="4889" xfId="0" applyFont="1" applyBorder="1" applyAlignment="1">
      <alignment vertical="top"/>
    </xf>
    <xf numFmtId="0" fontId="4890" fillId="0" borderId="4890" xfId="0" applyFont="1" applyBorder="1" applyAlignment="1">
      <alignment vertical="top"/>
    </xf>
    <xf numFmtId="49" fontId="4891" fillId="0" borderId="4891" xfId="0" applyNumberFormat="1" applyFont="1" applyBorder="1" applyAlignment="1">
      <alignment vertical="top"/>
    </xf>
    <xf numFmtId="0" fontId="4892" fillId="0" borderId="4892" xfId="0" applyFont="1" applyBorder="1" applyAlignment="1">
      <alignment vertical="top"/>
    </xf>
    <xf numFmtId="0" fontId="4893" fillId="0" borderId="4893" xfId="0" applyFont="1" applyBorder="1" applyAlignment="1">
      <alignment vertical="top"/>
    </xf>
    <xf numFmtId="49" fontId="4894" fillId="0" borderId="4894" xfId="0" applyNumberFormat="1" applyFont="1" applyBorder="1" applyAlignment="1">
      <alignment vertical="top"/>
    </xf>
    <xf numFmtId="0" fontId="4895" fillId="0" borderId="4895" xfId="0" applyFont="1" applyBorder="1" applyAlignment="1">
      <alignment vertical="top"/>
    </xf>
    <xf numFmtId="0" fontId="4896" fillId="0" borderId="4896" xfId="0" applyFont="1" applyBorder="1" applyAlignment="1">
      <alignment vertical="top"/>
    </xf>
    <xf numFmtId="49" fontId="4897" fillId="0" borderId="4897" xfId="0" applyNumberFormat="1" applyFont="1" applyBorder="1" applyAlignment="1">
      <alignment vertical="top"/>
    </xf>
    <xf numFmtId="0" fontId="4898" fillId="0" borderId="4898" xfId="0" applyFont="1" applyBorder="1" applyAlignment="1">
      <alignment vertical="top"/>
    </xf>
    <xf numFmtId="0" fontId="4899" fillId="0" borderId="4899" xfId="0" applyFont="1" applyBorder="1" applyAlignment="1">
      <alignment vertical="top"/>
    </xf>
    <xf numFmtId="49" fontId="4900" fillId="0" borderId="4900" xfId="0" applyNumberFormat="1" applyFont="1" applyBorder="1" applyAlignment="1">
      <alignment vertical="top"/>
    </xf>
    <xf numFmtId="0" fontId="4901" fillId="0" borderId="4901" xfId="0" applyFont="1" applyBorder="1" applyAlignment="1">
      <alignment vertical="top"/>
    </xf>
    <xf numFmtId="0" fontId="4902" fillId="0" borderId="4902" xfId="0" applyFont="1" applyBorder="1" applyAlignment="1">
      <alignment vertical="top"/>
    </xf>
    <xf numFmtId="49" fontId="4903" fillId="0" borderId="4903" xfId="0" applyNumberFormat="1" applyFont="1" applyBorder="1" applyAlignment="1">
      <alignment vertical="top"/>
    </xf>
    <xf numFmtId="0" fontId="4904" fillId="0" borderId="4904" xfId="0" applyFont="1" applyBorder="1" applyAlignment="1">
      <alignment vertical="top"/>
    </xf>
    <xf numFmtId="0" fontId="4905" fillId="0" borderId="4905" xfId="0" applyFont="1" applyBorder="1" applyAlignment="1">
      <alignment vertical="top"/>
    </xf>
    <xf numFmtId="49" fontId="4906" fillId="0" borderId="4906" xfId="0" applyNumberFormat="1" applyFont="1" applyBorder="1" applyAlignment="1">
      <alignment vertical="top"/>
    </xf>
    <xf numFmtId="0" fontId="4907" fillId="0" borderId="4907" xfId="0" applyFont="1" applyBorder="1" applyAlignment="1">
      <alignment vertical="top"/>
    </xf>
    <xf numFmtId="0" fontId="4908" fillId="0" borderId="4908" xfId="0" applyFont="1" applyBorder="1" applyAlignment="1">
      <alignment vertical="top"/>
    </xf>
    <xf numFmtId="49" fontId="4909" fillId="0" borderId="4909" xfId="0" applyNumberFormat="1" applyFont="1" applyBorder="1" applyAlignment="1">
      <alignment vertical="top"/>
    </xf>
    <xf numFmtId="0" fontId="4910" fillId="0" borderId="4910" xfId="0" applyFont="1" applyBorder="1" applyAlignment="1">
      <alignment vertical="top"/>
    </xf>
    <xf numFmtId="0" fontId="4911" fillId="0" borderId="4911" xfId="0" applyFont="1" applyBorder="1" applyAlignment="1">
      <alignment vertical="top"/>
    </xf>
    <xf numFmtId="49" fontId="4912" fillId="0" borderId="4912" xfId="0" applyNumberFormat="1" applyFont="1" applyBorder="1" applyAlignment="1">
      <alignment vertical="top"/>
    </xf>
    <xf numFmtId="0" fontId="4913" fillId="0" borderId="4913" xfId="0" applyFont="1" applyBorder="1" applyAlignment="1">
      <alignment vertical="top"/>
    </xf>
    <xf numFmtId="0" fontId="4914" fillId="0" borderId="4914" xfId="0" applyFont="1" applyBorder="1" applyAlignment="1">
      <alignment vertical="top"/>
    </xf>
    <xf numFmtId="49" fontId="4915" fillId="0" borderId="4915" xfId="0" applyNumberFormat="1" applyFont="1" applyBorder="1" applyAlignment="1">
      <alignment vertical="top"/>
    </xf>
    <xf numFmtId="0" fontId="4916" fillId="0" borderId="4916" xfId="0" applyFont="1" applyBorder="1" applyAlignment="1">
      <alignment vertical="top"/>
    </xf>
    <xf numFmtId="0" fontId="4917" fillId="0" borderId="4917" xfId="0" applyFont="1" applyBorder="1" applyAlignment="1">
      <alignment vertical="top"/>
    </xf>
    <xf numFmtId="49" fontId="4918" fillId="0" borderId="4918" xfId="0" applyNumberFormat="1" applyFont="1" applyBorder="1" applyAlignment="1">
      <alignment vertical="top"/>
    </xf>
    <xf numFmtId="0" fontId="4919" fillId="0" borderId="4919" xfId="0" applyFont="1" applyBorder="1" applyAlignment="1">
      <alignment vertical="top"/>
    </xf>
    <xf numFmtId="0" fontId="4920" fillId="0" borderId="4920" xfId="0" applyFont="1" applyBorder="1" applyAlignment="1">
      <alignment vertical="top"/>
    </xf>
    <xf numFmtId="49" fontId="4921" fillId="0" borderId="4921" xfId="0" applyNumberFormat="1" applyFont="1" applyBorder="1" applyAlignment="1">
      <alignment vertical="top"/>
    </xf>
    <xf numFmtId="0" fontId="4922" fillId="0" borderId="4922" xfId="0" applyFont="1" applyBorder="1" applyAlignment="1">
      <alignment vertical="top"/>
    </xf>
    <xf numFmtId="0" fontId="4923" fillId="0" borderId="4923" xfId="0" applyFont="1" applyBorder="1" applyAlignment="1">
      <alignment vertical="top"/>
    </xf>
    <xf numFmtId="49" fontId="4924" fillId="0" borderId="4924" xfId="0" applyNumberFormat="1" applyFont="1" applyBorder="1" applyAlignment="1">
      <alignment vertical="top"/>
    </xf>
    <xf numFmtId="0" fontId="4925" fillId="0" borderId="4925" xfId="0" applyFont="1" applyBorder="1" applyAlignment="1">
      <alignment vertical="top"/>
    </xf>
    <xf numFmtId="0" fontId="4926" fillId="0" borderId="4926" xfId="0" applyFont="1" applyBorder="1" applyAlignment="1">
      <alignment vertical="top"/>
    </xf>
    <xf numFmtId="49" fontId="4927" fillId="0" borderId="4927" xfId="0" applyNumberFormat="1" applyFont="1" applyBorder="1" applyAlignment="1">
      <alignment vertical="top"/>
    </xf>
    <xf numFmtId="0" fontId="4928" fillId="0" borderId="4928" xfId="0" applyFont="1" applyBorder="1" applyAlignment="1">
      <alignment vertical="top"/>
    </xf>
    <xf numFmtId="0" fontId="4929" fillId="0" borderId="4929" xfId="0" applyFont="1" applyBorder="1" applyAlignment="1">
      <alignment vertical="top"/>
    </xf>
    <xf numFmtId="49" fontId="4930" fillId="0" borderId="4930" xfId="0" applyNumberFormat="1" applyFont="1" applyBorder="1" applyAlignment="1">
      <alignment vertical="top"/>
    </xf>
    <xf numFmtId="0" fontId="4931" fillId="0" borderId="4931" xfId="0" applyFont="1" applyBorder="1" applyAlignment="1">
      <alignment vertical="top"/>
    </xf>
    <xf numFmtId="0" fontId="4932" fillId="0" borderId="4932" xfId="0" applyFont="1" applyBorder="1" applyAlignment="1">
      <alignment vertical="top"/>
    </xf>
    <xf numFmtId="49" fontId="4933" fillId="0" borderId="4933" xfId="0" applyNumberFormat="1" applyFont="1" applyBorder="1" applyAlignment="1">
      <alignment vertical="top"/>
    </xf>
    <xf numFmtId="0" fontId="4934" fillId="0" borderId="4934" xfId="0" applyFont="1" applyBorder="1" applyAlignment="1">
      <alignment vertical="top"/>
    </xf>
    <xf numFmtId="0" fontId="4935" fillId="0" borderId="4935" xfId="0" applyFont="1" applyBorder="1" applyAlignment="1">
      <alignment vertical="top"/>
    </xf>
    <xf numFmtId="49" fontId="4936" fillId="0" borderId="4936" xfId="0" applyNumberFormat="1" applyFont="1" applyBorder="1" applyAlignment="1">
      <alignment vertical="top"/>
    </xf>
    <xf numFmtId="0" fontId="4937" fillId="0" borderId="4937" xfId="0" applyFont="1" applyBorder="1" applyAlignment="1">
      <alignment vertical="top"/>
    </xf>
    <xf numFmtId="0" fontId="4938" fillId="0" borderId="4938" xfId="0" applyFont="1" applyBorder="1" applyAlignment="1">
      <alignment vertical="top"/>
    </xf>
    <xf numFmtId="49" fontId="4939" fillId="0" borderId="4939" xfId="0" applyNumberFormat="1" applyFont="1" applyBorder="1" applyAlignment="1">
      <alignment vertical="top"/>
    </xf>
    <xf numFmtId="0" fontId="4940" fillId="0" borderId="4940" xfId="0" applyFont="1" applyBorder="1" applyAlignment="1">
      <alignment vertical="top"/>
    </xf>
    <xf numFmtId="0" fontId="4941" fillId="0" borderId="4941" xfId="0" applyFont="1" applyBorder="1" applyAlignment="1">
      <alignment vertical="top"/>
    </xf>
    <xf numFmtId="49" fontId="4942" fillId="0" borderId="4942" xfId="0" applyNumberFormat="1" applyFont="1" applyBorder="1" applyAlignment="1">
      <alignment vertical="top"/>
    </xf>
    <xf numFmtId="0" fontId="4943" fillId="0" borderId="4943" xfId="0" applyFont="1" applyBorder="1" applyAlignment="1">
      <alignment vertical="top"/>
    </xf>
    <xf numFmtId="0" fontId="4944" fillId="0" borderId="4944" xfId="0" applyFont="1" applyBorder="1" applyAlignment="1">
      <alignment vertical="top"/>
    </xf>
    <xf numFmtId="49" fontId="4945" fillId="0" borderId="4945" xfId="0" applyNumberFormat="1" applyFont="1" applyBorder="1" applyAlignment="1">
      <alignment vertical="top"/>
    </xf>
    <xf numFmtId="0" fontId="4946" fillId="0" borderId="4946" xfId="0" applyFont="1" applyBorder="1" applyAlignment="1">
      <alignment vertical="top"/>
    </xf>
    <xf numFmtId="0" fontId="4947" fillId="0" borderId="4947" xfId="0" applyFont="1" applyBorder="1" applyAlignment="1">
      <alignment vertical="top"/>
    </xf>
    <xf numFmtId="49" fontId="4948" fillId="0" borderId="4948" xfId="0" applyNumberFormat="1" applyFont="1" applyBorder="1" applyAlignment="1">
      <alignment vertical="top"/>
    </xf>
    <xf numFmtId="0" fontId="4949" fillId="0" borderId="4949" xfId="0" applyFont="1" applyBorder="1" applyAlignment="1">
      <alignment vertical="top"/>
    </xf>
    <xf numFmtId="0" fontId="4950" fillId="0" borderId="4950" xfId="0" applyFont="1" applyBorder="1" applyAlignment="1">
      <alignment vertical="top"/>
    </xf>
    <xf numFmtId="49" fontId="4951" fillId="0" borderId="4951" xfId="0" applyNumberFormat="1" applyFont="1" applyBorder="1" applyAlignment="1">
      <alignment vertical="top"/>
    </xf>
    <xf numFmtId="0" fontId="4952" fillId="0" borderId="4952" xfId="0" applyFont="1" applyBorder="1" applyAlignment="1">
      <alignment vertical="top"/>
    </xf>
    <xf numFmtId="0" fontId="4953" fillId="0" borderId="4953" xfId="0" applyFont="1" applyBorder="1" applyAlignment="1">
      <alignment vertical="top"/>
    </xf>
    <xf numFmtId="49" fontId="4954" fillId="0" borderId="4954" xfId="0" applyNumberFormat="1" applyFont="1" applyBorder="1" applyAlignment="1">
      <alignment vertical="top"/>
    </xf>
    <xf numFmtId="0" fontId="4955" fillId="0" borderId="4955" xfId="0" applyFont="1" applyBorder="1" applyAlignment="1">
      <alignment vertical="top"/>
    </xf>
    <xf numFmtId="0" fontId="4956" fillId="0" borderId="4956" xfId="0" applyFont="1" applyBorder="1" applyAlignment="1">
      <alignment vertical="top"/>
    </xf>
    <xf numFmtId="49" fontId="4957" fillId="0" borderId="4957" xfId="0" applyNumberFormat="1" applyFont="1" applyBorder="1" applyAlignment="1">
      <alignment vertical="top"/>
    </xf>
    <xf numFmtId="0" fontId="4958" fillId="0" borderId="4958" xfId="0" applyFont="1" applyBorder="1" applyAlignment="1">
      <alignment vertical="top"/>
    </xf>
    <xf numFmtId="0" fontId="4959" fillId="0" borderId="4959" xfId="0" applyFont="1" applyBorder="1" applyAlignment="1">
      <alignment vertical="top"/>
    </xf>
    <xf numFmtId="49" fontId="4960" fillId="0" borderId="4960" xfId="0" applyNumberFormat="1" applyFont="1" applyBorder="1" applyAlignment="1">
      <alignment vertical="top"/>
    </xf>
    <xf numFmtId="0" fontId="4961" fillId="0" borderId="4961" xfId="0" applyFont="1" applyBorder="1" applyAlignment="1">
      <alignment vertical="top"/>
    </xf>
    <xf numFmtId="0" fontId="4962" fillId="0" borderId="4962" xfId="0" applyFont="1" applyBorder="1" applyAlignment="1">
      <alignment vertical="top"/>
    </xf>
    <xf numFmtId="49" fontId="4963" fillId="0" borderId="4963" xfId="0" applyNumberFormat="1" applyFont="1" applyBorder="1" applyAlignment="1">
      <alignment vertical="top"/>
    </xf>
    <xf numFmtId="0" fontId="4964" fillId="0" borderId="4964" xfId="0" applyFont="1" applyBorder="1" applyAlignment="1">
      <alignment vertical="top"/>
    </xf>
    <xf numFmtId="0" fontId="4965" fillId="0" borderId="4965" xfId="0" applyFont="1" applyBorder="1" applyAlignment="1">
      <alignment vertical="top"/>
    </xf>
    <xf numFmtId="49" fontId="4966" fillId="0" borderId="4966" xfId="0" applyNumberFormat="1" applyFont="1" applyBorder="1" applyAlignment="1">
      <alignment vertical="top"/>
    </xf>
    <xf numFmtId="0" fontId="4967" fillId="0" borderId="4967" xfId="0" applyFont="1" applyBorder="1" applyAlignment="1">
      <alignment vertical="top"/>
    </xf>
    <xf numFmtId="0" fontId="4968" fillId="0" borderId="4968" xfId="0" applyFont="1" applyBorder="1" applyAlignment="1">
      <alignment vertical="top"/>
    </xf>
    <xf numFmtId="49" fontId="4969" fillId="0" borderId="4969" xfId="0" applyNumberFormat="1" applyFont="1" applyBorder="1" applyAlignment="1">
      <alignment vertical="top"/>
    </xf>
    <xf numFmtId="0" fontId="4970" fillId="0" borderId="4970" xfId="0" applyFont="1" applyBorder="1" applyAlignment="1">
      <alignment vertical="top"/>
    </xf>
    <xf numFmtId="0" fontId="4971" fillId="0" borderId="4971" xfId="0" applyFont="1" applyBorder="1" applyAlignment="1">
      <alignment vertical="top"/>
    </xf>
    <xf numFmtId="49" fontId="4972" fillId="0" borderId="4972" xfId="0" applyNumberFormat="1" applyFont="1" applyBorder="1" applyAlignment="1">
      <alignment vertical="top"/>
    </xf>
    <xf numFmtId="0" fontId="4973" fillId="0" borderId="4973" xfId="0" applyFont="1" applyBorder="1" applyAlignment="1">
      <alignment vertical="top"/>
    </xf>
    <xf numFmtId="0" fontId="4974" fillId="0" borderId="4974" xfId="0" applyFont="1" applyBorder="1" applyAlignment="1">
      <alignment vertical="top"/>
    </xf>
    <xf numFmtId="49" fontId="4975" fillId="0" borderId="4975" xfId="0" applyNumberFormat="1" applyFont="1" applyBorder="1" applyAlignment="1">
      <alignment vertical="top"/>
    </xf>
    <xf numFmtId="0" fontId="4976" fillId="0" borderId="4976" xfId="0" applyFont="1" applyBorder="1" applyAlignment="1">
      <alignment vertical="top"/>
    </xf>
    <xf numFmtId="0" fontId="4977" fillId="0" borderId="4977" xfId="0" applyFont="1" applyBorder="1" applyAlignment="1">
      <alignment vertical="top"/>
    </xf>
    <xf numFmtId="49" fontId="4978" fillId="0" borderId="4978" xfId="0" applyNumberFormat="1" applyFont="1" applyBorder="1" applyAlignment="1">
      <alignment vertical="top"/>
    </xf>
    <xf numFmtId="0" fontId="4979" fillId="0" borderId="4979" xfId="0" applyFont="1" applyBorder="1" applyAlignment="1">
      <alignment vertical="top"/>
    </xf>
    <xf numFmtId="0" fontId="4980" fillId="0" borderId="4980" xfId="0" applyFont="1" applyBorder="1" applyAlignment="1">
      <alignment vertical="top"/>
    </xf>
    <xf numFmtId="49" fontId="4981" fillId="0" borderId="4981" xfId="0" applyNumberFormat="1" applyFont="1" applyBorder="1" applyAlignment="1">
      <alignment vertical="top"/>
    </xf>
    <xf numFmtId="0" fontId="4982" fillId="0" borderId="4982" xfId="0" applyFont="1" applyBorder="1" applyAlignment="1">
      <alignment vertical="top"/>
    </xf>
    <xf numFmtId="0" fontId="4983" fillId="0" borderId="4983" xfId="0" applyFont="1" applyBorder="1" applyAlignment="1">
      <alignment vertical="top"/>
    </xf>
    <xf numFmtId="49" fontId="4984" fillId="0" borderId="4984" xfId="0" applyNumberFormat="1" applyFont="1" applyBorder="1" applyAlignment="1">
      <alignment vertical="top"/>
    </xf>
    <xf numFmtId="0" fontId="4985" fillId="0" borderId="4985" xfId="0" applyFont="1" applyBorder="1" applyAlignment="1">
      <alignment vertical="top"/>
    </xf>
    <xf numFmtId="0" fontId="4986" fillId="0" borderId="4986" xfId="0" applyFont="1" applyBorder="1" applyAlignment="1">
      <alignment vertical="top"/>
    </xf>
    <xf numFmtId="49" fontId="4987" fillId="0" borderId="4987" xfId="0" applyNumberFormat="1" applyFont="1" applyBorder="1" applyAlignment="1">
      <alignment vertical="top"/>
    </xf>
    <xf numFmtId="0" fontId="4988" fillId="0" borderId="4988" xfId="0" applyFont="1" applyBorder="1" applyAlignment="1">
      <alignment vertical="top"/>
    </xf>
    <xf numFmtId="0" fontId="4989" fillId="0" borderId="4989" xfId="0" applyFont="1" applyBorder="1" applyAlignment="1">
      <alignment vertical="top"/>
    </xf>
    <xf numFmtId="49" fontId="4990" fillId="0" borderId="4990" xfId="0" applyNumberFormat="1" applyFont="1" applyBorder="1" applyAlignment="1">
      <alignment vertical="top"/>
    </xf>
    <xf numFmtId="0" fontId="4991" fillId="0" borderId="4991" xfId="0" applyFont="1" applyBorder="1" applyAlignment="1">
      <alignment vertical="top"/>
    </xf>
    <xf numFmtId="0" fontId="4992" fillId="0" borderId="4992" xfId="0" applyFont="1" applyBorder="1" applyAlignment="1">
      <alignment vertical="top"/>
    </xf>
    <xf numFmtId="49" fontId="4993" fillId="0" borderId="4993" xfId="0" applyNumberFormat="1" applyFont="1" applyBorder="1" applyAlignment="1">
      <alignment vertical="top"/>
    </xf>
    <xf numFmtId="0" fontId="4994" fillId="0" borderId="4994" xfId="0" applyFont="1" applyBorder="1" applyAlignment="1">
      <alignment vertical="top"/>
    </xf>
    <xf numFmtId="0" fontId="4995" fillId="0" borderId="4995" xfId="0" applyFont="1" applyBorder="1" applyAlignment="1">
      <alignment vertical="top"/>
    </xf>
    <xf numFmtId="49" fontId="4996" fillId="0" borderId="4996" xfId="0" applyNumberFormat="1" applyFont="1" applyBorder="1" applyAlignment="1">
      <alignment vertical="top"/>
    </xf>
    <xf numFmtId="0" fontId="4997" fillId="0" borderId="4997" xfId="0" applyFont="1" applyBorder="1" applyAlignment="1">
      <alignment vertical="top"/>
    </xf>
    <xf numFmtId="0" fontId="4998" fillId="0" borderId="4998" xfId="0" applyFont="1" applyBorder="1" applyAlignment="1">
      <alignment vertical="top"/>
    </xf>
    <xf numFmtId="49" fontId="4999" fillId="0" borderId="4999" xfId="0" applyNumberFormat="1" applyFont="1" applyBorder="1" applyAlignment="1">
      <alignment vertical="top"/>
    </xf>
    <xf numFmtId="0" fontId="5000" fillId="0" borderId="5000" xfId="0" applyFont="1" applyBorder="1" applyAlignment="1">
      <alignment vertical="top"/>
    </xf>
    <xf numFmtId="0" fontId="5001" fillId="0" borderId="5001" xfId="0" applyFont="1" applyBorder="1" applyAlignment="1">
      <alignment vertical="top"/>
    </xf>
    <xf numFmtId="49" fontId="5002" fillId="0" borderId="5002" xfId="0" applyNumberFormat="1" applyFont="1" applyBorder="1" applyAlignment="1">
      <alignment vertical="top"/>
    </xf>
    <xf numFmtId="0" fontId="5003" fillId="0" borderId="5003" xfId="0" applyFont="1" applyBorder="1" applyAlignment="1">
      <alignment vertical="top"/>
    </xf>
    <xf numFmtId="0" fontId="5004" fillId="0" borderId="5004" xfId="0" applyFont="1" applyBorder="1" applyAlignment="1">
      <alignment vertical="top"/>
    </xf>
    <xf numFmtId="49" fontId="5005" fillId="0" borderId="5005" xfId="0" applyNumberFormat="1" applyFont="1" applyBorder="1" applyAlignment="1">
      <alignment vertical="top"/>
    </xf>
    <xf numFmtId="0" fontId="5006" fillId="0" borderId="5006" xfId="0" applyFont="1" applyBorder="1" applyAlignment="1">
      <alignment vertical="top"/>
    </xf>
    <xf numFmtId="0" fontId="5007" fillId="0" borderId="5007" xfId="0" applyFont="1" applyBorder="1" applyAlignment="1">
      <alignment vertical="top"/>
    </xf>
    <xf numFmtId="49" fontId="5008" fillId="0" borderId="5008" xfId="0" applyNumberFormat="1" applyFont="1" applyBorder="1" applyAlignment="1">
      <alignment vertical="top"/>
    </xf>
    <xf numFmtId="0" fontId="5009" fillId="0" borderId="5009" xfId="0" applyFont="1" applyBorder="1" applyAlignment="1">
      <alignment vertical="top"/>
    </xf>
    <xf numFmtId="0" fontId="5010" fillId="0" borderId="5010" xfId="0" applyFont="1" applyBorder="1" applyAlignment="1">
      <alignment vertical="top"/>
    </xf>
    <xf numFmtId="49" fontId="5011" fillId="0" borderId="5011" xfId="0" applyNumberFormat="1" applyFont="1" applyBorder="1" applyAlignment="1">
      <alignment vertical="top"/>
    </xf>
    <xf numFmtId="0" fontId="5012" fillId="0" borderId="5012" xfId="0" applyFont="1" applyBorder="1" applyAlignment="1">
      <alignment vertical="top"/>
    </xf>
    <xf numFmtId="0" fontId="5013" fillId="0" borderId="5013" xfId="0" applyFont="1" applyBorder="1" applyAlignment="1">
      <alignment vertical="top"/>
    </xf>
    <xf numFmtId="49" fontId="5014" fillId="0" borderId="5014" xfId="0" applyNumberFormat="1" applyFont="1" applyBorder="1" applyAlignment="1">
      <alignment vertical="top"/>
    </xf>
    <xf numFmtId="0" fontId="5015" fillId="0" borderId="5015" xfId="0" applyFont="1" applyBorder="1" applyAlignment="1">
      <alignment vertical="top"/>
    </xf>
    <xf numFmtId="0" fontId="5016" fillId="0" borderId="5016" xfId="0" applyFont="1" applyBorder="1" applyAlignment="1">
      <alignment vertical="top"/>
    </xf>
    <xf numFmtId="49" fontId="5017" fillId="0" borderId="5017" xfId="0" applyNumberFormat="1" applyFont="1" applyBorder="1" applyAlignment="1">
      <alignment vertical="top"/>
    </xf>
    <xf numFmtId="0" fontId="5018" fillId="0" borderId="5018" xfId="0" applyFont="1" applyBorder="1" applyAlignment="1">
      <alignment vertical="top"/>
    </xf>
    <xf numFmtId="0" fontId="5019" fillId="0" borderId="5019" xfId="0" applyFont="1" applyBorder="1" applyAlignment="1">
      <alignment vertical="top"/>
    </xf>
    <xf numFmtId="49" fontId="5020" fillId="0" borderId="5020" xfId="0" applyNumberFormat="1" applyFont="1" applyBorder="1" applyAlignment="1">
      <alignment vertical="top"/>
    </xf>
    <xf numFmtId="0" fontId="5021" fillId="0" borderId="5021" xfId="0" applyFont="1" applyBorder="1" applyAlignment="1">
      <alignment vertical="top"/>
    </xf>
    <xf numFmtId="0" fontId="5022" fillId="0" borderId="5022" xfId="0" applyFont="1" applyBorder="1" applyAlignment="1">
      <alignment vertical="top"/>
    </xf>
    <xf numFmtId="49" fontId="5023" fillId="0" borderId="5023" xfId="0" applyNumberFormat="1" applyFont="1" applyBorder="1" applyAlignment="1">
      <alignment vertical="top"/>
    </xf>
    <xf numFmtId="0" fontId="5024" fillId="0" borderId="5024" xfId="0" applyFont="1" applyBorder="1" applyAlignment="1">
      <alignment vertical="top"/>
    </xf>
    <xf numFmtId="0" fontId="5025" fillId="0" borderId="5025" xfId="0" applyFont="1" applyBorder="1" applyAlignment="1">
      <alignment vertical="top"/>
    </xf>
    <xf numFmtId="49" fontId="5026" fillId="0" borderId="5026" xfId="0" applyNumberFormat="1" applyFont="1" applyBorder="1" applyAlignment="1">
      <alignment vertical="top"/>
    </xf>
    <xf numFmtId="0" fontId="5027" fillId="0" borderId="5027" xfId="0" applyFont="1" applyBorder="1" applyAlignment="1">
      <alignment vertical="top"/>
    </xf>
    <xf numFmtId="0" fontId="5028" fillId="0" borderId="5028" xfId="0" applyFont="1" applyBorder="1" applyAlignment="1">
      <alignment vertical="top"/>
    </xf>
    <xf numFmtId="49" fontId="5029" fillId="0" borderId="5029" xfId="0" applyNumberFormat="1" applyFont="1" applyBorder="1" applyAlignment="1">
      <alignment vertical="top"/>
    </xf>
    <xf numFmtId="0" fontId="5030" fillId="0" borderId="5030" xfId="0" applyFont="1" applyBorder="1" applyAlignment="1">
      <alignment vertical="top"/>
    </xf>
    <xf numFmtId="0" fontId="5031" fillId="0" borderId="5031" xfId="0" applyFont="1" applyBorder="1" applyAlignment="1">
      <alignment vertical="top"/>
    </xf>
    <xf numFmtId="49" fontId="5032" fillId="0" borderId="5032" xfId="0" applyNumberFormat="1" applyFont="1" applyBorder="1" applyAlignment="1">
      <alignment vertical="top"/>
    </xf>
    <xf numFmtId="0" fontId="5033" fillId="0" borderId="5033" xfId="0" applyFont="1" applyBorder="1" applyAlignment="1">
      <alignment vertical="top"/>
    </xf>
    <xf numFmtId="0" fontId="5034" fillId="0" borderId="5034" xfId="0" applyFont="1" applyBorder="1" applyAlignment="1">
      <alignment vertical="top"/>
    </xf>
    <xf numFmtId="49" fontId="5035" fillId="0" borderId="5035" xfId="0" applyNumberFormat="1" applyFont="1" applyBorder="1" applyAlignment="1">
      <alignment vertical="top"/>
    </xf>
    <xf numFmtId="0" fontId="5036" fillId="0" borderId="5036" xfId="0" applyFont="1" applyBorder="1" applyAlignment="1">
      <alignment vertical="top"/>
    </xf>
    <xf numFmtId="0" fontId="5037" fillId="0" borderId="5037" xfId="0" applyFont="1" applyBorder="1" applyAlignment="1">
      <alignment vertical="top"/>
    </xf>
    <xf numFmtId="49" fontId="5038" fillId="0" borderId="5038" xfId="0" applyNumberFormat="1" applyFont="1" applyBorder="1" applyAlignment="1">
      <alignment vertical="top"/>
    </xf>
    <xf numFmtId="0" fontId="5039" fillId="0" borderId="5039" xfId="0" applyFont="1" applyBorder="1" applyAlignment="1">
      <alignment vertical="top"/>
    </xf>
    <xf numFmtId="0" fontId="5040" fillId="0" borderId="5040" xfId="0" applyFont="1" applyBorder="1" applyAlignment="1">
      <alignment vertical="top"/>
    </xf>
    <xf numFmtId="49" fontId="5041" fillId="0" borderId="5041" xfId="0" applyNumberFormat="1" applyFont="1" applyBorder="1" applyAlignment="1">
      <alignment vertical="top"/>
    </xf>
    <xf numFmtId="0" fontId="5042" fillId="0" borderId="5042" xfId="0" applyFont="1" applyBorder="1" applyAlignment="1">
      <alignment vertical="top"/>
    </xf>
    <xf numFmtId="0" fontId="5043" fillId="0" borderId="5043" xfId="0" applyFont="1" applyBorder="1" applyAlignment="1">
      <alignment vertical="top"/>
    </xf>
    <xf numFmtId="49" fontId="5044" fillId="0" borderId="5044" xfId="0" applyNumberFormat="1" applyFont="1" applyBorder="1" applyAlignment="1">
      <alignment vertical="top"/>
    </xf>
    <xf numFmtId="0" fontId="5045" fillId="0" borderId="5045" xfId="0" applyFont="1" applyBorder="1" applyAlignment="1">
      <alignment vertical="top"/>
    </xf>
    <xf numFmtId="0" fontId="5046" fillId="0" borderId="5046" xfId="0" applyFont="1" applyBorder="1" applyAlignment="1">
      <alignment vertical="top"/>
    </xf>
    <xf numFmtId="49" fontId="5047" fillId="0" borderId="5047" xfId="0" applyNumberFormat="1" applyFont="1" applyBorder="1" applyAlignment="1">
      <alignment vertical="top"/>
    </xf>
    <xf numFmtId="0" fontId="5048" fillId="0" borderId="5048" xfId="0" applyFont="1" applyBorder="1" applyAlignment="1">
      <alignment vertical="top"/>
    </xf>
    <xf numFmtId="0" fontId="5049" fillId="0" borderId="5049" xfId="0" applyFont="1" applyBorder="1" applyAlignment="1">
      <alignment vertical="top"/>
    </xf>
    <xf numFmtId="49" fontId="5050" fillId="0" borderId="5050" xfId="0" applyNumberFormat="1" applyFont="1" applyBorder="1" applyAlignment="1">
      <alignment vertical="top"/>
    </xf>
    <xf numFmtId="0" fontId="5051" fillId="0" borderId="5051" xfId="0" applyFont="1" applyBorder="1" applyAlignment="1">
      <alignment vertical="top"/>
    </xf>
    <xf numFmtId="0" fontId="5052" fillId="0" borderId="5052" xfId="0" applyFont="1" applyBorder="1" applyAlignment="1">
      <alignment vertical="top"/>
    </xf>
    <xf numFmtId="49" fontId="5053" fillId="0" borderId="5053" xfId="0" applyNumberFormat="1" applyFont="1" applyBorder="1" applyAlignment="1">
      <alignment vertical="top"/>
    </xf>
    <xf numFmtId="0" fontId="5054" fillId="0" borderId="5054" xfId="0" applyFont="1" applyBorder="1" applyAlignment="1">
      <alignment vertical="top"/>
    </xf>
    <xf numFmtId="0" fontId="5055" fillId="0" borderId="5055" xfId="0" applyFont="1" applyBorder="1" applyAlignment="1">
      <alignment vertical="top"/>
    </xf>
    <xf numFmtId="49" fontId="5056" fillId="0" borderId="5056" xfId="0" applyNumberFormat="1" applyFont="1" applyBorder="1" applyAlignment="1">
      <alignment vertical="top"/>
    </xf>
    <xf numFmtId="0" fontId="5057" fillId="0" borderId="5057" xfId="0" applyFont="1" applyBorder="1" applyAlignment="1">
      <alignment vertical="top"/>
    </xf>
    <xf numFmtId="0" fontId="5058" fillId="0" borderId="5058" xfId="0" applyFont="1" applyBorder="1" applyAlignment="1">
      <alignment vertical="top"/>
    </xf>
    <xf numFmtId="49" fontId="5059" fillId="0" borderId="5059" xfId="0" applyNumberFormat="1" applyFont="1" applyBorder="1" applyAlignment="1">
      <alignment vertical="top"/>
    </xf>
    <xf numFmtId="0" fontId="5060" fillId="0" borderId="5060" xfId="0" applyFont="1" applyBorder="1" applyAlignment="1">
      <alignment vertical="top"/>
    </xf>
    <xf numFmtId="0" fontId="5061" fillId="0" borderId="5061" xfId="0" applyFont="1" applyBorder="1" applyAlignment="1">
      <alignment vertical="top"/>
    </xf>
    <xf numFmtId="49" fontId="5062" fillId="0" borderId="5062" xfId="0" applyNumberFormat="1" applyFont="1" applyBorder="1" applyAlignment="1">
      <alignment vertical="top"/>
    </xf>
    <xf numFmtId="0" fontId="5063" fillId="0" borderId="5063" xfId="0" applyFont="1" applyBorder="1" applyAlignment="1">
      <alignment vertical="top"/>
    </xf>
    <xf numFmtId="0" fontId="5064" fillId="0" borderId="5064" xfId="0" applyFont="1" applyBorder="1" applyAlignment="1">
      <alignment vertical="top"/>
    </xf>
    <xf numFmtId="49" fontId="5065" fillId="0" borderId="5065" xfId="0" applyNumberFormat="1" applyFont="1" applyBorder="1" applyAlignment="1">
      <alignment vertical="top"/>
    </xf>
    <xf numFmtId="0" fontId="5066" fillId="0" borderId="5066" xfId="0" applyFont="1" applyBorder="1" applyAlignment="1">
      <alignment vertical="top"/>
    </xf>
    <xf numFmtId="0" fontId="5067" fillId="0" borderId="5067" xfId="0" applyFont="1" applyBorder="1" applyAlignment="1">
      <alignment vertical="top"/>
    </xf>
    <xf numFmtId="49" fontId="5068" fillId="0" borderId="5068" xfId="0" applyNumberFormat="1" applyFont="1" applyBorder="1" applyAlignment="1">
      <alignment vertical="top"/>
    </xf>
    <xf numFmtId="0" fontId="5069" fillId="0" borderId="5069" xfId="0" applyFont="1" applyBorder="1" applyAlignment="1">
      <alignment vertical="top"/>
    </xf>
    <xf numFmtId="0" fontId="5070" fillId="0" borderId="5070" xfId="0" applyFont="1" applyBorder="1" applyAlignment="1">
      <alignment vertical="top"/>
    </xf>
    <xf numFmtId="49" fontId="5071" fillId="0" borderId="5071" xfId="0" applyNumberFormat="1" applyFont="1" applyBorder="1" applyAlignment="1">
      <alignment vertical="top"/>
    </xf>
    <xf numFmtId="0" fontId="5072" fillId="0" borderId="5072" xfId="0" applyFont="1" applyBorder="1" applyAlignment="1">
      <alignment vertical="top"/>
    </xf>
    <xf numFmtId="0" fontId="5073" fillId="0" borderId="5073" xfId="0" applyFont="1" applyBorder="1" applyAlignment="1">
      <alignment vertical="top"/>
    </xf>
    <xf numFmtId="49" fontId="5074" fillId="0" borderId="5074" xfId="0" applyNumberFormat="1" applyFont="1" applyBorder="1" applyAlignment="1">
      <alignment vertical="top"/>
    </xf>
    <xf numFmtId="0" fontId="5075" fillId="0" borderId="5075" xfId="0" applyFont="1" applyBorder="1" applyAlignment="1">
      <alignment vertical="top"/>
    </xf>
    <xf numFmtId="0" fontId="5076" fillId="0" borderId="5076" xfId="0" applyFont="1" applyBorder="1" applyAlignment="1">
      <alignment vertical="top"/>
    </xf>
    <xf numFmtId="49" fontId="5077" fillId="0" borderId="5077" xfId="0" applyNumberFormat="1" applyFont="1" applyBorder="1" applyAlignment="1">
      <alignment vertical="top"/>
    </xf>
    <xf numFmtId="0" fontId="5078" fillId="0" borderId="5078" xfId="0" applyFont="1" applyBorder="1" applyAlignment="1">
      <alignment vertical="top"/>
    </xf>
    <xf numFmtId="0" fontId="5079" fillId="0" borderId="5079" xfId="0" applyFont="1" applyBorder="1" applyAlignment="1">
      <alignment vertical="top"/>
    </xf>
    <xf numFmtId="49" fontId="5080" fillId="0" borderId="5080" xfId="0" applyNumberFormat="1" applyFont="1" applyBorder="1" applyAlignment="1">
      <alignment vertical="top"/>
    </xf>
    <xf numFmtId="0" fontId="5081" fillId="0" borderId="5081" xfId="0" applyFont="1" applyBorder="1" applyAlignment="1">
      <alignment vertical="top"/>
    </xf>
    <xf numFmtId="0" fontId="5082" fillId="0" borderId="5082" xfId="0" applyFont="1" applyBorder="1" applyAlignment="1">
      <alignment vertical="top"/>
    </xf>
    <xf numFmtId="49" fontId="5083" fillId="0" borderId="5083" xfId="0" applyNumberFormat="1" applyFont="1" applyBorder="1" applyAlignment="1">
      <alignment vertical="top"/>
    </xf>
    <xf numFmtId="0" fontId="5084" fillId="0" borderId="5084" xfId="0" applyFont="1" applyBorder="1" applyAlignment="1">
      <alignment vertical="top"/>
    </xf>
    <xf numFmtId="0" fontId="5085" fillId="0" borderId="5085" xfId="0" applyFont="1" applyBorder="1" applyAlignment="1">
      <alignment vertical="top"/>
    </xf>
    <xf numFmtId="49" fontId="5086" fillId="0" borderId="5086" xfId="0" applyNumberFormat="1" applyFont="1" applyBorder="1" applyAlignment="1">
      <alignment vertical="top"/>
    </xf>
    <xf numFmtId="0" fontId="5087" fillId="0" borderId="5087" xfId="0" applyFont="1" applyBorder="1" applyAlignment="1">
      <alignment vertical="top"/>
    </xf>
    <xf numFmtId="0" fontId="5088" fillId="0" borderId="5088" xfId="0" applyFont="1" applyBorder="1" applyAlignment="1">
      <alignment vertical="top"/>
    </xf>
    <xf numFmtId="49" fontId="5089" fillId="0" borderId="5089" xfId="0" applyNumberFormat="1" applyFont="1" applyBorder="1" applyAlignment="1">
      <alignment vertical="top"/>
    </xf>
    <xf numFmtId="0" fontId="5090" fillId="0" borderId="5090" xfId="0" applyFont="1" applyBorder="1" applyAlignment="1">
      <alignment vertical="top"/>
    </xf>
    <xf numFmtId="0" fontId="5091" fillId="0" borderId="5091" xfId="0" applyFont="1" applyBorder="1" applyAlignment="1">
      <alignment vertical="top"/>
    </xf>
    <xf numFmtId="49" fontId="5092" fillId="0" borderId="5092" xfId="0" applyNumberFormat="1" applyFont="1" applyBorder="1" applyAlignment="1">
      <alignment vertical="top"/>
    </xf>
    <xf numFmtId="0" fontId="5093" fillId="0" borderId="5093" xfId="0" applyFont="1" applyBorder="1" applyAlignment="1">
      <alignment vertical="top"/>
    </xf>
    <xf numFmtId="0" fontId="5094" fillId="0" borderId="5094" xfId="0" applyFont="1" applyBorder="1" applyAlignment="1">
      <alignment vertical="top"/>
    </xf>
    <xf numFmtId="49" fontId="5095" fillId="0" borderId="5095" xfId="0" applyNumberFormat="1" applyFont="1" applyBorder="1" applyAlignment="1">
      <alignment vertical="top"/>
    </xf>
    <xf numFmtId="0" fontId="5096" fillId="0" borderId="5096" xfId="0" applyFont="1" applyBorder="1" applyAlignment="1">
      <alignment vertical="top"/>
    </xf>
    <xf numFmtId="0" fontId="5097" fillId="0" borderId="5097" xfId="0" applyFont="1" applyBorder="1" applyAlignment="1">
      <alignment vertical="top"/>
    </xf>
    <xf numFmtId="49" fontId="5098" fillId="0" borderId="5098" xfId="0" applyNumberFormat="1" applyFont="1" applyBorder="1" applyAlignment="1">
      <alignment vertical="top"/>
    </xf>
    <xf numFmtId="0" fontId="5099" fillId="0" borderId="5099" xfId="0" applyFont="1" applyBorder="1" applyAlignment="1">
      <alignment vertical="top"/>
    </xf>
    <xf numFmtId="0" fontId="5100" fillId="0" borderId="5100" xfId="0" applyFont="1" applyBorder="1" applyAlignment="1">
      <alignment vertical="top"/>
    </xf>
    <xf numFmtId="49" fontId="5101" fillId="0" borderId="5101" xfId="0" applyNumberFormat="1" applyFont="1" applyBorder="1" applyAlignment="1">
      <alignment vertical="top"/>
    </xf>
    <xf numFmtId="0" fontId="5102" fillId="0" borderId="5102" xfId="0" applyFont="1" applyBorder="1" applyAlignment="1">
      <alignment vertical="top"/>
    </xf>
    <xf numFmtId="0" fontId="5103" fillId="0" borderId="5103" xfId="0" applyFont="1" applyBorder="1" applyAlignment="1">
      <alignment vertical="top"/>
    </xf>
    <xf numFmtId="49" fontId="5104" fillId="0" borderId="5104" xfId="0" applyNumberFormat="1" applyFont="1" applyBorder="1" applyAlignment="1">
      <alignment vertical="top"/>
    </xf>
    <xf numFmtId="0" fontId="5105" fillId="0" borderId="5105" xfId="0" applyFont="1" applyBorder="1" applyAlignment="1">
      <alignment vertical="top"/>
    </xf>
    <xf numFmtId="0" fontId="5106" fillId="0" borderId="5106" xfId="0" applyFont="1" applyBorder="1" applyAlignment="1">
      <alignment vertical="top"/>
    </xf>
    <xf numFmtId="49" fontId="5107" fillId="0" borderId="5107" xfId="0" applyNumberFormat="1" applyFont="1" applyBorder="1" applyAlignment="1">
      <alignment vertical="top"/>
    </xf>
    <xf numFmtId="0" fontId="5108" fillId="0" borderId="5108" xfId="0" applyFont="1" applyBorder="1" applyAlignment="1">
      <alignment vertical="top"/>
    </xf>
    <xf numFmtId="0" fontId="5109" fillId="0" borderId="5109" xfId="0" applyFont="1" applyBorder="1" applyAlignment="1">
      <alignment vertical="top"/>
    </xf>
    <xf numFmtId="49" fontId="5110" fillId="0" borderId="5110" xfId="0" applyNumberFormat="1" applyFont="1" applyBorder="1" applyAlignment="1">
      <alignment vertical="top"/>
    </xf>
    <xf numFmtId="0" fontId="5111" fillId="0" borderId="5111" xfId="0" applyFont="1" applyBorder="1" applyAlignment="1">
      <alignment vertical="top"/>
    </xf>
    <xf numFmtId="0" fontId="5112" fillId="0" borderId="5112" xfId="0" applyFont="1" applyBorder="1" applyAlignment="1">
      <alignment vertical="top"/>
    </xf>
    <xf numFmtId="49" fontId="5113" fillId="0" borderId="5113" xfId="0" applyNumberFormat="1" applyFont="1" applyBorder="1" applyAlignment="1">
      <alignment vertical="top"/>
    </xf>
    <xf numFmtId="0" fontId="5114" fillId="0" borderId="5114" xfId="0" applyFont="1" applyBorder="1" applyAlignment="1">
      <alignment vertical="top"/>
    </xf>
    <xf numFmtId="0" fontId="5115" fillId="0" borderId="5115" xfId="0" applyFont="1" applyBorder="1" applyAlignment="1">
      <alignment vertical="top"/>
    </xf>
    <xf numFmtId="49" fontId="5116" fillId="0" borderId="5116" xfId="0" applyNumberFormat="1" applyFont="1" applyBorder="1" applyAlignment="1">
      <alignment vertical="top"/>
    </xf>
    <xf numFmtId="0" fontId="5117" fillId="0" borderId="5117" xfId="0" applyFont="1" applyBorder="1" applyAlignment="1">
      <alignment vertical="top"/>
    </xf>
    <xf numFmtId="0" fontId="5118" fillId="0" borderId="5118" xfId="0" applyFont="1" applyBorder="1" applyAlignment="1">
      <alignment vertical="top"/>
    </xf>
    <xf numFmtId="49" fontId="5119" fillId="0" borderId="5119" xfId="0" applyNumberFormat="1" applyFont="1" applyBorder="1" applyAlignment="1">
      <alignment vertical="top"/>
    </xf>
    <xf numFmtId="0" fontId="5120" fillId="0" borderId="5120" xfId="0" applyFont="1" applyBorder="1" applyAlignment="1">
      <alignment vertical="top"/>
    </xf>
    <xf numFmtId="0" fontId="5121" fillId="0" borderId="5121" xfId="0" applyFont="1" applyBorder="1" applyAlignment="1">
      <alignment vertical="top"/>
    </xf>
    <xf numFmtId="49" fontId="5122" fillId="0" borderId="5122" xfId="0" applyNumberFormat="1" applyFont="1" applyBorder="1" applyAlignment="1">
      <alignment vertical="top"/>
    </xf>
    <xf numFmtId="0" fontId="5123" fillId="0" borderId="5123" xfId="0" applyFont="1" applyBorder="1" applyAlignment="1">
      <alignment vertical="top"/>
    </xf>
    <xf numFmtId="0" fontId="5124" fillId="0" borderId="5124" xfId="0" applyFont="1" applyBorder="1" applyAlignment="1">
      <alignment vertical="top"/>
    </xf>
    <xf numFmtId="49" fontId="5125" fillId="0" borderId="5125" xfId="0" applyNumberFormat="1" applyFont="1" applyBorder="1" applyAlignment="1">
      <alignment vertical="top"/>
    </xf>
    <xf numFmtId="0" fontId="5126" fillId="0" borderId="5126" xfId="0" applyFont="1" applyBorder="1" applyAlignment="1">
      <alignment vertical="top"/>
    </xf>
    <xf numFmtId="0" fontId="5127" fillId="0" borderId="5127" xfId="0" applyFont="1" applyBorder="1" applyAlignment="1">
      <alignment vertical="top"/>
    </xf>
    <xf numFmtId="49" fontId="5128" fillId="0" borderId="5128" xfId="0" applyNumberFormat="1" applyFont="1" applyBorder="1" applyAlignment="1">
      <alignment vertical="top"/>
    </xf>
    <xf numFmtId="0" fontId="5129" fillId="0" borderId="5129" xfId="0" applyFont="1" applyBorder="1" applyAlignment="1">
      <alignment vertical="top"/>
    </xf>
    <xf numFmtId="0" fontId="5130" fillId="0" borderId="5130" xfId="0" applyFont="1" applyBorder="1" applyAlignment="1">
      <alignment vertical="top"/>
    </xf>
    <xf numFmtId="49" fontId="5131" fillId="0" borderId="5131" xfId="0" applyNumberFormat="1" applyFont="1" applyBorder="1" applyAlignment="1">
      <alignment vertical="top"/>
    </xf>
    <xf numFmtId="0" fontId="5132" fillId="0" borderId="5132" xfId="0" applyFont="1" applyBorder="1" applyAlignment="1">
      <alignment vertical="top"/>
    </xf>
    <xf numFmtId="0" fontId="5133" fillId="0" borderId="5133" xfId="0" applyFont="1" applyBorder="1" applyAlignment="1">
      <alignment vertical="top"/>
    </xf>
    <xf numFmtId="49" fontId="5134" fillId="0" borderId="5134" xfId="0" applyNumberFormat="1" applyFont="1" applyBorder="1" applyAlignment="1">
      <alignment vertical="top"/>
    </xf>
    <xf numFmtId="0" fontId="5135" fillId="0" borderId="5135" xfId="0" applyFont="1" applyBorder="1" applyAlignment="1">
      <alignment vertical="top"/>
    </xf>
    <xf numFmtId="0" fontId="5136" fillId="0" borderId="5136" xfId="0" applyFont="1" applyBorder="1" applyAlignment="1">
      <alignment vertical="top"/>
    </xf>
    <xf numFmtId="49" fontId="5137" fillId="0" borderId="5137" xfId="0" applyNumberFormat="1" applyFont="1" applyBorder="1" applyAlignment="1">
      <alignment vertical="top"/>
    </xf>
    <xf numFmtId="0" fontId="5138" fillId="0" borderId="5138" xfId="0" applyFont="1" applyBorder="1" applyAlignment="1">
      <alignment vertical="top"/>
    </xf>
    <xf numFmtId="0" fontId="5139" fillId="0" borderId="5139" xfId="0" applyFont="1" applyBorder="1" applyAlignment="1">
      <alignment vertical="top"/>
    </xf>
    <xf numFmtId="49" fontId="5140" fillId="0" borderId="5140" xfId="0" applyNumberFormat="1" applyFont="1" applyBorder="1" applyAlignment="1">
      <alignment vertical="top"/>
    </xf>
    <xf numFmtId="0" fontId="5141" fillId="0" borderId="5141" xfId="0" applyFont="1" applyBorder="1" applyAlignment="1">
      <alignment vertical="top"/>
    </xf>
    <xf numFmtId="0" fontId="5142" fillId="0" borderId="5142" xfId="0" applyFont="1" applyBorder="1" applyAlignment="1">
      <alignment vertical="top"/>
    </xf>
    <xf numFmtId="49" fontId="5143" fillId="0" borderId="5143" xfId="0" applyNumberFormat="1" applyFont="1" applyBorder="1" applyAlignment="1">
      <alignment vertical="top"/>
    </xf>
    <xf numFmtId="0" fontId="5144" fillId="0" borderId="5144" xfId="0" applyFont="1" applyBorder="1" applyAlignment="1">
      <alignment vertical="top"/>
    </xf>
    <xf numFmtId="0" fontId="5145" fillId="0" borderId="5145" xfId="0" applyFont="1" applyBorder="1" applyAlignment="1">
      <alignment vertical="top"/>
    </xf>
    <xf numFmtId="49" fontId="5146" fillId="0" borderId="5146" xfId="0" applyNumberFormat="1" applyFont="1" applyBorder="1" applyAlignment="1">
      <alignment vertical="top"/>
    </xf>
    <xf numFmtId="0" fontId="5147" fillId="0" borderId="5147" xfId="0" applyFont="1" applyBorder="1" applyAlignment="1">
      <alignment vertical="top"/>
    </xf>
    <xf numFmtId="0" fontId="5148" fillId="0" borderId="5148" xfId="0" applyFont="1" applyBorder="1" applyAlignment="1">
      <alignment vertical="top"/>
    </xf>
    <xf numFmtId="49" fontId="5149" fillId="0" borderId="5149" xfId="0" applyNumberFormat="1" applyFont="1" applyBorder="1" applyAlignment="1">
      <alignment vertical="top"/>
    </xf>
    <xf numFmtId="0" fontId="5150" fillId="0" borderId="5150" xfId="0" applyFont="1" applyBorder="1" applyAlignment="1">
      <alignment vertical="top"/>
    </xf>
    <xf numFmtId="0" fontId="5151" fillId="0" borderId="5151" xfId="0" applyFont="1" applyBorder="1" applyAlignment="1">
      <alignment vertical="top"/>
    </xf>
    <xf numFmtId="49" fontId="5152" fillId="0" borderId="5152" xfId="0" applyNumberFormat="1" applyFont="1" applyBorder="1" applyAlignment="1">
      <alignment vertical="top"/>
    </xf>
    <xf numFmtId="0" fontId="5153" fillId="0" borderId="5153" xfId="0" applyFont="1" applyBorder="1" applyAlignment="1">
      <alignment vertical="top"/>
    </xf>
    <xf numFmtId="0" fontId="5154" fillId="0" borderId="5154" xfId="0" applyFont="1" applyBorder="1" applyAlignment="1">
      <alignment vertical="top"/>
    </xf>
    <xf numFmtId="49" fontId="5155" fillId="0" borderId="5155" xfId="0" applyNumberFormat="1" applyFont="1" applyBorder="1" applyAlignment="1">
      <alignment vertical="top"/>
    </xf>
    <xf numFmtId="0" fontId="5156" fillId="0" borderId="5156" xfId="0" applyFont="1" applyBorder="1" applyAlignment="1">
      <alignment vertical="top"/>
    </xf>
    <xf numFmtId="0" fontId="5157" fillId="0" borderId="5157" xfId="0" applyFont="1" applyBorder="1" applyAlignment="1">
      <alignment vertical="top"/>
    </xf>
    <xf numFmtId="49" fontId="5158" fillId="0" borderId="5158" xfId="0" applyNumberFormat="1" applyFont="1" applyBorder="1" applyAlignment="1">
      <alignment vertical="top"/>
    </xf>
    <xf numFmtId="0" fontId="5159" fillId="0" borderId="5159" xfId="0" applyFont="1" applyBorder="1" applyAlignment="1">
      <alignment vertical="top"/>
    </xf>
    <xf numFmtId="0" fontId="5160" fillId="0" borderId="5160" xfId="0" applyFont="1" applyBorder="1" applyAlignment="1">
      <alignment vertical="top"/>
    </xf>
    <xf numFmtId="49" fontId="5161" fillId="0" borderId="5161" xfId="0" applyNumberFormat="1" applyFont="1" applyBorder="1" applyAlignment="1">
      <alignment vertical="top"/>
    </xf>
    <xf numFmtId="0" fontId="5162" fillId="0" borderId="5162" xfId="0" applyFont="1" applyBorder="1" applyAlignment="1">
      <alignment vertical="top"/>
    </xf>
    <xf numFmtId="0" fontId="5163" fillId="0" borderId="5163" xfId="0" applyFont="1" applyBorder="1" applyAlignment="1">
      <alignment vertical="top"/>
    </xf>
    <xf numFmtId="49" fontId="5164" fillId="0" borderId="5164" xfId="0" applyNumberFormat="1" applyFont="1" applyBorder="1" applyAlignment="1">
      <alignment vertical="top"/>
    </xf>
    <xf numFmtId="0" fontId="5165" fillId="0" borderId="5165" xfId="0" applyFont="1" applyBorder="1" applyAlignment="1">
      <alignment vertical="top"/>
    </xf>
    <xf numFmtId="0" fontId="5166" fillId="0" borderId="5166" xfId="0" applyFont="1" applyBorder="1" applyAlignment="1">
      <alignment vertical="top"/>
    </xf>
    <xf numFmtId="49" fontId="5167" fillId="0" borderId="5167" xfId="0" applyNumberFormat="1" applyFont="1" applyBorder="1" applyAlignment="1">
      <alignment vertical="top"/>
    </xf>
    <xf numFmtId="0" fontId="5168" fillId="0" borderId="5168" xfId="0" applyFont="1" applyBorder="1" applyAlignment="1">
      <alignment vertical="top"/>
    </xf>
    <xf numFmtId="0" fontId="5169" fillId="0" borderId="5169" xfId="0" applyFont="1" applyBorder="1" applyAlignment="1">
      <alignment vertical="top"/>
    </xf>
    <xf numFmtId="49" fontId="5170" fillId="0" borderId="5170" xfId="0" applyNumberFormat="1" applyFont="1" applyBorder="1" applyAlignment="1">
      <alignment vertical="top"/>
    </xf>
    <xf numFmtId="0" fontId="5171" fillId="0" borderId="5171" xfId="0" applyFont="1" applyBorder="1" applyAlignment="1">
      <alignment vertical="top"/>
    </xf>
    <xf numFmtId="0" fontId="5172" fillId="0" borderId="5172" xfId="0" applyFont="1" applyBorder="1" applyAlignment="1">
      <alignment vertical="top"/>
    </xf>
    <xf numFmtId="49" fontId="5173" fillId="0" borderId="5173" xfId="0" applyNumberFormat="1" applyFont="1" applyBorder="1" applyAlignment="1">
      <alignment vertical="top"/>
    </xf>
    <xf numFmtId="0" fontId="5174" fillId="0" borderId="5174" xfId="0" applyFont="1" applyBorder="1" applyAlignment="1">
      <alignment vertical="top"/>
    </xf>
    <xf numFmtId="0" fontId="5175" fillId="0" borderId="5175" xfId="0" applyFont="1" applyBorder="1" applyAlignment="1">
      <alignment vertical="top"/>
    </xf>
    <xf numFmtId="49" fontId="5176" fillId="0" borderId="5176" xfId="0" applyNumberFormat="1" applyFont="1" applyBorder="1" applyAlignment="1">
      <alignment vertical="top"/>
    </xf>
    <xf numFmtId="0" fontId="5177" fillId="0" borderId="5177" xfId="0" applyFont="1" applyBorder="1" applyAlignment="1">
      <alignment vertical="top"/>
    </xf>
    <xf numFmtId="0" fontId="5178" fillId="0" borderId="5178" xfId="0" applyFont="1" applyBorder="1" applyAlignment="1">
      <alignment vertical="top"/>
    </xf>
    <xf numFmtId="49" fontId="5179" fillId="0" borderId="5179" xfId="0" applyNumberFormat="1" applyFont="1" applyBorder="1" applyAlignment="1">
      <alignment vertical="top"/>
    </xf>
    <xf numFmtId="0" fontId="5180" fillId="0" borderId="5180" xfId="0" applyFont="1" applyBorder="1" applyAlignment="1">
      <alignment vertical="top"/>
    </xf>
    <xf numFmtId="0" fontId="5181" fillId="0" borderId="5181" xfId="0" applyFont="1" applyBorder="1" applyAlignment="1">
      <alignment vertical="top"/>
    </xf>
    <xf numFmtId="49" fontId="5182" fillId="0" borderId="5182" xfId="0" applyNumberFormat="1" applyFont="1" applyBorder="1" applyAlignment="1">
      <alignment vertical="top"/>
    </xf>
    <xf numFmtId="0" fontId="5183" fillId="0" borderId="5183" xfId="0" applyFont="1" applyBorder="1" applyAlignment="1">
      <alignment vertical="top"/>
    </xf>
    <xf numFmtId="0" fontId="5184" fillId="0" borderId="5184" xfId="0" applyFont="1" applyBorder="1" applyAlignment="1">
      <alignment vertical="top"/>
    </xf>
    <xf numFmtId="49" fontId="5185" fillId="0" borderId="5185" xfId="0" applyNumberFormat="1" applyFont="1" applyBorder="1" applyAlignment="1">
      <alignment vertical="top"/>
    </xf>
    <xf numFmtId="0" fontId="5186" fillId="0" borderId="5186" xfId="0" applyFont="1" applyBorder="1" applyAlignment="1">
      <alignment vertical="top"/>
    </xf>
    <xf numFmtId="0" fontId="5187" fillId="0" borderId="5187" xfId="0" applyFont="1" applyBorder="1" applyAlignment="1">
      <alignment vertical="top"/>
    </xf>
    <xf numFmtId="49" fontId="5188" fillId="0" borderId="5188" xfId="0" applyNumberFormat="1" applyFont="1" applyBorder="1" applyAlignment="1">
      <alignment vertical="top"/>
    </xf>
    <xf numFmtId="0" fontId="5189" fillId="0" borderId="5189" xfId="0" applyFont="1" applyBorder="1" applyAlignment="1">
      <alignment vertical="top"/>
    </xf>
    <xf numFmtId="0" fontId="5190" fillId="0" borderId="5190" xfId="0" applyFont="1" applyBorder="1" applyAlignment="1">
      <alignment vertical="top"/>
    </xf>
    <xf numFmtId="49" fontId="5191" fillId="0" borderId="5191" xfId="0" applyNumberFormat="1" applyFont="1" applyBorder="1" applyAlignment="1">
      <alignment vertical="top"/>
    </xf>
    <xf numFmtId="0" fontId="5192" fillId="0" borderId="5192" xfId="0" applyFont="1" applyBorder="1" applyAlignment="1">
      <alignment vertical="top"/>
    </xf>
    <xf numFmtId="0" fontId="5193" fillId="0" borderId="5193" xfId="0" applyFont="1" applyBorder="1" applyAlignment="1">
      <alignment vertical="top"/>
    </xf>
    <xf numFmtId="49" fontId="5194" fillId="0" borderId="5194" xfId="0" applyNumberFormat="1" applyFont="1" applyBorder="1" applyAlignment="1">
      <alignment vertical="top"/>
    </xf>
    <xf numFmtId="0" fontId="5195" fillId="0" borderId="5195" xfId="0" applyFont="1" applyBorder="1" applyAlignment="1">
      <alignment vertical="top"/>
    </xf>
    <xf numFmtId="0" fontId="5196" fillId="0" borderId="5196" xfId="0" applyFont="1" applyBorder="1" applyAlignment="1">
      <alignment vertical="top"/>
    </xf>
    <xf numFmtId="49" fontId="5197" fillId="0" borderId="5197" xfId="0" applyNumberFormat="1" applyFont="1" applyBorder="1" applyAlignment="1">
      <alignment vertical="top"/>
    </xf>
    <xf numFmtId="0" fontId="5198" fillId="0" borderId="5198" xfId="0" applyFont="1" applyBorder="1" applyAlignment="1">
      <alignment vertical="top"/>
    </xf>
    <xf numFmtId="0" fontId="5199" fillId="0" borderId="5199" xfId="0" applyFont="1" applyBorder="1" applyAlignment="1">
      <alignment vertical="top"/>
    </xf>
    <xf numFmtId="49" fontId="5200" fillId="0" borderId="5200" xfId="0" applyNumberFormat="1" applyFont="1" applyBorder="1" applyAlignment="1">
      <alignment vertical="top"/>
    </xf>
    <xf numFmtId="0" fontId="5201" fillId="0" borderId="5201" xfId="0" applyFont="1" applyBorder="1" applyAlignment="1">
      <alignment vertical="top"/>
    </xf>
    <xf numFmtId="0" fontId="5202" fillId="0" borderId="5202" xfId="0" applyFont="1" applyBorder="1" applyAlignment="1">
      <alignment vertical="top"/>
    </xf>
    <xf numFmtId="49" fontId="5203" fillId="0" borderId="5203" xfId="0" applyNumberFormat="1" applyFont="1" applyBorder="1" applyAlignment="1">
      <alignment vertical="top"/>
    </xf>
    <xf numFmtId="0" fontId="5204" fillId="0" borderId="5204" xfId="0" applyFont="1" applyBorder="1" applyAlignment="1">
      <alignment vertical="top"/>
    </xf>
    <xf numFmtId="0" fontId="5205" fillId="0" borderId="5205" xfId="0" applyFont="1" applyBorder="1" applyAlignment="1">
      <alignment vertical="top"/>
    </xf>
    <xf numFmtId="49" fontId="5206" fillId="0" borderId="5206" xfId="0" applyNumberFormat="1" applyFont="1" applyBorder="1" applyAlignment="1">
      <alignment vertical="top"/>
    </xf>
    <xf numFmtId="0" fontId="5207" fillId="0" borderId="5207" xfId="0" applyFont="1" applyBorder="1" applyAlignment="1">
      <alignment vertical="top"/>
    </xf>
    <xf numFmtId="0" fontId="5208" fillId="0" borderId="5208" xfId="0" applyFont="1" applyBorder="1" applyAlignment="1">
      <alignment vertical="top"/>
    </xf>
    <xf numFmtId="49" fontId="5209" fillId="0" borderId="5209" xfId="0" applyNumberFormat="1" applyFont="1" applyBorder="1" applyAlignment="1">
      <alignment vertical="top"/>
    </xf>
    <xf numFmtId="0" fontId="5210" fillId="0" borderId="5210" xfId="0" applyFont="1" applyBorder="1" applyAlignment="1">
      <alignment vertical="top"/>
    </xf>
    <xf numFmtId="0" fontId="5211" fillId="0" borderId="5211" xfId="0" applyFont="1" applyBorder="1" applyAlignment="1">
      <alignment vertical="top"/>
    </xf>
    <xf numFmtId="49" fontId="5212" fillId="0" borderId="5212" xfId="0" applyNumberFormat="1" applyFont="1" applyBorder="1" applyAlignment="1">
      <alignment vertical="top"/>
    </xf>
    <xf numFmtId="0" fontId="5213" fillId="0" borderId="5213" xfId="0" applyFont="1" applyBorder="1" applyAlignment="1">
      <alignment vertical="top"/>
    </xf>
    <xf numFmtId="0" fontId="5214" fillId="0" borderId="5214" xfId="0" applyFont="1" applyBorder="1" applyAlignment="1">
      <alignment vertical="top"/>
    </xf>
    <xf numFmtId="49" fontId="5215" fillId="0" borderId="5215" xfId="0" applyNumberFormat="1" applyFont="1" applyBorder="1" applyAlignment="1">
      <alignment vertical="top"/>
    </xf>
    <xf numFmtId="0" fontId="5216" fillId="0" borderId="5216" xfId="0" applyFont="1" applyBorder="1" applyAlignment="1">
      <alignment vertical="top"/>
    </xf>
    <xf numFmtId="0" fontId="5217" fillId="0" borderId="5217" xfId="0" applyFont="1" applyBorder="1" applyAlignment="1">
      <alignment vertical="top"/>
    </xf>
    <xf numFmtId="49" fontId="5218" fillId="0" borderId="5218" xfId="0" applyNumberFormat="1" applyFont="1" applyBorder="1" applyAlignment="1">
      <alignment vertical="top" wrapText="1"/>
    </xf>
    <xf numFmtId="0" fontId="5219" fillId="0" borderId="5219" xfId="0" applyFont="1" applyBorder="1" applyAlignment="1">
      <alignment vertical="top"/>
    </xf>
    <xf numFmtId="0" fontId="5220" fillId="0" borderId="5220" xfId="0" applyFont="1" applyBorder="1" applyAlignment="1">
      <alignment vertical="top"/>
    </xf>
    <xf numFmtId="49" fontId="5221" fillId="0" borderId="5221" xfId="0" applyNumberFormat="1" applyFont="1" applyBorder="1" applyAlignment="1">
      <alignment vertical="top"/>
    </xf>
    <xf numFmtId="0" fontId="5222" fillId="0" borderId="5222" xfId="0" applyFont="1" applyBorder="1" applyAlignment="1">
      <alignment vertical="top"/>
    </xf>
    <xf numFmtId="0" fontId="5223" fillId="0" borderId="5223" xfId="0" applyFont="1" applyBorder="1" applyAlignment="1">
      <alignment vertical="top"/>
    </xf>
    <xf numFmtId="49" fontId="5224" fillId="0" borderId="5224" xfId="0" applyNumberFormat="1" applyFont="1" applyBorder="1" applyAlignment="1">
      <alignment vertical="top"/>
    </xf>
    <xf numFmtId="0" fontId="5225" fillId="0" borderId="5225" xfId="0" applyFont="1" applyBorder="1" applyAlignment="1">
      <alignment vertical="top"/>
    </xf>
    <xf numFmtId="0" fontId="5226" fillId="0" borderId="5226" xfId="0" applyFont="1" applyBorder="1" applyAlignment="1">
      <alignment vertical="top"/>
    </xf>
    <xf numFmtId="49" fontId="5227" fillId="0" borderId="5227" xfId="0" applyNumberFormat="1" applyFont="1" applyBorder="1" applyAlignment="1">
      <alignment vertical="top"/>
    </xf>
    <xf numFmtId="0" fontId="5228" fillId="0" borderId="5228" xfId="0" applyFont="1" applyBorder="1" applyAlignment="1">
      <alignment vertical="top"/>
    </xf>
    <xf numFmtId="0" fontId="5229" fillId="0" borderId="5229" xfId="0" applyFont="1" applyBorder="1" applyAlignment="1">
      <alignment vertical="top"/>
    </xf>
    <xf numFmtId="49" fontId="5230" fillId="0" borderId="5230" xfId="0" applyNumberFormat="1" applyFont="1" applyBorder="1" applyAlignment="1">
      <alignment vertical="top"/>
    </xf>
    <xf numFmtId="0" fontId="5231" fillId="0" borderId="5231" xfId="0" applyFont="1" applyBorder="1" applyAlignment="1">
      <alignment vertical="top"/>
    </xf>
    <xf numFmtId="0" fontId="5232" fillId="0" borderId="5232" xfId="0" applyFont="1" applyBorder="1" applyAlignment="1">
      <alignment vertical="top"/>
    </xf>
    <xf numFmtId="49" fontId="5233" fillId="0" borderId="5233" xfId="0" applyNumberFormat="1" applyFont="1" applyBorder="1" applyAlignment="1">
      <alignment vertical="top"/>
    </xf>
    <xf numFmtId="0" fontId="5234" fillId="0" borderId="5234" xfId="0" applyFont="1" applyBorder="1" applyAlignment="1">
      <alignment vertical="top"/>
    </xf>
    <xf numFmtId="0" fontId="5235" fillId="0" borderId="5235" xfId="0" applyFont="1" applyBorder="1" applyAlignment="1">
      <alignment vertical="top"/>
    </xf>
    <xf numFmtId="49" fontId="5236" fillId="0" borderId="5236" xfId="0" applyNumberFormat="1" applyFont="1" applyBorder="1" applyAlignment="1">
      <alignment vertical="top"/>
    </xf>
    <xf numFmtId="0" fontId="5237" fillId="0" borderId="5237" xfId="0" applyFont="1" applyBorder="1" applyAlignment="1">
      <alignment vertical="top"/>
    </xf>
    <xf numFmtId="0" fontId="5238" fillId="0" borderId="5238" xfId="0" applyFont="1" applyBorder="1" applyAlignment="1">
      <alignment vertical="top"/>
    </xf>
    <xf numFmtId="49" fontId="5239" fillId="0" borderId="5239" xfId="0" applyNumberFormat="1" applyFont="1" applyBorder="1" applyAlignment="1">
      <alignment vertical="top"/>
    </xf>
    <xf numFmtId="0" fontId="5240" fillId="0" borderId="5240" xfId="0" applyFont="1" applyBorder="1" applyAlignment="1">
      <alignment vertical="top"/>
    </xf>
    <xf numFmtId="0" fontId="5241" fillId="0" borderId="5241" xfId="0" applyFont="1" applyBorder="1" applyAlignment="1">
      <alignment vertical="top"/>
    </xf>
    <xf numFmtId="49" fontId="5242" fillId="0" borderId="5242" xfId="0" applyNumberFormat="1" applyFont="1" applyBorder="1" applyAlignment="1">
      <alignment vertical="top"/>
    </xf>
    <xf numFmtId="0" fontId="5243" fillId="0" borderId="5243" xfId="0" applyFont="1" applyBorder="1" applyAlignment="1">
      <alignment vertical="top"/>
    </xf>
    <xf numFmtId="0" fontId="5244" fillId="0" borderId="5244" xfId="0" applyFont="1" applyBorder="1" applyAlignment="1">
      <alignment vertical="top"/>
    </xf>
    <xf numFmtId="49" fontId="5245" fillId="0" borderId="5245" xfId="0" applyNumberFormat="1" applyFont="1" applyBorder="1" applyAlignment="1">
      <alignment vertical="top"/>
    </xf>
    <xf numFmtId="0" fontId="5246" fillId="0" borderId="5246" xfId="0" applyFont="1" applyBorder="1" applyAlignment="1">
      <alignment vertical="top"/>
    </xf>
    <xf numFmtId="0" fontId="5247" fillId="0" borderId="5247" xfId="0" applyFont="1" applyBorder="1" applyAlignment="1">
      <alignment vertical="top"/>
    </xf>
    <xf numFmtId="49" fontId="5248" fillId="0" borderId="5248" xfId="0" applyNumberFormat="1" applyFont="1" applyBorder="1" applyAlignment="1">
      <alignment vertical="top"/>
    </xf>
    <xf numFmtId="0" fontId="5249" fillId="0" borderId="5249" xfId="0" applyFont="1" applyBorder="1" applyAlignment="1">
      <alignment vertical="top"/>
    </xf>
    <xf numFmtId="0" fontId="5250" fillId="0" borderId="5250" xfId="0" applyFont="1" applyBorder="1" applyAlignment="1">
      <alignment vertical="top"/>
    </xf>
    <xf numFmtId="49" fontId="5251" fillId="0" borderId="5251" xfId="0" applyNumberFormat="1" applyFont="1" applyBorder="1" applyAlignment="1">
      <alignment vertical="top"/>
    </xf>
    <xf numFmtId="0" fontId="5252" fillId="0" borderId="5252" xfId="0" applyFont="1" applyBorder="1" applyAlignment="1">
      <alignment vertical="top"/>
    </xf>
    <xf numFmtId="0" fontId="5253" fillId="0" borderId="5253" xfId="0" applyFont="1" applyBorder="1" applyAlignment="1">
      <alignment vertical="top"/>
    </xf>
    <xf numFmtId="49" fontId="5254" fillId="0" borderId="5254" xfId="0" applyNumberFormat="1" applyFont="1" applyBorder="1" applyAlignment="1">
      <alignment vertical="top"/>
    </xf>
    <xf numFmtId="0" fontId="5255" fillId="0" borderId="5255" xfId="0" applyFont="1" applyBorder="1" applyAlignment="1">
      <alignment vertical="top"/>
    </xf>
    <xf numFmtId="0" fontId="5256" fillId="0" borderId="5256" xfId="0" applyFont="1" applyBorder="1" applyAlignment="1">
      <alignment vertical="top"/>
    </xf>
    <xf numFmtId="49" fontId="5257" fillId="0" borderId="5257" xfId="0" applyNumberFormat="1" applyFont="1" applyBorder="1" applyAlignment="1">
      <alignment vertical="top"/>
    </xf>
    <xf numFmtId="0" fontId="5258" fillId="0" borderId="5258" xfId="0" applyFont="1" applyBorder="1" applyAlignment="1">
      <alignment vertical="top"/>
    </xf>
    <xf numFmtId="0" fontId="5259" fillId="0" borderId="5259" xfId="0" applyFont="1" applyBorder="1" applyAlignment="1">
      <alignment vertical="top"/>
    </xf>
    <xf numFmtId="49" fontId="5260" fillId="0" borderId="5260" xfId="0" applyNumberFormat="1" applyFont="1" applyBorder="1" applyAlignment="1">
      <alignment vertical="top"/>
    </xf>
    <xf numFmtId="0" fontId="5261" fillId="0" borderId="5261" xfId="0" applyFont="1" applyBorder="1" applyAlignment="1">
      <alignment vertical="top"/>
    </xf>
    <xf numFmtId="0" fontId="5262" fillId="0" borderId="5262" xfId="0" applyFont="1" applyBorder="1" applyAlignment="1">
      <alignment vertical="top"/>
    </xf>
    <xf numFmtId="49" fontId="5263" fillId="0" borderId="5263" xfId="0" applyNumberFormat="1" applyFont="1" applyBorder="1" applyAlignment="1">
      <alignment vertical="top"/>
    </xf>
    <xf numFmtId="0" fontId="5264" fillId="0" borderId="5264" xfId="0" applyFont="1" applyBorder="1" applyAlignment="1">
      <alignment vertical="top"/>
    </xf>
    <xf numFmtId="0" fontId="5265" fillId="0" borderId="5265" xfId="0" applyFont="1" applyBorder="1" applyAlignment="1">
      <alignment vertical="top"/>
    </xf>
    <xf numFmtId="49" fontId="5266" fillId="0" borderId="5266" xfId="0" applyNumberFormat="1" applyFont="1" applyBorder="1" applyAlignment="1">
      <alignment vertical="top"/>
    </xf>
    <xf numFmtId="0" fontId="5267" fillId="0" borderId="5267" xfId="0" applyFont="1" applyBorder="1" applyAlignment="1">
      <alignment vertical="top"/>
    </xf>
    <xf numFmtId="0" fontId="5268" fillId="0" borderId="5268" xfId="0" applyFont="1" applyBorder="1" applyAlignment="1">
      <alignment vertical="top"/>
    </xf>
    <xf numFmtId="49" fontId="5269" fillId="0" borderId="5269" xfId="0" applyNumberFormat="1" applyFont="1" applyBorder="1" applyAlignment="1">
      <alignment vertical="top"/>
    </xf>
    <xf numFmtId="0" fontId="5270" fillId="0" borderId="5270" xfId="0" applyFont="1" applyBorder="1" applyAlignment="1">
      <alignment vertical="top"/>
    </xf>
    <xf numFmtId="0" fontId="5271" fillId="0" borderId="5271" xfId="0" applyFont="1" applyBorder="1" applyAlignment="1">
      <alignment vertical="top"/>
    </xf>
    <xf numFmtId="49" fontId="5272" fillId="0" borderId="5272" xfId="0" applyNumberFormat="1" applyFont="1" applyBorder="1" applyAlignment="1">
      <alignment vertical="top"/>
    </xf>
    <xf numFmtId="0" fontId="5273" fillId="0" borderId="5273" xfId="0" applyFont="1" applyBorder="1" applyAlignment="1">
      <alignment vertical="top"/>
    </xf>
    <xf numFmtId="0" fontId="5274" fillId="0" borderId="5274" xfId="0" applyFont="1" applyBorder="1" applyAlignment="1">
      <alignment vertical="top"/>
    </xf>
    <xf numFmtId="49" fontId="5275" fillId="0" borderId="5275" xfId="0" applyNumberFormat="1" applyFont="1" applyBorder="1" applyAlignment="1">
      <alignment vertical="top"/>
    </xf>
    <xf numFmtId="0" fontId="5276" fillId="0" borderId="5276" xfId="0" applyFont="1" applyBorder="1" applyAlignment="1">
      <alignment vertical="top"/>
    </xf>
    <xf numFmtId="0" fontId="5277" fillId="0" borderId="5277" xfId="0" applyFont="1" applyBorder="1" applyAlignment="1">
      <alignment vertical="top"/>
    </xf>
    <xf numFmtId="49" fontId="5278" fillId="0" borderId="5278" xfId="0" applyNumberFormat="1" applyFont="1" applyBorder="1" applyAlignment="1">
      <alignment vertical="top"/>
    </xf>
    <xf numFmtId="0" fontId="5279" fillId="0" borderId="5279" xfId="0" applyFont="1" applyBorder="1" applyAlignment="1">
      <alignment vertical="top"/>
    </xf>
    <xf numFmtId="0" fontId="5280" fillId="0" borderId="5280" xfId="0" applyFont="1" applyBorder="1" applyAlignment="1">
      <alignment vertical="top"/>
    </xf>
    <xf numFmtId="49" fontId="5281" fillId="0" borderId="5281" xfId="0" applyNumberFormat="1" applyFont="1" applyBorder="1" applyAlignment="1">
      <alignment vertical="top"/>
    </xf>
    <xf numFmtId="0" fontId="5282" fillId="0" borderId="5282" xfId="0" applyFont="1" applyBorder="1" applyAlignment="1">
      <alignment vertical="top"/>
    </xf>
    <xf numFmtId="0" fontId="5283" fillId="0" borderId="5283" xfId="0" applyFont="1" applyBorder="1" applyAlignment="1">
      <alignment vertical="top"/>
    </xf>
    <xf numFmtId="49" fontId="5284" fillId="0" borderId="5284" xfId="0" applyNumberFormat="1" applyFont="1" applyBorder="1" applyAlignment="1">
      <alignment vertical="top"/>
    </xf>
    <xf numFmtId="0" fontId="5285" fillId="0" borderId="5285" xfId="0" applyFont="1" applyBorder="1" applyAlignment="1">
      <alignment vertical="top"/>
    </xf>
    <xf numFmtId="0" fontId="5286" fillId="0" borderId="5286" xfId="0" applyFont="1" applyBorder="1" applyAlignment="1">
      <alignment vertical="top"/>
    </xf>
    <xf numFmtId="49" fontId="5287" fillId="0" borderId="5287" xfId="0" applyNumberFormat="1" applyFont="1" applyBorder="1" applyAlignment="1">
      <alignment vertical="top"/>
    </xf>
    <xf numFmtId="0" fontId="5288" fillId="0" borderId="5288" xfId="0" applyFont="1" applyBorder="1" applyAlignment="1">
      <alignment vertical="top"/>
    </xf>
    <xf numFmtId="0" fontId="5289" fillId="0" borderId="5289" xfId="0" applyFont="1" applyBorder="1" applyAlignment="1">
      <alignment vertical="top"/>
    </xf>
    <xf numFmtId="49" fontId="5290" fillId="0" borderId="5290" xfId="0" applyNumberFormat="1" applyFont="1" applyBorder="1" applyAlignment="1">
      <alignment vertical="top"/>
    </xf>
    <xf numFmtId="0" fontId="5291" fillId="0" borderId="5291" xfId="0" applyFont="1" applyBorder="1" applyAlignment="1">
      <alignment vertical="top"/>
    </xf>
    <xf numFmtId="0" fontId="5292" fillId="0" borderId="5292" xfId="0" applyFont="1" applyBorder="1" applyAlignment="1">
      <alignment vertical="top"/>
    </xf>
    <xf numFmtId="49" fontId="5293" fillId="0" borderId="5293" xfId="0" applyNumberFormat="1" applyFont="1" applyBorder="1" applyAlignment="1">
      <alignment vertical="top"/>
    </xf>
    <xf numFmtId="0" fontId="5294" fillId="0" borderId="5294" xfId="0" applyFont="1" applyBorder="1" applyAlignment="1">
      <alignment vertical="top"/>
    </xf>
    <xf numFmtId="0" fontId="5295" fillId="0" borderId="5295" xfId="0" applyFont="1" applyBorder="1" applyAlignment="1">
      <alignment vertical="top"/>
    </xf>
    <xf numFmtId="49" fontId="5296" fillId="0" borderId="5296" xfId="0" applyNumberFormat="1" applyFont="1" applyBorder="1" applyAlignment="1">
      <alignment vertical="top"/>
    </xf>
    <xf numFmtId="0" fontId="5297" fillId="0" borderId="5297" xfId="0" applyFont="1" applyBorder="1" applyAlignment="1">
      <alignment vertical="top"/>
    </xf>
    <xf numFmtId="0" fontId="5298" fillId="0" borderId="5298" xfId="0" applyFont="1" applyBorder="1" applyAlignment="1">
      <alignment vertical="top"/>
    </xf>
    <xf numFmtId="49" fontId="5299" fillId="0" borderId="5299" xfId="0" applyNumberFormat="1" applyFont="1" applyBorder="1" applyAlignment="1">
      <alignment vertical="top"/>
    </xf>
    <xf numFmtId="0" fontId="5300" fillId="0" borderId="5300" xfId="0" applyFont="1" applyBorder="1" applyAlignment="1">
      <alignment vertical="top"/>
    </xf>
    <xf numFmtId="0" fontId="5301" fillId="0" borderId="5301" xfId="0" applyFont="1" applyBorder="1" applyAlignment="1">
      <alignment vertical="top"/>
    </xf>
    <xf numFmtId="49" fontId="5302" fillId="0" borderId="5302" xfId="0" applyNumberFormat="1" applyFont="1" applyBorder="1" applyAlignment="1">
      <alignment vertical="top"/>
    </xf>
    <xf numFmtId="0" fontId="5303" fillId="0" borderId="5303" xfId="0" applyFont="1" applyBorder="1" applyAlignment="1">
      <alignment vertical="top"/>
    </xf>
    <xf numFmtId="0" fontId="5304" fillId="0" borderId="5304" xfId="0" applyFont="1" applyBorder="1" applyAlignment="1">
      <alignment vertical="top"/>
    </xf>
    <xf numFmtId="49" fontId="5305" fillId="0" borderId="5305" xfId="0" applyNumberFormat="1" applyFont="1" applyBorder="1" applyAlignment="1">
      <alignment vertical="top"/>
    </xf>
    <xf numFmtId="0" fontId="5306" fillId="0" borderId="5306" xfId="0" applyFont="1" applyBorder="1" applyAlignment="1">
      <alignment vertical="top"/>
    </xf>
    <xf numFmtId="0" fontId="5307" fillId="0" borderId="5307" xfId="0" applyFont="1" applyBorder="1" applyAlignment="1">
      <alignment vertical="top"/>
    </xf>
    <xf numFmtId="49" fontId="5308" fillId="0" borderId="5308" xfId="0" applyNumberFormat="1" applyFont="1" applyBorder="1" applyAlignment="1">
      <alignment vertical="top"/>
    </xf>
    <xf numFmtId="0" fontId="5309" fillId="0" borderId="5309" xfId="0" applyFont="1" applyBorder="1" applyAlignment="1">
      <alignment vertical="top"/>
    </xf>
    <xf numFmtId="0" fontId="5310" fillId="0" borderId="5310" xfId="0" applyFont="1" applyBorder="1" applyAlignment="1">
      <alignment vertical="top"/>
    </xf>
    <xf numFmtId="49" fontId="5311" fillId="0" borderId="5311" xfId="0" applyNumberFormat="1" applyFont="1" applyBorder="1" applyAlignment="1">
      <alignment vertical="top"/>
    </xf>
    <xf numFmtId="0" fontId="5312" fillId="0" borderId="5312" xfId="0" applyFont="1" applyBorder="1" applyAlignment="1">
      <alignment vertical="top"/>
    </xf>
    <xf numFmtId="0" fontId="5313" fillId="0" borderId="5313" xfId="0" applyFont="1" applyBorder="1" applyAlignment="1">
      <alignment vertical="top"/>
    </xf>
    <xf numFmtId="49" fontId="5314" fillId="0" borderId="5314" xfId="0" applyNumberFormat="1" applyFont="1" applyBorder="1" applyAlignment="1">
      <alignment vertical="top"/>
    </xf>
    <xf numFmtId="0" fontId="5315" fillId="0" borderId="5315" xfId="0" applyFont="1" applyBorder="1" applyAlignment="1">
      <alignment vertical="top"/>
    </xf>
    <xf numFmtId="0" fontId="5316" fillId="0" borderId="5316" xfId="0" applyFont="1" applyBorder="1" applyAlignment="1">
      <alignment vertical="top"/>
    </xf>
    <xf numFmtId="49" fontId="5317" fillId="0" borderId="5317" xfId="0" applyNumberFormat="1" applyFont="1" applyBorder="1" applyAlignment="1">
      <alignment vertical="top"/>
    </xf>
    <xf numFmtId="0" fontId="5318" fillId="0" borderId="5318" xfId="0" applyFont="1" applyBorder="1" applyAlignment="1">
      <alignment vertical="top"/>
    </xf>
    <xf numFmtId="0" fontId="5319" fillId="0" borderId="5319" xfId="0" applyFont="1" applyBorder="1" applyAlignment="1">
      <alignment vertical="top"/>
    </xf>
    <xf numFmtId="49" fontId="5320" fillId="0" borderId="5320" xfId="0" applyNumberFormat="1" applyFont="1" applyBorder="1" applyAlignment="1">
      <alignment vertical="top"/>
    </xf>
    <xf numFmtId="0" fontId="5321" fillId="0" borderId="5321" xfId="0" applyFont="1" applyBorder="1" applyAlignment="1">
      <alignment vertical="top"/>
    </xf>
    <xf numFmtId="0" fontId="5322" fillId="0" borderId="5322" xfId="0" applyFont="1" applyBorder="1" applyAlignment="1">
      <alignment vertical="top"/>
    </xf>
    <xf numFmtId="49" fontId="5323" fillId="0" borderId="5323" xfId="0" applyNumberFormat="1" applyFont="1" applyBorder="1" applyAlignment="1">
      <alignment vertical="top"/>
    </xf>
    <xf numFmtId="0" fontId="5324" fillId="0" borderId="5324" xfId="0" applyFont="1" applyBorder="1" applyAlignment="1">
      <alignment vertical="top"/>
    </xf>
    <xf numFmtId="0" fontId="5325" fillId="0" borderId="5325" xfId="0" applyFont="1" applyBorder="1" applyAlignment="1">
      <alignment vertical="top"/>
    </xf>
    <xf numFmtId="49" fontId="5326" fillId="0" borderId="5326" xfId="0" applyNumberFormat="1" applyFont="1" applyBorder="1" applyAlignment="1">
      <alignment vertical="top"/>
    </xf>
    <xf numFmtId="0" fontId="5327" fillId="0" borderId="5327" xfId="0" applyFont="1" applyBorder="1" applyAlignment="1">
      <alignment vertical="top"/>
    </xf>
    <xf numFmtId="0" fontId="5328" fillId="0" borderId="5328" xfId="0" applyFont="1" applyBorder="1" applyAlignment="1">
      <alignment vertical="top"/>
    </xf>
    <xf numFmtId="49" fontId="5329" fillId="0" borderId="5329" xfId="0" applyNumberFormat="1" applyFont="1" applyBorder="1" applyAlignment="1">
      <alignment vertical="top"/>
    </xf>
    <xf numFmtId="0" fontId="5330" fillId="0" borderId="5330" xfId="0" applyFont="1" applyBorder="1" applyAlignment="1">
      <alignment vertical="top"/>
    </xf>
    <xf numFmtId="0" fontId="5331" fillId="0" borderId="5331" xfId="0" applyFont="1" applyBorder="1" applyAlignment="1">
      <alignment vertical="top"/>
    </xf>
    <xf numFmtId="49" fontId="5332" fillId="0" borderId="5332" xfId="0" applyNumberFormat="1" applyFont="1" applyBorder="1" applyAlignment="1">
      <alignment vertical="top"/>
    </xf>
    <xf numFmtId="0" fontId="5333" fillId="0" borderId="5333" xfId="0" applyFont="1" applyBorder="1" applyAlignment="1">
      <alignment vertical="top"/>
    </xf>
    <xf numFmtId="0" fontId="5334" fillId="0" borderId="5334" xfId="0" applyFont="1" applyBorder="1" applyAlignment="1">
      <alignment vertical="top"/>
    </xf>
    <xf numFmtId="49" fontId="5335" fillId="0" borderId="5335" xfId="0" applyNumberFormat="1" applyFont="1" applyBorder="1" applyAlignment="1">
      <alignment vertical="top"/>
    </xf>
    <xf numFmtId="0" fontId="5336" fillId="0" borderId="5336" xfId="0" applyFont="1" applyBorder="1" applyAlignment="1">
      <alignment vertical="top"/>
    </xf>
    <xf numFmtId="0" fontId="5337" fillId="0" borderId="5337" xfId="0" applyFont="1" applyBorder="1" applyAlignment="1">
      <alignment vertical="top"/>
    </xf>
    <xf numFmtId="49" fontId="5338" fillId="0" borderId="5338" xfId="0" applyNumberFormat="1" applyFont="1" applyBorder="1" applyAlignment="1">
      <alignment vertical="top"/>
    </xf>
    <xf numFmtId="0" fontId="5339" fillId="0" borderId="5339" xfId="0" applyFont="1" applyBorder="1" applyAlignment="1">
      <alignment vertical="top"/>
    </xf>
    <xf numFmtId="0" fontId="5340" fillId="0" borderId="5340" xfId="0" applyFont="1" applyBorder="1" applyAlignment="1">
      <alignment vertical="top"/>
    </xf>
    <xf numFmtId="49" fontId="5341" fillId="0" borderId="5341" xfId="0" applyNumberFormat="1" applyFont="1" applyBorder="1" applyAlignment="1">
      <alignment vertical="top"/>
    </xf>
    <xf numFmtId="0" fontId="5342" fillId="0" borderId="5342" xfId="0" applyFont="1" applyBorder="1" applyAlignment="1">
      <alignment vertical="top"/>
    </xf>
    <xf numFmtId="0" fontId="5343" fillId="0" borderId="5343" xfId="0" applyFont="1" applyBorder="1" applyAlignment="1">
      <alignment vertical="top"/>
    </xf>
    <xf numFmtId="49" fontId="5344" fillId="0" borderId="5344" xfId="0" applyNumberFormat="1" applyFont="1" applyBorder="1" applyAlignment="1">
      <alignment vertical="top"/>
    </xf>
    <xf numFmtId="0" fontId="5345" fillId="0" borderId="5345" xfId="0" applyFont="1" applyBorder="1" applyAlignment="1">
      <alignment vertical="top"/>
    </xf>
    <xf numFmtId="0" fontId="5346" fillId="0" borderId="5346" xfId="0" applyFont="1" applyBorder="1" applyAlignment="1">
      <alignment vertical="top"/>
    </xf>
    <xf numFmtId="49" fontId="5347" fillId="0" borderId="5347" xfId="0" applyNumberFormat="1" applyFont="1" applyBorder="1" applyAlignment="1">
      <alignment vertical="top"/>
    </xf>
    <xf numFmtId="0" fontId="5348" fillId="0" borderId="5348" xfId="0" applyFont="1" applyBorder="1" applyAlignment="1">
      <alignment vertical="top"/>
    </xf>
    <xf numFmtId="0" fontId="5349" fillId="0" borderId="5349" xfId="0" applyFont="1" applyBorder="1" applyAlignment="1">
      <alignment vertical="top"/>
    </xf>
    <xf numFmtId="49" fontId="5350" fillId="0" borderId="5350" xfId="0" applyNumberFormat="1" applyFont="1" applyBorder="1" applyAlignment="1">
      <alignment vertical="top"/>
    </xf>
    <xf numFmtId="0" fontId="5351" fillId="0" borderId="5351" xfId="0" applyFont="1" applyBorder="1" applyAlignment="1">
      <alignment vertical="top"/>
    </xf>
    <xf numFmtId="0" fontId="5352" fillId="0" borderId="5352" xfId="0" applyFont="1" applyBorder="1" applyAlignment="1">
      <alignment vertical="top"/>
    </xf>
    <xf numFmtId="49" fontId="5353" fillId="0" borderId="5353" xfId="0" applyNumberFormat="1" applyFont="1" applyBorder="1" applyAlignment="1">
      <alignment vertical="top"/>
    </xf>
    <xf numFmtId="0" fontId="5354" fillId="0" borderId="5354" xfId="0" applyFont="1" applyBorder="1" applyAlignment="1">
      <alignment vertical="top"/>
    </xf>
    <xf numFmtId="0" fontId="5355" fillId="0" borderId="5355" xfId="0" applyFont="1" applyBorder="1" applyAlignment="1">
      <alignment vertical="top"/>
    </xf>
    <xf numFmtId="49" fontId="5356" fillId="0" borderId="5356" xfId="0" applyNumberFormat="1" applyFont="1" applyBorder="1" applyAlignment="1">
      <alignment vertical="top"/>
    </xf>
    <xf numFmtId="0" fontId="5357" fillId="0" borderId="5357" xfId="0" applyFont="1" applyBorder="1" applyAlignment="1">
      <alignment vertical="top"/>
    </xf>
    <xf numFmtId="0" fontId="5358" fillId="0" borderId="5358" xfId="0" applyFont="1" applyBorder="1" applyAlignment="1">
      <alignment vertical="top"/>
    </xf>
    <xf numFmtId="49" fontId="5359" fillId="0" borderId="5359" xfId="0" applyNumberFormat="1" applyFont="1" applyBorder="1" applyAlignment="1">
      <alignment vertical="top"/>
    </xf>
    <xf numFmtId="0" fontId="5360" fillId="0" borderId="5360" xfId="0" applyFont="1" applyBorder="1" applyAlignment="1">
      <alignment vertical="top"/>
    </xf>
    <xf numFmtId="0" fontId="5361" fillId="0" borderId="5361" xfId="0" applyFont="1" applyBorder="1" applyAlignment="1">
      <alignment vertical="top"/>
    </xf>
    <xf numFmtId="49" fontId="5362" fillId="0" borderId="5362" xfId="0" applyNumberFormat="1" applyFont="1" applyBorder="1" applyAlignment="1">
      <alignment vertical="top"/>
    </xf>
    <xf numFmtId="0" fontId="5363" fillId="0" borderId="5363" xfId="0" applyFont="1" applyBorder="1" applyAlignment="1">
      <alignment vertical="top"/>
    </xf>
    <xf numFmtId="0" fontId="5364" fillId="0" borderId="5364" xfId="0" applyFont="1" applyBorder="1" applyAlignment="1">
      <alignment vertical="top"/>
    </xf>
    <xf numFmtId="49" fontId="5365" fillId="0" borderId="5365" xfId="0" applyNumberFormat="1" applyFont="1" applyBorder="1" applyAlignment="1">
      <alignment vertical="top"/>
    </xf>
    <xf numFmtId="0" fontId="5366" fillId="0" borderId="5366" xfId="0" applyFont="1" applyBorder="1" applyAlignment="1">
      <alignment vertical="top"/>
    </xf>
    <xf numFmtId="0" fontId="5367" fillId="0" borderId="5367" xfId="0" applyFont="1" applyBorder="1" applyAlignment="1">
      <alignment vertical="top"/>
    </xf>
    <xf numFmtId="49" fontId="5368" fillId="0" borderId="5368" xfId="0" applyNumberFormat="1" applyFont="1" applyBorder="1" applyAlignment="1">
      <alignment vertical="top"/>
    </xf>
    <xf numFmtId="0" fontId="5369" fillId="0" borderId="5369" xfId="0" applyFont="1" applyBorder="1" applyAlignment="1">
      <alignment vertical="top"/>
    </xf>
    <xf numFmtId="0" fontId="5370" fillId="0" borderId="5370" xfId="0" applyFont="1" applyBorder="1" applyAlignment="1">
      <alignment vertical="top"/>
    </xf>
    <xf numFmtId="49" fontId="5371" fillId="0" borderId="5371" xfId="0" applyNumberFormat="1" applyFont="1" applyBorder="1" applyAlignment="1">
      <alignment vertical="top"/>
    </xf>
    <xf numFmtId="0" fontId="5372" fillId="0" borderId="5372" xfId="0" applyFont="1" applyBorder="1" applyAlignment="1">
      <alignment vertical="top"/>
    </xf>
    <xf numFmtId="0" fontId="5373" fillId="0" borderId="5373" xfId="0" applyFont="1" applyBorder="1" applyAlignment="1">
      <alignment vertical="top"/>
    </xf>
    <xf numFmtId="49" fontId="5374" fillId="0" borderId="5374" xfId="0" applyNumberFormat="1" applyFont="1" applyBorder="1" applyAlignment="1">
      <alignment vertical="top"/>
    </xf>
    <xf numFmtId="0" fontId="5375" fillId="0" borderId="5375" xfId="0" applyFont="1" applyBorder="1" applyAlignment="1">
      <alignment vertical="top"/>
    </xf>
    <xf numFmtId="0" fontId="5376" fillId="0" borderId="5376" xfId="0" applyFont="1" applyBorder="1" applyAlignment="1">
      <alignment vertical="top"/>
    </xf>
    <xf numFmtId="49" fontId="5377" fillId="0" borderId="5377" xfId="0" applyNumberFormat="1" applyFont="1" applyBorder="1" applyAlignment="1">
      <alignment vertical="top"/>
    </xf>
    <xf numFmtId="0" fontId="5378" fillId="0" borderId="5378" xfId="0" applyFont="1" applyBorder="1" applyAlignment="1">
      <alignment vertical="top"/>
    </xf>
    <xf numFmtId="0" fontId="5379" fillId="0" borderId="5379" xfId="0" applyFont="1" applyBorder="1" applyAlignment="1">
      <alignment vertical="top"/>
    </xf>
    <xf numFmtId="49" fontId="5380" fillId="0" borderId="5380" xfId="0" applyNumberFormat="1" applyFont="1" applyBorder="1" applyAlignment="1">
      <alignment vertical="top"/>
    </xf>
    <xf numFmtId="0" fontId="5381" fillId="0" borderId="5381" xfId="0" applyFont="1" applyBorder="1" applyAlignment="1">
      <alignment vertical="top"/>
    </xf>
    <xf numFmtId="0" fontId="5382" fillId="0" borderId="5382" xfId="0" applyFont="1" applyBorder="1" applyAlignment="1">
      <alignment vertical="top"/>
    </xf>
    <xf numFmtId="49" fontId="5383" fillId="0" borderId="5383" xfId="0" applyNumberFormat="1" applyFont="1" applyBorder="1" applyAlignment="1">
      <alignment vertical="top"/>
    </xf>
    <xf numFmtId="0" fontId="5384" fillId="0" borderId="5384" xfId="0" applyFont="1" applyBorder="1" applyAlignment="1">
      <alignment vertical="top"/>
    </xf>
    <xf numFmtId="0" fontId="5385" fillId="0" borderId="5385" xfId="0" applyFont="1" applyBorder="1" applyAlignment="1">
      <alignment vertical="top"/>
    </xf>
    <xf numFmtId="49" fontId="5386" fillId="0" borderId="5386" xfId="0" applyNumberFormat="1" applyFont="1" applyBorder="1" applyAlignment="1">
      <alignment vertical="top"/>
    </xf>
    <xf numFmtId="0" fontId="5387" fillId="0" borderId="5387" xfId="0" applyFont="1" applyBorder="1" applyAlignment="1">
      <alignment vertical="top"/>
    </xf>
    <xf numFmtId="0" fontId="5388" fillId="0" borderId="5388" xfId="0" applyFont="1" applyBorder="1" applyAlignment="1">
      <alignment vertical="top"/>
    </xf>
    <xf numFmtId="49" fontId="5389" fillId="0" borderId="5389" xfId="0" applyNumberFormat="1" applyFont="1" applyBorder="1" applyAlignment="1">
      <alignment vertical="top"/>
    </xf>
    <xf numFmtId="0" fontId="5390" fillId="0" borderId="5390" xfId="0" applyFont="1" applyBorder="1" applyAlignment="1">
      <alignment vertical="top"/>
    </xf>
    <xf numFmtId="0" fontId="5391" fillId="0" borderId="5391" xfId="0" applyFont="1" applyBorder="1" applyAlignment="1">
      <alignment vertical="top"/>
    </xf>
    <xf numFmtId="49" fontId="5392" fillId="0" borderId="5392" xfId="0" applyNumberFormat="1" applyFont="1" applyBorder="1" applyAlignment="1">
      <alignment vertical="top"/>
    </xf>
    <xf numFmtId="0" fontId="5393" fillId="0" borderId="5393" xfId="0" applyFont="1" applyBorder="1" applyAlignment="1">
      <alignment vertical="top"/>
    </xf>
    <xf numFmtId="0" fontId="5394" fillId="0" borderId="5394" xfId="0" applyFont="1" applyBorder="1" applyAlignment="1">
      <alignment vertical="top"/>
    </xf>
    <xf numFmtId="49" fontId="5395" fillId="0" borderId="5395" xfId="0" applyNumberFormat="1" applyFont="1" applyBorder="1" applyAlignment="1">
      <alignment vertical="top"/>
    </xf>
    <xf numFmtId="0" fontId="5396" fillId="0" borderId="5396" xfId="0" applyFont="1" applyBorder="1" applyAlignment="1">
      <alignment vertical="top"/>
    </xf>
    <xf numFmtId="0" fontId="5397" fillId="0" borderId="5397" xfId="0" applyFont="1" applyBorder="1" applyAlignment="1">
      <alignment vertical="top"/>
    </xf>
    <xf numFmtId="49" fontId="5398" fillId="0" borderId="5398" xfId="0" applyNumberFormat="1" applyFont="1" applyBorder="1" applyAlignment="1">
      <alignment vertical="top"/>
    </xf>
    <xf numFmtId="0" fontId="5399" fillId="0" borderId="5399" xfId="0" applyFont="1" applyBorder="1" applyAlignment="1">
      <alignment vertical="top"/>
    </xf>
    <xf numFmtId="0" fontId="5400" fillId="0" borderId="5400" xfId="0" applyFont="1" applyBorder="1" applyAlignment="1">
      <alignment vertical="top"/>
    </xf>
    <xf numFmtId="49" fontId="5401" fillId="0" borderId="5401" xfId="0" applyNumberFormat="1" applyFont="1" applyBorder="1" applyAlignment="1">
      <alignment vertical="top"/>
    </xf>
    <xf numFmtId="0" fontId="5402" fillId="0" borderId="5402" xfId="0" applyFont="1" applyBorder="1" applyAlignment="1">
      <alignment vertical="top"/>
    </xf>
    <xf numFmtId="0" fontId="5403" fillId="0" borderId="5403" xfId="0" applyFont="1" applyBorder="1" applyAlignment="1">
      <alignment vertical="top"/>
    </xf>
    <xf numFmtId="49" fontId="5404" fillId="0" borderId="5404" xfId="0" applyNumberFormat="1" applyFont="1" applyBorder="1" applyAlignment="1">
      <alignment vertical="top"/>
    </xf>
    <xf numFmtId="0" fontId="5405" fillId="0" borderId="5405" xfId="0" applyFont="1" applyBorder="1" applyAlignment="1">
      <alignment vertical="top"/>
    </xf>
    <xf numFmtId="0" fontId="5406" fillId="0" borderId="5406" xfId="0" applyFont="1" applyBorder="1" applyAlignment="1">
      <alignment vertical="top"/>
    </xf>
    <xf numFmtId="49" fontId="5407" fillId="0" borderId="5407" xfId="0" applyNumberFormat="1" applyFont="1" applyBorder="1" applyAlignment="1">
      <alignment vertical="top"/>
    </xf>
    <xf numFmtId="0" fontId="5408" fillId="0" borderId="5408" xfId="0" applyFont="1" applyBorder="1" applyAlignment="1">
      <alignment vertical="top"/>
    </xf>
    <xf numFmtId="0" fontId="5409" fillId="0" borderId="5409" xfId="0" applyFont="1" applyBorder="1" applyAlignment="1">
      <alignment vertical="top"/>
    </xf>
    <xf numFmtId="49" fontId="5410" fillId="0" borderId="5410" xfId="0" applyNumberFormat="1" applyFont="1" applyBorder="1" applyAlignment="1">
      <alignment vertical="top"/>
    </xf>
    <xf numFmtId="0" fontId="5411" fillId="0" borderId="5411" xfId="0" applyFont="1" applyBorder="1" applyAlignment="1">
      <alignment vertical="top"/>
    </xf>
    <xf numFmtId="0" fontId="5412" fillId="0" borderId="5412" xfId="0" applyFont="1" applyBorder="1" applyAlignment="1">
      <alignment vertical="top"/>
    </xf>
    <xf numFmtId="49" fontId="5413" fillId="0" borderId="5413" xfId="0" applyNumberFormat="1" applyFont="1" applyBorder="1" applyAlignment="1">
      <alignment vertical="top"/>
    </xf>
    <xf numFmtId="0" fontId="5414" fillId="0" borderId="5414" xfId="0" applyFont="1" applyBorder="1" applyAlignment="1">
      <alignment vertical="top"/>
    </xf>
    <xf numFmtId="0" fontId="5415" fillId="0" borderId="5415" xfId="0" applyFont="1" applyBorder="1" applyAlignment="1">
      <alignment vertical="top"/>
    </xf>
    <xf numFmtId="49" fontId="5416" fillId="0" borderId="5416" xfId="0" applyNumberFormat="1" applyFont="1" applyBorder="1" applyAlignment="1">
      <alignment vertical="top"/>
    </xf>
    <xf numFmtId="0" fontId="5417" fillId="0" borderId="5417" xfId="0" applyFont="1" applyBorder="1" applyAlignment="1">
      <alignment vertical="top"/>
    </xf>
    <xf numFmtId="0" fontId="5418" fillId="0" borderId="5418" xfId="0" applyFont="1" applyBorder="1" applyAlignment="1">
      <alignment vertical="top"/>
    </xf>
    <xf numFmtId="49" fontId="5419" fillId="0" borderId="5419" xfId="0" applyNumberFormat="1" applyFont="1" applyBorder="1" applyAlignment="1">
      <alignment vertical="top"/>
    </xf>
    <xf numFmtId="0" fontId="5420" fillId="0" borderId="5420" xfId="0" applyFont="1" applyBorder="1" applyAlignment="1">
      <alignment vertical="top"/>
    </xf>
    <xf numFmtId="0" fontId="5421" fillId="0" borderId="5421" xfId="0" applyFont="1" applyBorder="1" applyAlignment="1">
      <alignment vertical="top"/>
    </xf>
    <xf numFmtId="49" fontId="5422" fillId="0" borderId="5422" xfId="0" applyNumberFormat="1" applyFont="1" applyBorder="1" applyAlignment="1">
      <alignment vertical="top"/>
    </xf>
    <xf numFmtId="0" fontId="5423" fillId="0" borderId="5423" xfId="0" applyFont="1" applyBorder="1" applyAlignment="1">
      <alignment vertical="top"/>
    </xf>
    <xf numFmtId="0" fontId="5424" fillId="0" borderId="5424" xfId="0" applyFont="1" applyBorder="1" applyAlignment="1">
      <alignment vertical="top"/>
    </xf>
    <xf numFmtId="49" fontId="5425" fillId="0" borderId="5425" xfId="0" applyNumberFormat="1" applyFont="1" applyBorder="1" applyAlignment="1">
      <alignment vertical="top"/>
    </xf>
    <xf numFmtId="0" fontId="5426" fillId="0" borderId="5426" xfId="0" applyFont="1" applyBorder="1" applyAlignment="1">
      <alignment vertical="top"/>
    </xf>
    <xf numFmtId="0" fontId="5427" fillId="0" borderId="5427" xfId="0" applyFont="1" applyBorder="1" applyAlignment="1">
      <alignment vertical="top"/>
    </xf>
    <xf numFmtId="49" fontId="5428" fillId="0" borderId="5428" xfId="0" applyNumberFormat="1" applyFont="1" applyBorder="1" applyAlignment="1">
      <alignment vertical="top"/>
    </xf>
    <xf numFmtId="0" fontId="5429" fillId="0" borderId="5429" xfId="0" applyFont="1" applyBorder="1" applyAlignment="1">
      <alignment vertical="top"/>
    </xf>
    <xf numFmtId="0" fontId="5430" fillId="0" borderId="5430" xfId="0" applyFont="1" applyBorder="1" applyAlignment="1">
      <alignment vertical="top"/>
    </xf>
    <xf numFmtId="49" fontId="5431" fillId="0" borderId="5431" xfId="0" applyNumberFormat="1" applyFont="1" applyBorder="1" applyAlignment="1">
      <alignment vertical="top"/>
    </xf>
    <xf numFmtId="0" fontId="5432" fillId="0" borderId="5432" xfId="0" applyFont="1" applyBorder="1" applyAlignment="1">
      <alignment vertical="top"/>
    </xf>
    <xf numFmtId="0" fontId="5433" fillId="0" borderId="5433" xfId="0" applyFont="1" applyBorder="1" applyAlignment="1">
      <alignment vertical="top"/>
    </xf>
    <xf numFmtId="49" fontId="5434" fillId="0" borderId="5434" xfId="0" applyNumberFormat="1" applyFont="1" applyBorder="1" applyAlignment="1">
      <alignment vertical="top"/>
    </xf>
    <xf numFmtId="0" fontId="5435" fillId="0" borderId="5435" xfId="0" applyFont="1" applyBorder="1" applyAlignment="1">
      <alignment vertical="top"/>
    </xf>
    <xf numFmtId="0" fontId="5436" fillId="0" borderId="5436" xfId="0" applyFont="1" applyBorder="1" applyAlignment="1">
      <alignment vertical="top"/>
    </xf>
    <xf numFmtId="49" fontId="5437" fillId="0" borderId="5437" xfId="0" applyNumberFormat="1" applyFont="1" applyBorder="1" applyAlignment="1">
      <alignment vertical="top"/>
    </xf>
    <xf numFmtId="0" fontId="5438" fillId="0" borderId="5438" xfId="0" applyFont="1" applyBorder="1" applyAlignment="1">
      <alignment vertical="top"/>
    </xf>
    <xf numFmtId="0" fontId="5439" fillId="0" borderId="5439" xfId="0" applyFont="1" applyBorder="1" applyAlignment="1">
      <alignment vertical="top"/>
    </xf>
    <xf numFmtId="49" fontId="5440" fillId="0" borderId="5440" xfId="0" applyNumberFormat="1" applyFont="1" applyBorder="1" applyAlignment="1">
      <alignment vertical="top"/>
    </xf>
    <xf numFmtId="0" fontId="5441" fillId="0" borderId="5441" xfId="0" applyFont="1" applyBorder="1" applyAlignment="1">
      <alignment vertical="top"/>
    </xf>
    <xf numFmtId="0" fontId="5442" fillId="0" borderId="5442" xfId="0" applyFont="1" applyBorder="1" applyAlignment="1">
      <alignment vertical="top"/>
    </xf>
    <xf numFmtId="49" fontId="5443" fillId="0" borderId="5443" xfId="0" applyNumberFormat="1" applyFont="1" applyBorder="1" applyAlignment="1">
      <alignment vertical="top"/>
    </xf>
    <xf numFmtId="0" fontId="5444" fillId="0" borderId="5444" xfId="0" applyFont="1" applyBorder="1" applyAlignment="1">
      <alignment vertical="top"/>
    </xf>
    <xf numFmtId="0" fontId="5445" fillId="0" borderId="5445" xfId="0" applyFont="1" applyBorder="1" applyAlignment="1">
      <alignment vertical="top"/>
    </xf>
    <xf numFmtId="49" fontId="5446" fillId="0" borderId="5446" xfId="0" applyNumberFormat="1" applyFont="1" applyBorder="1" applyAlignment="1">
      <alignment vertical="top"/>
    </xf>
    <xf numFmtId="0" fontId="5447" fillId="0" borderId="5447" xfId="0" applyFont="1" applyBorder="1" applyAlignment="1">
      <alignment vertical="top"/>
    </xf>
    <xf numFmtId="0" fontId="5448" fillId="0" borderId="5448" xfId="0" applyFont="1" applyBorder="1" applyAlignment="1">
      <alignment vertical="top"/>
    </xf>
    <xf numFmtId="49" fontId="5449" fillId="0" borderId="5449" xfId="0" applyNumberFormat="1" applyFont="1" applyBorder="1" applyAlignment="1">
      <alignment vertical="top"/>
    </xf>
    <xf numFmtId="0" fontId="5450" fillId="0" borderId="5450" xfId="0" applyFont="1" applyBorder="1" applyAlignment="1">
      <alignment vertical="top"/>
    </xf>
    <xf numFmtId="0" fontId="5451" fillId="0" borderId="5451" xfId="0" applyFont="1" applyBorder="1" applyAlignment="1">
      <alignment vertical="top"/>
    </xf>
    <xf numFmtId="49" fontId="5452" fillId="0" borderId="5452" xfId="0" applyNumberFormat="1" applyFont="1" applyBorder="1" applyAlignment="1">
      <alignment vertical="top"/>
    </xf>
    <xf numFmtId="0" fontId="5453" fillId="0" borderId="5453" xfId="0" applyFont="1" applyBorder="1" applyAlignment="1">
      <alignment vertical="top"/>
    </xf>
    <xf numFmtId="0" fontId="5454" fillId="0" borderId="5454" xfId="0" applyFont="1" applyBorder="1" applyAlignment="1">
      <alignment vertical="top"/>
    </xf>
    <xf numFmtId="49" fontId="5455" fillId="0" borderId="5455" xfId="0" applyNumberFormat="1" applyFont="1" applyBorder="1" applyAlignment="1">
      <alignment vertical="top"/>
    </xf>
    <xf numFmtId="0" fontId="5456" fillId="0" borderId="5456" xfId="0" applyFont="1" applyBorder="1" applyAlignment="1">
      <alignment vertical="top"/>
    </xf>
    <xf numFmtId="0" fontId="5457" fillId="0" borderId="5457" xfId="0" applyFont="1" applyBorder="1" applyAlignment="1">
      <alignment vertical="top"/>
    </xf>
    <xf numFmtId="49" fontId="5458" fillId="0" borderId="5458" xfId="0" applyNumberFormat="1" applyFont="1" applyBorder="1" applyAlignment="1">
      <alignment vertical="top"/>
    </xf>
    <xf numFmtId="0" fontId="5459" fillId="0" borderId="5459" xfId="0" applyFont="1" applyBorder="1" applyAlignment="1">
      <alignment vertical="top"/>
    </xf>
    <xf numFmtId="0" fontId="5460" fillId="0" borderId="5460" xfId="0" applyFont="1" applyBorder="1" applyAlignment="1">
      <alignment vertical="top"/>
    </xf>
    <xf numFmtId="49" fontId="5461" fillId="0" borderId="5461" xfId="0" applyNumberFormat="1" applyFont="1" applyBorder="1" applyAlignment="1">
      <alignment vertical="top"/>
    </xf>
    <xf numFmtId="0" fontId="5462" fillId="0" borderId="5462" xfId="0" applyFont="1" applyBorder="1" applyAlignment="1">
      <alignment vertical="top"/>
    </xf>
    <xf numFmtId="0" fontId="5463" fillId="0" borderId="5463" xfId="0" applyFont="1" applyBorder="1" applyAlignment="1">
      <alignment vertical="top"/>
    </xf>
    <xf numFmtId="49" fontId="5464" fillId="0" borderId="5464" xfId="0" applyNumberFormat="1" applyFont="1" applyBorder="1" applyAlignment="1">
      <alignment vertical="top"/>
    </xf>
    <xf numFmtId="0" fontId="5465" fillId="0" borderId="5465" xfId="0" applyFont="1" applyBorder="1" applyAlignment="1">
      <alignment vertical="top"/>
    </xf>
    <xf numFmtId="0" fontId="5466" fillId="0" borderId="5466" xfId="0" applyFont="1" applyBorder="1" applyAlignment="1">
      <alignment vertical="top"/>
    </xf>
    <xf numFmtId="49" fontId="5467" fillId="0" borderId="5467" xfId="0" applyNumberFormat="1" applyFont="1" applyBorder="1" applyAlignment="1">
      <alignment vertical="top"/>
    </xf>
    <xf numFmtId="0" fontId="5468" fillId="0" borderId="5468" xfId="0" applyFont="1" applyBorder="1" applyAlignment="1">
      <alignment vertical="top"/>
    </xf>
    <xf numFmtId="0" fontId="5469" fillId="0" borderId="5469" xfId="0" applyFont="1" applyBorder="1" applyAlignment="1">
      <alignment vertical="top"/>
    </xf>
    <xf numFmtId="49" fontId="5470" fillId="0" borderId="5470" xfId="0" applyNumberFormat="1" applyFont="1" applyBorder="1" applyAlignment="1">
      <alignment vertical="top"/>
    </xf>
    <xf numFmtId="0" fontId="5471" fillId="0" borderId="5471" xfId="0" applyFont="1" applyBorder="1" applyAlignment="1">
      <alignment vertical="top"/>
    </xf>
    <xf numFmtId="0" fontId="5472" fillId="0" borderId="5472" xfId="0" applyFont="1" applyBorder="1" applyAlignment="1">
      <alignment vertical="top"/>
    </xf>
    <xf numFmtId="49" fontId="5473" fillId="0" borderId="5473" xfId="0" applyNumberFormat="1" applyFont="1" applyBorder="1" applyAlignment="1">
      <alignment vertical="top"/>
    </xf>
    <xf numFmtId="0" fontId="5474" fillId="0" borderId="5474" xfId="0" applyFont="1" applyBorder="1" applyAlignment="1">
      <alignment vertical="top"/>
    </xf>
    <xf numFmtId="0" fontId="5475" fillId="0" borderId="5475" xfId="0" applyFont="1" applyBorder="1" applyAlignment="1">
      <alignment vertical="top"/>
    </xf>
    <xf numFmtId="49" fontId="5476" fillId="0" borderId="5476" xfId="0" applyNumberFormat="1" applyFont="1" applyBorder="1" applyAlignment="1">
      <alignment vertical="top"/>
    </xf>
    <xf numFmtId="0" fontId="5477" fillId="0" borderId="5477" xfId="0" applyFont="1" applyBorder="1" applyAlignment="1">
      <alignment vertical="top"/>
    </xf>
    <xf numFmtId="0" fontId="5478" fillId="0" borderId="5478" xfId="0" applyFont="1" applyBorder="1" applyAlignment="1">
      <alignment vertical="top"/>
    </xf>
    <xf numFmtId="49" fontId="5479" fillId="0" borderId="5479" xfId="0" applyNumberFormat="1" applyFont="1" applyBorder="1" applyAlignment="1">
      <alignment vertical="top"/>
    </xf>
    <xf numFmtId="0" fontId="5480" fillId="0" borderId="5480" xfId="0" applyFont="1" applyBorder="1" applyAlignment="1">
      <alignment vertical="top"/>
    </xf>
    <xf numFmtId="0" fontId="5481" fillId="0" borderId="5481" xfId="0" applyFont="1" applyBorder="1" applyAlignment="1">
      <alignment vertical="top"/>
    </xf>
    <xf numFmtId="49" fontId="5482" fillId="0" borderId="5482" xfId="0" applyNumberFormat="1" applyFont="1" applyBorder="1" applyAlignment="1">
      <alignment vertical="top"/>
    </xf>
    <xf numFmtId="0" fontId="5483" fillId="0" borderId="5483" xfId="0" applyFont="1" applyBorder="1" applyAlignment="1">
      <alignment vertical="top"/>
    </xf>
    <xf numFmtId="0" fontId="5484" fillId="0" borderId="5484" xfId="0" applyFont="1" applyBorder="1" applyAlignment="1">
      <alignment vertical="top"/>
    </xf>
    <xf numFmtId="49" fontId="5485" fillId="0" borderId="5485" xfId="0" applyNumberFormat="1" applyFont="1" applyBorder="1" applyAlignment="1">
      <alignment vertical="top"/>
    </xf>
    <xf numFmtId="0" fontId="5486" fillId="0" borderId="5486" xfId="0" applyFont="1" applyBorder="1" applyAlignment="1">
      <alignment vertical="top"/>
    </xf>
    <xf numFmtId="0" fontId="5487" fillId="0" borderId="5487" xfId="0" applyFont="1" applyBorder="1" applyAlignment="1">
      <alignment vertical="top"/>
    </xf>
    <xf numFmtId="49" fontId="5488" fillId="0" borderId="5488" xfId="0" applyNumberFormat="1" applyFont="1" applyBorder="1" applyAlignment="1">
      <alignment vertical="top"/>
    </xf>
    <xf numFmtId="0" fontId="5489" fillId="0" borderId="5489" xfId="0" applyFont="1" applyBorder="1" applyAlignment="1">
      <alignment vertical="top"/>
    </xf>
    <xf numFmtId="0" fontId="5490" fillId="0" borderId="5490" xfId="0" applyFont="1" applyBorder="1" applyAlignment="1">
      <alignment vertical="top"/>
    </xf>
    <xf numFmtId="49" fontId="5491" fillId="0" borderId="5491" xfId="0" applyNumberFormat="1" applyFont="1" applyBorder="1" applyAlignment="1">
      <alignment vertical="top"/>
    </xf>
    <xf numFmtId="0" fontId="5492" fillId="0" borderId="5492" xfId="0" applyFont="1" applyBorder="1" applyAlignment="1">
      <alignment vertical="top"/>
    </xf>
    <xf numFmtId="0" fontId="5493" fillId="0" borderId="5493" xfId="0" applyFont="1" applyBorder="1" applyAlignment="1">
      <alignment vertical="top"/>
    </xf>
    <xf numFmtId="49" fontId="5494" fillId="0" borderId="5494" xfId="0" applyNumberFormat="1" applyFont="1" applyBorder="1" applyAlignment="1">
      <alignment vertical="top"/>
    </xf>
    <xf numFmtId="0" fontId="5495" fillId="0" borderId="5495" xfId="0" applyFont="1" applyBorder="1" applyAlignment="1">
      <alignment vertical="top"/>
    </xf>
    <xf numFmtId="0" fontId="5496" fillId="0" borderId="5496" xfId="0" applyFont="1" applyBorder="1" applyAlignment="1">
      <alignment vertical="top"/>
    </xf>
    <xf numFmtId="49" fontId="5497" fillId="0" borderId="5497" xfId="0" applyNumberFormat="1" applyFont="1" applyBorder="1" applyAlignment="1">
      <alignment vertical="top"/>
    </xf>
    <xf numFmtId="0" fontId="5498" fillId="0" borderId="5498" xfId="0" applyFont="1" applyBorder="1" applyAlignment="1">
      <alignment vertical="top"/>
    </xf>
    <xf numFmtId="0" fontId="5499" fillId="0" borderId="5499" xfId="0" applyFont="1" applyBorder="1" applyAlignment="1">
      <alignment vertical="top"/>
    </xf>
    <xf numFmtId="49" fontId="5500" fillId="0" borderId="5500" xfId="0" applyNumberFormat="1" applyFont="1" applyBorder="1" applyAlignment="1">
      <alignment vertical="top"/>
    </xf>
    <xf numFmtId="0" fontId="5501" fillId="0" borderId="5501" xfId="0" applyFont="1" applyBorder="1" applyAlignment="1">
      <alignment vertical="top"/>
    </xf>
    <xf numFmtId="0" fontId="5502" fillId="0" borderId="5502" xfId="0" applyFont="1" applyBorder="1" applyAlignment="1">
      <alignment vertical="top"/>
    </xf>
    <xf numFmtId="49" fontId="5503" fillId="0" borderId="5503" xfId="0" applyNumberFormat="1" applyFont="1" applyBorder="1" applyAlignment="1">
      <alignment vertical="top"/>
    </xf>
    <xf numFmtId="0" fontId="5504" fillId="0" borderId="5504" xfId="0" applyFont="1" applyBorder="1" applyAlignment="1">
      <alignment vertical="top"/>
    </xf>
    <xf numFmtId="0" fontId="5505" fillId="0" borderId="5505" xfId="0" applyFont="1" applyBorder="1" applyAlignment="1">
      <alignment vertical="top"/>
    </xf>
    <xf numFmtId="49" fontId="5506" fillId="0" borderId="5506" xfId="0" applyNumberFormat="1" applyFont="1" applyBorder="1" applyAlignment="1">
      <alignment vertical="top"/>
    </xf>
    <xf numFmtId="0" fontId="5507" fillId="0" borderId="5507" xfId="0" applyFont="1" applyBorder="1" applyAlignment="1">
      <alignment vertical="top"/>
    </xf>
    <xf numFmtId="0" fontId="5508" fillId="0" borderId="5508" xfId="0" applyFont="1" applyBorder="1" applyAlignment="1">
      <alignment vertical="top"/>
    </xf>
    <xf numFmtId="49" fontId="5509" fillId="0" borderId="5509" xfId="0" applyNumberFormat="1" applyFont="1" applyBorder="1" applyAlignment="1">
      <alignment vertical="top"/>
    </xf>
    <xf numFmtId="0" fontId="5510" fillId="0" borderId="5510" xfId="0" applyFont="1" applyBorder="1" applyAlignment="1">
      <alignment vertical="top"/>
    </xf>
    <xf numFmtId="0" fontId="5511" fillId="0" borderId="5511" xfId="0" applyFont="1" applyBorder="1" applyAlignment="1">
      <alignment vertical="top"/>
    </xf>
    <xf numFmtId="49" fontId="5512" fillId="0" borderId="5512" xfId="0" applyNumberFormat="1" applyFont="1" applyBorder="1" applyAlignment="1">
      <alignment vertical="top"/>
    </xf>
    <xf numFmtId="0" fontId="5513" fillId="0" borderId="5513" xfId="0" applyFont="1" applyBorder="1" applyAlignment="1">
      <alignment vertical="top"/>
    </xf>
    <xf numFmtId="0" fontId="5514" fillId="0" borderId="5514" xfId="0" applyFont="1" applyBorder="1" applyAlignment="1">
      <alignment vertical="top"/>
    </xf>
    <xf numFmtId="49" fontId="5515" fillId="0" borderId="5515" xfId="0" applyNumberFormat="1" applyFont="1" applyBorder="1" applyAlignment="1">
      <alignment vertical="top"/>
    </xf>
    <xf numFmtId="0" fontId="5516" fillId="0" borderId="5516" xfId="0" applyFont="1" applyBorder="1" applyAlignment="1">
      <alignment vertical="top"/>
    </xf>
    <xf numFmtId="0" fontId="5517" fillId="0" borderId="5517" xfId="0" applyFont="1" applyBorder="1" applyAlignment="1">
      <alignment vertical="top"/>
    </xf>
    <xf numFmtId="49" fontId="5518" fillId="0" borderId="5518" xfId="0" applyNumberFormat="1" applyFont="1" applyBorder="1" applyAlignment="1">
      <alignment vertical="top"/>
    </xf>
    <xf numFmtId="0" fontId="5519" fillId="0" borderId="5519" xfId="0" applyFont="1" applyBorder="1" applyAlignment="1">
      <alignment vertical="top"/>
    </xf>
    <xf numFmtId="0" fontId="5520" fillId="0" borderId="5520" xfId="0" applyFont="1" applyBorder="1" applyAlignment="1">
      <alignment vertical="top"/>
    </xf>
    <xf numFmtId="49" fontId="5521" fillId="0" borderId="5521" xfId="0" applyNumberFormat="1" applyFont="1" applyBorder="1" applyAlignment="1">
      <alignment vertical="top"/>
    </xf>
    <xf numFmtId="0" fontId="5522" fillId="0" borderId="5522" xfId="0" applyFont="1" applyBorder="1" applyAlignment="1">
      <alignment vertical="top"/>
    </xf>
    <xf numFmtId="0" fontId="5523" fillId="0" borderId="5523" xfId="0" applyFont="1" applyBorder="1" applyAlignment="1">
      <alignment vertical="top"/>
    </xf>
    <xf numFmtId="49" fontId="5524" fillId="0" borderId="5524" xfId="0" applyNumberFormat="1" applyFont="1" applyBorder="1" applyAlignment="1">
      <alignment vertical="top"/>
    </xf>
    <xf numFmtId="0" fontId="5525" fillId="0" borderId="5525" xfId="0" applyFont="1" applyBorder="1" applyAlignment="1">
      <alignment vertical="top"/>
    </xf>
    <xf numFmtId="0" fontId="5526" fillId="0" borderId="5526" xfId="0" applyFont="1" applyBorder="1" applyAlignment="1">
      <alignment vertical="top"/>
    </xf>
    <xf numFmtId="49" fontId="5527" fillId="0" borderId="5527" xfId="0" applyNumberFormat="1" applyFont="1" applyBorder="1" applyAlignment="1">
      <alignment vertical="top"/>
    </xf>
    <xf numFmtId="0" fontId="5528" fillId="0" borderId="5528" xfId="0" applyFont="1" applyBorder="1" applyAlignment="1">
      <alignment vertical="top"/>
    </xf>
    <xf numFmtId="0" fontId="5529" fillId="0" borderId="5529" xfId="0" applyFont="1" applyBorder="1" applyAlignment="1">
      <alignment vertical="top"/>
    </xf>
    <xf numFmtId="49" fontId="5530" fillId="0" borderId="5530" xfId="0" applyNumberFormat="1" applyFont="1" applyBorder="1" applyAlignment="1">
      <alignment vertical="top"/>
    </xf>
    <xf numFmtId="0" fontId="5531" fillId="0" borderId="5531" xfId="0" applyFont="1" applyBorder="1" applyAlignment="1">
      <alignment vertical="top"/>
    </xf>
    <xf numFmtId="0" fontId="5532" fillId="0" borderId="5532" xfId="0" applyFont="1" applyBorder="1" applyAlignment="1">
      <alignment vertical="top"/>
    </xf>
    <xf numFmtId="49" fontId="5533" fillId="0" borderId="5533" xfId="0" applyNumberFormat="1" applyFont="1" applyBorder="1" applyAlignment="1">
      <alignment vertical="top"/>
    </xf>
    <xf numFmtId="0" fontId="5534" fillId="0" borderId="5534" xfId="0" applyFont="1" applyBorder="1" applyAlignment="1">
      <alignment vertical="top"/>
    </xf>
    <xf numFmtId="0" fontId="5535" fillId="0" borderId="5535" xfId="0" applyFont="1" applyBorder="1" applyAlignment="1">
      <alignment vertical="top"/>
    </xf>
    <xf numFmtId="49" fontId="5536" fillId="0" borderId="5536" xfId="0" applyNumberFormat="1" applyFont="1" applyBorder="1" applyAlignment="1">
      <alignment vertical="top"/>
    </xf>
    <xf numFmtId="0" fontId="5537" fillId="0" borderId="5537" xfId="0" applyFont="1" applyBorder="1" applyAlignment="1">
      <alignment vertical="top"/>
    </xf>
    <xf numFmtId="0" fontId="5538" fillId="0" borderId="5538" xfId="0" applyFont="1" applyBorder="1" applyAlignment="1">
      <alignment vertical="top"/>
    </xf>
    <xf numFmtId="49" fontId="5539" fillId="0" borderId="5539" xfId="0" applyNumberFormat="1" applyFont="1" applyBorder="1" applyAlignment="1">
      <alignment vertical="top"/>
    </xf>
    <xf numFmtId="0" fontId="5540" fillId="0" borderId="5540" xfId="0" applyFont="1" applyBorder="1" applyAlignment="1">
      <alignment vertical="top"/>
    </xf>
    <xf numFmtId="0" fontId="5541" fillId="0" borderId="5541" xfId="0" applyFont="1" applyBorder="1" applyAlignment="1">
      <alignment vertical="top"/>
    </xf>
    <xf numFmtId="49" fontId="5542" fillId="0" borderId="5542" xfId="0" applyNumberFormat="1" applyFont="1" applyBorder="1" applyAlignment="1">
      <alignment vertical="top"/>
    </xf>
    <xf numFmtId="0" fontId="5543" fillId="0" borderId="5543" xfId="0" applyFont="1" applyBorder="1" applyAlignment="1">
      <alignment vertical="top"/>
    </xf>
    <xf numFmtId="0" fontId="5544" fillId="0" borderId="5544" xfId="0" applyFont="1" applyBorder="1" applyAlignment="1">
      <alignment vertical="top"/>
    </xf>
    <xf numFmtId="49" fontId="5545" fillId="0" borderId="5545" xfId="0" applyNumberFormat="1" applyFont="1" applyBorder="1" applyAlignment="1">
      <alignment vertical="top"/>
    </xf>
    <xf numFmtId="0" fontId="5546" fillId="0" borderId="5546" xfId="0" applyFont="1" applyBorder="1" applyAlignment="1">
      <alignment vertical="top"/>
    </xf>
    <xf numFmtId="0" fontId="5547" fillId="0" borderId="5547" xfId="0" applyFont="1" applyBorder="1" applyAlignment="1">
      <alignment vertical="top"/>
    </xf>
    <xf numFmtId="49" fontId="5548" fillId="0" borderId="5548" xfId="0" applyNumberFormat="1" applyFont="1" applyBorder="1" applyAlignment="1">
      <alignment vertical="top"/>
    </xf>
    <xf numFmtId="0" fontId="5549" fillId="0" borderId="5549" xfId="0" applyFont="1" applyBorder="1" applyAlignment="1">
      <alignment vertical="top"/>
    </xf>
    <xf numFmtId="0" fontId="5550" fillId="0" borderId="5550" xfId="0" applyFont="1" applyBorder="1" applyAlignment="1">
      <alignment vertical="top"/>
    </xf>
    <xf numFmtId="49" fontId="5551" fillId="0" borderId="5551" xfId="0" applyNumberFormat="1" applyFont="1" applyBorder="1" applyAlignment="1">
      <alignment vertical="top"/>
    </xf>
    <xf numFmtId="0" fontId="5552" fillId="0" borderId="5552" xfId="0" applyFont="1" applyBorder="1" applyAlignment="1">
      <alignment vertical="top"/>
    </xf>
    <xf numFmtId="0" fontId="5553" fillId="0" borderId="5553" xfId="0" applyFont="1" applyBorder="1" applyAlignment="1">
      <alignment vertical="top"/>
    </xf>
    <xf numFmtId="49" fontId="5554" fillId="0" borderId="5554" xfId="0" applyNumberFormat="1" applyFont="1" applyBorder="1" applyAlignment="1">
      <alignment vertical="top"/>
    </xf>
    <xf numFmtId="0" fontId="5555" fillId="0" borderId="5555" xfId="0" applyFont="1" applyBorder="1" applyAlignment="1">
      <alignment vertical="top"/>
    </xf>
    <xf numFmtId="0" fontId="5556" fillId="0" borderId="5556" xfId="0" applyFont="1" applyBorder="1" applyAlignment="1">
      <alignment vertical="top"/>
    </xf>
    <xf numFmtId="49" fontId="5557" fillId="0" borderId="5557" xfId="0" applyNumberFormat="1" applyFont="1" applyBorder="1" applyAlignment="1">
      <alignment vertical="top"/>
    </xf>
    <xf numFmtId="0" fontId="5558" fillId="0" borderId="5558" xfId="0" applyFont="1" applyBorder="1" applyAlignment="1">
      <alignment vertical="top"/>
    </xf>
    <xf numFmtId="0" fontId="5559" fillId="0" borderId="5559" xfId="0" applyFont="1" applyBorder="1" applyAlignment="1">
      <alignment vertical="top"/>
    </xf>
    <xf numFmtId="49" fontId="5560" fillId="0" borderId="5560" xfId="0" applyNumberFormat="1" applyFont="1" applyBorder="1" applyAlignment="1">
      <alignment vertical="top"/>
    </xf>
    <xf numFmtId="0" fontId="5561" fillId="0" borderId="5561" xfId="0" applyFont="1" applyBorder="1" applyAlignment="1">
      <alignment vertical="top"/>
    </xf>
    <xf numFmtId="0" fontId="5562" fillId="0" borderId="5562" xfId="0" applyFont="1" applyBorder="1" applyAlignment="1">
      <alignment vertical="top"/>
    </xf>
    <xf numFmtId="49" fontId="5563" fillId="0" borderId="5563" xfId="0" applyNumberFormat="1" applyFont="1" applyBorder="1" applyAlignment="1">
      <alignment vertical="top"/>
    </xf>
    <xf numFmtId="0" fontId="5564" fillId="0" borderId="5564" xfId="0" applyFont="1" applyBorder="1" applyAlignment="1">
      <alignment vertical="top"/>
    </xf>
    <xf numFmtId="0" fontId="5565" fillId="0" borderId="5565" xfId="0" applyFont="1" applyBorder="1" applyAlignment="1">
      <alignment vertical="top"/>
    </xf>
    <xf numFmtId="49" fontId="5566" fillId="0" borderId="5566" xfId="0" applyNumberFormat="1" applyFont="1" applyBorder="1" applyAlignment="1">
      <alignment vertical="top"/>
    </xf>
    <xf numFmtId="0" fontId="5567" fillId="0" borderId="5567" xfId="0" applyFont="1" applyBorder="1" applyAlignment="1">
      <alignment vertical="top"/>
    </xf>
    <xf numFmtId="0" fontId="5568" fillId="0" borderId="5568" xfId="0" applyFont="1" applyBorder="1" applyAlignment="1">
      <alignment vertical="top"/>
    </xf>
    <xf numFmtId="49" fontId="5569" fillId="0" borderId="5569" xfId="0" applyNumberFormat="1" applyFont="1" applyBorder="1" applyAlignment="1">
      <alignment vertical="top"/>
    </xf>
    <xf numFmtId="0" fontId="5570" fillId="0" borderId="5570" xfId="0" applyFont="1" applyBorder="1" applyAlignment="1">
      <alignment vertical="top"/>
    </xf>
    <xf numFmtId="0" fontId="5571" fillId="0" borderId="5571" xfId="0" applyFont="1" applyBorder="1" applyAlignment="1">
      <alignment vertical="top"/>
    </xf>
    <xf numFmtId="49" fontId="5572" fillId="0" borderId="5572" xfId="0" applyNumberFormat="1" applyFont="1" applyBorder="1" applyAlignment="1">
      <alignment vertical="top"/>
    </xf>
    <xf numFmtId="0" fontId="5573" fillId="0" borderId="5573" xfId="0" applyFont="1" applyBorder="1" applyAlignment="1">
      <alignment vertical="top"/>
    </xf>
    <xf numFmtId="0" fontId="5574" fillId="0" borderId="5574" xfId="0" applyFont="1" applyBorder="1" applyAlignment="1">
      <alignment vertical="top"/>
    </xf>
    <xf numFmtId="49" fontId="5575" fillId="0" borderId="5575" xfId="0" applyNumberFormat="1" applyFont="1" applyBorder="1" applyAlignment="1">
      <alignment vertical="top"/>
    </xf>
    <xf numFmtId="0" fontId="5576" fillId="0" borderId="5576" xfId="0" applyFont="1" applyBorder="1" applyAlignment="1">
      <alignment vertical="top"/>
    </xf>
    <xf numFmtId="0" fontId="5577" fillId="0" borderId="5577" xfId="0" applyFont="1" applyBorder="1" applyAlignment="1">
      <alignment vertical="top"/>
    </xf>
    <xf numFmtId="49" fontId="5578" fillId="0" borderId="5578" xfId="0" applyNumberFormat="1" applyFont="1" applyBorder="1" applyAlignment="1">
      <alignment vertical="top"/>
    </xf>
    <xf numFmtId="0" fontId="5579" fillId="0" borderId="5579" xfId="0" applyFont="1" applyBorder="1" applyAlignment="1">
      <alignment vertical="top"/>
    </xf>
    <xf numFmtId="0" fontId="5580" fillId="0" borderId="5580" xfId="0" applyFont="1" applyBorder="1" applyAlignment="1">
      <alignment vertical="top"/>
    </xf>
    <xf numFmtId="49" fontId="5581" fillId="0" borderId="5581" xfId="0" applyNumberFormat="1" applyFont="1" applyBorder="1" applyAlignment="1">
      <alignment vertical="top"/>
    </xf>
    <xf numFmtId="0" fontId="5582" fillId="0" borderId="5582" xfId="0" applyFont="1" applyBorder="1" applyAlignment="1">
      <alignment vertical="top"/>
    </xf>
    <xf numFmtId="0" fontId="5583" fillId="0" borderId="5583" xfId="0" applyFont="1" applyBorder="1" applyAlignment="1">
      <alignment vertical="top"/>
    </xf>
    <xf numFmtId="49" fontId="5584" fillId="0" borderId="5584" xfId="0" applyNumberFormat="1" applyFont="1" applyBorder="1" applyAlignment="1">
      <alignment vertical="top"/>
    </xf>
    <xf numFmtId="0" fontId="5585" fillId="0" borderId="5585" xfId="0" applyFont="1" applyBorder="1" applyAlignment="1">
      <alignment vertical="top"/>
    </xf>
    <xf numFmtId="0" fontId="5586" fillId="0" borderId="5586" xfId="0" applyFont="1" applyBorder="1" applyAlignment="1">
      <alignment vertical="top"/>
    </xf>
    <xf numFmtId="49" fontId="5587" fillId="0" borderId="5587" xfId="0" applyNumberFormat="1" applyFont="1" applyBorder="1" applyAlignment="1">
      <alignment vertical="top"/>
    </xf>
    <xf numFmtId="0" fontId="5588" fillId="0" borderId="5588" xfId="0" applyFont="1" applyBorder="1" applyAlignment="1">
      <alignment vertical="top"/>
    </xf>
    <xf numFmtId="0" fontId="5589" fillId="0" borderId="5589" xfId="0" applyFont="1" applyBorder="1" applyAlignment="1">
      <alignment vertical="top"/>
    </xf>
    <xf numFmtId="49" fontId="5590" fillId="0" borderId="5590" xfId="0" applyNumberFormat="1" applyFont="1" applyBorder="1" applyAlignment="1">
      <alignment vertical="top"/>
    </xf>
    <xf numFmtId="0" fontId="5591" fillId="0" borderId="5591" xfId="0" applyFont="1" applyBorder="1" applyAlignment="1">
      <alignment vertical="top"/>
    </xf>
    <xf numFmtId="0" fontId="5592" fillId="0" borderId="5592" xfId="0" applyFont="1" applyBorder="1" applyAlignment="1">
      <alignment vertical="top"/>
    </xf>
    <xf numFmtId="49" fontId="5593" fillId="0" borderId="5593" xfId="0" applyNumberFormat="1" applyFont="1" applyBorder="1" applyAlignment="1">
      <alignment vertical="top"/>
    </xf>
    <xf numFmtId="0" fontId="5594" fillId="0" borderId="5594" xfId="0" applyFont="1" applyBorder="1" applyAlignment="1">
      <alignment vertical="top"/>
    </xf>
    <xf numFmtId="0" fontId="5595" fillId="0" borderId="5595" xfId="0" applyFont="1" applyBorder="1" applyAlignment="1">
      <alignment vertical="top"/>
    </xf>
    <xf numFmtId="49" fontId="5596" fillId="0" borderId="5596" xfId="0" applyNumberFormat="1" applyFont="1" applyBorder="1" applyAlignment="1">
      <alignment vertical="top"/>
    </xf>
    <xf numFmtId="0" fontId="5597" fillId="0" borderId="5597" xfId="0" applyFont="1" applyBorder="1" applyAlignment="1">
      <alignment vertical="top"/>
    </xf>
    <xf numFmtId="0" fontId="5598" fillId="0" borderId="5598" xfId="0" applyFont="1" applyBorder="1" applyAlignment="1">
      <alignment vertical="top"/>
    </xf>
    <xf numFmtId="49" fontId="5599" fillId="0" borderId="5599" xfId="0" applyNumberFormat="1" applyFont="1" applyBorder="1" applyAlignment="1">
      <alignment vertical="top"/>
    </xf>
    <xf numFmtId="0" fontId="5600" fillId="0" borderId="5600" xfId="0" applyFont="1" applyBorder="1" applyAlignment="1">
      <alignment vertical="top"/>
    </xf>
    <xf numFmtId="0" fontId="5601" fillId="0" borderId="5601" xfId="0" applyFont="1" applyBorder="1" applyAlignment="1">
      <alignment vertical="top"/>
    </xf>
    <xf numFmtId="49" fontId="5602" fillId="0" borderId="5602" xfId="0" applyNumberFormat="1" applyFont="1" applyBorder="1" applyAlignment="1">
      <alignment vertical="top"/>
    </xf>
    <xf numFmtId="0" fontId="5603" fillId="0" borderId="5603" xfId="0" applyFont="1" applyBorder="1" applyAlignment="1">
      <alignment vertical="top"/>
    </xf>
    <xf numFmtId="0" fontId="5604" fillId="0" borderId="5604" xfId="0" applyFont="1" applyBorder="1" applyAlignment="1">
      <alignment vertical="top"/>
    </xf>
    <xf numFmtId="49" fontId="5605" fillId="0" borderId="5605" xfId="0" applyNumberFormat="1" applyFont="1" applyBorder="1" applyAlignment="1">
      <alignment vertical="top"/>
    </xf>
    <xf numFmtId="0" fontId="5606" fillId="0" borderId="5606" xfId="0" applyFont="1" applyBorder="1" applyAlignment="1">
      <alignment vertical="top"/>
    </xf>
    <xf numFmtId="0" fontId="5607" fillId="0" borderId="5607" xfId="0" applyFont="1" applyBorder="1" applyAlignment="1">
      <alignment vertical="top"/>
    </xf>
    <xf numFmtId="49" fontId="5608" fillId="0" borderId="5608" xfId="0" applyNumberFormat="1" applyFont="1" applyBorder="1" applyAlignment="1">
      <alignment vertical="top"/>
    </xf>
    <xf numFmtId="0" fontId="5609" fillId="0" borderId="5609" xfId="0" applyFont="1" applyBorder="1" applyAlignment="1">
      <alignment vertical="top"/>
    </xf>
    <xf numFmtId="0" fontId="5610" fillId="0" borderId="5610" xfId="0" applyFont="1" applyBorder="1" applyAlignment="1">
      <alignment vertical="top"/>
    </xf>
    <xf numFmtId="49" fontId="5611" fillId="0" borderId="5611" xfId="0" applyNumberFormat="1" applyFont="1" applyBorder="1" applyAlignment="1">
      <alignment vertical="top"/>
    </xf>
    <xf numFmtId="0" fontId="5612" fillId="0" borderId="5612" xfId="0" applyFont="1" applyBorder="1" applyAlignment="1">
      <alignment vertical="top"/>
    </xf>
    <xf numFmtId="0" fontId="5613" fillId="0" borderId="5613" xfId="0" applyFont="1" applyBorder="1" applyAlignment="1">
      <alignment vertical="top"/>
    </xf>
    <xf numFmtId="49" fontId="5614" fillId="0" borderId="5614" xfId="0" applyNumberFormat="1" applyFont="1" applyBorder="1" applyAlignment="1">
      <alignment vertical="top"/>
    </xf>
    <xf numFmtId="0" fontId="5615" fillId="0" borderId="5615" xfId="0" applyFont="1" applyBorder="1" applyAlignment="1">
      <alignment vertical="top"/>
    </xf>
    <xf numFmtId="0" fontId="5616" fillId="0" borderId="5616" xfId="0" applyFont="1" applyBorder="1" applyAlignment="1">
      <alignment vertical="top"/>
    </xf>
    <xf numFmtId="49" fontId="5617" fillId="0" borderId="5617" xfId="0" applyNumberFormat="1" applyFont="1" applyBorder="1" applyAlignment="1">
      <alignment vertical="top"/>
    </xf>
    <xf numFmtId="0" fontId="5618" fillId="0" borderId="5618" xfId="0" applyFont="1" applyBorder="1" applyAlignment="1">
      <alignment vertical="top"/>
    </xf>
    <xf numFmtId="0" fontId="5619" fillId="0" borderId="5619" xfId="0" applyFont="1" applyBorder="1" applyAlignment="1">
      <alignment vertical="top"/>
    </xf>
    <xf numFmtId="49" fontId="5620" fillId="0" borderId="5620" xfId="0" applyNumberFormat="1" applyFont="1" applyBorder="1" applyAlignment="1">
      <alignment vertical="top"/>
    </xf>
    <xf numFmtId="0" fontId="5621" fillId="0" borderId="5621" xfId="0" applyFont="1" applyBorder="1" applyAlignment="1">
      <alignment vertical="top"/>
    </xf>
    <xf numFmtId="0" fontId="5622" fillId="0" borderId="5622" xfId="0" applyFont="1" applyBorder="1" applyAlignment="1">
      <alignment vertical="top"/>
    </xf>
    <xf numFmtId="49" fontId="5623" fillId="0" borderId="5623" xfId="0" applyNumberFormat="1" applyFont="1" applyBorder="1" applyAlignment="1">
      <alignment vertical="top"/>
    </xf>
    <xf numFmtId="0" fontId="5624" fillId="0" borderId="5624" xfId="0" applyFont="1" applyBorder="1" applyAlignment="1">
      <alignment vertical="top"/>
    </xf>
    <xf numFmtId="0" fontId="5625" fillId="0" borderId="5625" xfId="0" applyFont="1" applyBorder="1" applyAlignment="1">
      <alignment vertical="top"/>
    </xf>
    <xf numFmtId="49" fontId="5626" fillId="0" borderId="5626" xfId="0" applyNumberFormat="1" applyFont="1" applyBorder="1" applyAlignment="1">
      <alignment vertical="top"/>
    </xf>
    <xf numFmtId="0" fontId="5627" fillId="0" borderId="5627" xfId="0" applyFont="1" applyBorder="1" applyAlignment="1">
      <alignment vertical="top"/>
    </xf>
    <xf numFmtId="0" fontId="5628" fillId="0" borderId="5628" xfId="0" applyFont="1" applyBorder="1" applyAlignment="1">
      <alignment vertical="top"/>
    </xf>
    <xf numFmtId="49" fontId="5629" fillId="0" borderId="5629" xfId="0" applyNumberFormat="1" applyFont="1" applyBorder="1" applyAlignment="1">
      <alignment vertical="top"/>
    </xf>
    <xf numFmtId="0" fontId="5630" fillId="0" borderId="5630" xfId="0" applyFont="1" applyBorder="1" applyAlignment="1">
      <alignment vertical="top"/>
    </xf>
    <xf numFmtId="0" fontId="5631" fillId="0" borderId="5631" xfId="0" applyFont="1" applyBorder="1" applyAlignment="1">
      <alignment vertical="top"/>
    </xf>
    <xf numFmtId="49" fontId="5632" fillId="0" borderId="5632" xfId="0" applyNumberFormat="1" applyFont="1" applyBorder="1" applyAlignment="1">
      <alignment vertical="top"/>
    </xf>
    <xf numFmtId="0" fontId="5633" fillId="0" borderId="5633" xfId="0" applyFont="1" applyBorder="1" applyAlignment="1">
      <alignment vertical="top"/>
    </xf>
    <xf numFmtId="0" fontId="5634" fillId="0" borderId="5634" xfId="0" applyFont="1" applyBorder="1" applyAlignment="1">
      <alignment vertical="top"/>
    </xf>
    <xf numFmtId="49" fontId="5635" fillId="0" borderId="5635" xfId="0" applyNumberFormat="1" applyFont="1" applyBorder="1" applyAlignment="1">
      <alignment vertical="top"/>
    </xf>
    <xf numFmtId="0" fontId="5636" fillId="0" borderId="5636" xfId="0" applyFont="1" applyBorder="1" applyAlignment="1">
      <alignment vertical="top"/>
    </xf>
    <xf numFmtId="0" fontId="5637" fillId="0" borderId="5637" xfId="0" applyFont="1" applyBorder="1" applyAlignment="1">
      <alignment vertical="top"/>
    </xf>
    <xf numFmtId="49" fontId="5638" fillId="0" borderId="5638" xfId="0" applyNumberFormat="1" applyFont="1" applyBorder="1" applyAlignment="1">
      <alignment vertical="top"/>
    </xf>
    <xf numFmtId="0" fontId="5639" fillId="0" borderId="5639" xfId="0" applyFont="1" applyBorder="1" applyAlignment="1">
      <alignment vertical="top"/>
    </xf>
    <xf numFmtId="0" fontId="5640" fillId="0" borderId="5640" xfId="0" applyFont="1" applyBorder="1" applyAlignment="1">
      <alignment vertical="top"/>
    </xf>
    <xf numFmtId="49" fontId="5641" fillId="0" borderId="5641" xfId="0" applyNumberFormat="1" applyFont="1" applyBorder="1" applyAlignment="1">
      <alignment vertical="top"/>
    </xf>
    <xf numFmtId="0" fontId="5642" fillId="0" borderId="5642" xfId="0" applyFont="1" applyBorder="1" applyAlignment="1">
      <alignment vertical="top"/>
    </xf>
    <xf numFmtId="0" fontId="5643" fillId="0" borderId="5643" xfId="0" applyFont="1" applyBorder="1" applyAlignment="1">
      <alignment vertical="top"/>
    </xf>
    <xf numFmtId="49" fontId="5644" fillId="0" borderId="5644" xfId="0" applyNumberFormat="1" applyFont="1" applyBorder="1" applyAlignment="1">
      <alignment vertical="top"/>
    </xf>
    <xf numFmtId="0" fontId="5645" fillId="0" borderId="5645" xfId="0" applyFont="1" applyBorder="1" applyAlignment="1">
      <alignment vertical="top"/>
    </xf>
    <xf numFmtId="0" fontId="5646" fillId="0" borderId="5646" xfId="0" applyFont="1" applyBorder="1" applyAlignment="1">
      <alignment vertical="top"/>
    </xf>
    <xf numFmtId="49" fontId="5647" fillId="0" borderId="5647" xfId="0" applyNumberFormat="1" applyFont="1" applyBorder="1" applyAlignment="1">
      <alignment vertical="top"/>
    </xf>
    <xf numFmtId="0" fontId="5648" fillId="0" borderId="5648" xfId="0" applyFont="1" applyBorder="1" applyAlignment="1">
      <alignment vertical="top"/>
    </xf>
    <xf numFmtId="0" fontId="5649" fillId="0" borderId="5649" xfId="0" applyFont="1" applyBorder="1" applyAlignment="1">
      <alignment vertical="top"/>
    </xf>
    <xf numFmtId="49" fontId="5650" fillId="0" borderId="5650" xfId="0" applyNumberFormat="1" applyFont="1" applyBorder="1" applyAlignment="1">
      <alignment vertical="top"/>
    </xf>
    <xf numFmtId="0" fontId="5651" fillId="0" borderId="5651" xfId="0" applyFont="1" applyBorder="1" applyAlignment="1">
      <alignment vertical="top"/>
    </xf>
    <xf numFmtId="0" fontId="5652" fillId="0" borderId="5652" xfId="0" applyFont="1" applyBorder="1" applyAlignment="1">
      <alignment vertical="top"/>
    </xf>
    <xf numFmtId="49" fontId="5653" fillId="0" borderId="5653" xfId="0" applyNumberFormat="1" applyFont="1" applyBorder="1" applyAlignment="1">
      <alignment vertical="top"/>
    </xf>
    <xf numFmtId="0" fontId="5654" fillId="0" borderId="5654" xfId="0" applyFont="1" applyBorder="1" applyAlignment="1">
      <alignment vertical="top"/>
    </xf>
    <xf numFmtId="0" fontId="5655" fillId="0" borderId="5655" xfId="0" applyFont="1" applyBorder="1" applyAlignment="1">
      <alignment vertical="top"/>
    </xf>
    <xf numFmtId="49" fontId="5656" fillId="0" borderId="5656" xfId="0" applyNumberFormat="1" applyFont="1" applyBorder="1" applyAlignment="1">
      <alignment vertical="top"/>
    </xf>
    <xf numFmtId="0" fontId="5657" fillId="0" borderId="5657" xfId="0" applyFont="1" applyBorder="1" applyAlignment="1">
      <alignment vertical="top"/>
    </xf>
    <xf numFmtId="0" fontId="5658" fillId="0" borderId="5658" xfId="0" applyFont="1" applyBorder="1" applyAlignment="1">
      <alignment vertical="top"/>
    </xf>
    <xf numFmtId="49" fontId="5659" fillId="0" borderId="5659" xfId="0" applyNumberFormat="1" applyFont="1" applyBorder="1" applyAlignment="1">
      <alignment vertical="top"/>
    </xf>
    <xf numFmtId="0" fontId="5660" fillId="0" borderId="5660" xfId="0" applyFont="1" applyBorder="1" applyAlignment="1">
      <alignment vertical="top"/>
    </xf>
    <xf numFmtId="0" fontId="5661" fillId="0" borderId="5661" xfId="0" applyFont="1" applyBorder="1" applyAlignment="1">
      <alignment vertical="top"/>
    </xf>
    <xf numFmtId="49" fontId="5662" fillId="0" borderId="5662" xfId="0" applyNumberFormat="1" applyFont="1" applyBorder="1" applyAlignment="1">
      <alignment vertical="top"/>
    </xf>
    <xf numFmtId="0" fontId="5663" fillId="0" borderId="5663" xfId="0" applyFont="1" applyBorder="1" applyAlignment="1">
      <alignment vertical="top"/>
    </xf>
    <xf numFmtId="0" fontId="5664" fillId="0" borderId="5664" xfId="0" applyFont="1" applyBorder="1" applyAlignment="1">
      <alignment vertical="top"/>
    </xf>
    <xf numFmtId="49" fontId="5665" fillId="0" borderId="5665" xfId="0" applyNumberFormat="1" applyFont="1" applyBorder="1" applyAlignment="1">
      <alignment vertical="top"/>
    </xf>
    <xf numFmtId="0" fontId="5666" fillId="0" borderId="5666" xfId="0" applyFont="1" applyBorder="1" applyAlignment="1">
      <alignment vertical="top"/>
    </xf>
    <xf numFmtId="0" fontId="5667" fillId="0" borderId="5667" xfId="0" applyFont="1" applyBorder="1" applyAlignment="1">
      <alignment vertical="top"/>
    </xf>
    <xf numFmtId="49" fontId="5668" fillId="0" borderId="5668" xfId="0" applyNumberFormat="1" applyFont="1" applyBorder="1" applyAlignment="1">
      <alignment vertical="top"/>
    </xf>
    <xf numFmtId="0" fontId="5669" fillId="0" borderId="5669" xfId="0" applyFont="1" applyBorder="1" applyAlignment="1">
      <alignment vertical="top"/>
    </xf>
    <xf numFmtId="0" fontId="5670" fillId="0" borderId="5670" xfId="0" applyFont="1" applyBorder="1" applyAlignment="1">
      <alignment vertical="top"/>
    </xf>
    <xf numFmtId="49" fontId="5671" fillId="0" borderId="5671" xfId="0" applyNumberFormat="1" applyFont="1" applyBorder="1" applyAlignment="1">
      <alignment vertical="top"/>
    </xf>
    <xf numFmtId="0" fontId="5672" fillId="0" borderId="5672" xfId="0" applyFont="1" applyBorder="1" applyAlignment="1">
      <alignment vertical="top"/>
    </xf>
    <xf numFmtId="0" fontId="5673" fillId="0" borderId="5673" xfId="0" applyFont="1" applyBorder="1" applyAlignment="1">
      <alignment vertical="top"/>
    </xf>
    <xf numFmtId="49" fontId="5674" fillId="0" borderId="5674" xfId="0" applyNumberFormat="1" applyFont="1" applyBorder="1" applyAlignment="1">
      <alignment vertical="top"/>
    </xf>
    <xf numFmtId="0" fontId="5675" fillId="0" borderId="5675" xfId="0" applyFont="1" applyBorder="1" applyAlignment="1">
      <alignment vertical="top"/>
    </xf>
    <xf numFmtId="0" fontId="5676" fillId="0" borderId="5676" xfId="0" applyFont="1" applyBorder="1" applyAlignment="1">
      <alignment vertical="top"/>
    </xf>
    <xf numFmtId="49" fontId="5677" fillId="0" borderId="5677" xfId="0" applyNumberFormat="1" applyFont="1" applyBorder="1" applyAlignment="1">
      <alignment vertical="top"/>
    </xf>
    <xf numFmtId="0" fontId="5678" fillId="0" borderId="5678" xfId="0" applyFont="1" applyBorder="1" applyAlignment="1">
      <alignment vertical="top"/>
    </xf>
    <xf numFmtId="0" fontId="5679" fillId="0" borderId="5679" xfId="0" applyFont="1" applyBorder="1" applyAlignment="1">
      <alignment vertical="top"/>
    </xf>
    <xf numFmtId="49" fontId="5680" fillId="0" borderId="5680" xfId="0" applyNumberFormat="1" applyFont="1" applyBorder="1" applyAlignment="1">
      <alignment vertical="top"/>
    </xf>
    <xf numFmtId="0" fontId="5681" fillId="0" borderId="5681" xfId="0" applyFont="1" applyBorder="1" applyAlignment="1">
      <alignment vertical="top"/>
    </xf>
    <xf numFmtId="0" fontId="5682" fillId="0" borderId="5682" xfId="0" applyFont="1" applyBorder="1" applyAlignment="1">
      <alignment vertical="top"/>
    </xf>
    <xf numFmtId="49" fontId="5683" fillId="0" borderId="5683" xfId="0" applyNumberFormat="1" applyFont="1" applyBorder="1" applyAlignment="1">
      <alignment vertical="top"/>
    </xf>
    <xf numFmtId="0" fontId="5684" fillId="0" borderId="5684" xfId="0" applyFont="1" applyBorder="1" applyAlignment="1">
      <alignment vertical="top"/>
    </xf>
    <xf numFmtId="0" fontId="5685" fillId="0" borderId="5685" xfId="0" applyFont="1" applyBorder="1" applyAlignment="1">
      <alignment vertical="top"/>
    </xf>
    <xf numFmtId="49" fontId="5686" fillId="0" borderId="5686" xfId="0" applyNumberFormat="1" applyFont="1" applyBorder="1" applyAlignment="1">
      <alignment vertical="top"/>
    </xf>
    <xf numFmtId="0" fontId="5687" fillId="0" borderId="5687" xfId="0" applyFont="1" applyBorder="1" applyAlignment="1">
      <alignment vertical="top"/>
    </xf>
    <xf numFmtId="0" fontId="5688" fillId="0" borderId="5688" xfId="0" applyFont="1" applyBorder="1" applyAlignment="1">
      <alignment vertical="top"/>
    </xf>
    <xf numFmtId="49" fontId="5689" fillId="0" borderId="5689" xfId="0" applyNumberFormat="1" applyFont="1" applyBorder="1" applyAlignment="1">
      <alignment vertical="top"/>
    </xf>
    <xf numFmtId="0" fontId="5690" fillId="0" borderId="5690" xfId="0" applyFont="1" applyBorder="1" applyAlignment="1">
      <alignment vertical="top"/>
    </xf>
    <xf numFmtId="0" fontId="5691" fillId="0" borderId="5691" xfId="0" applyFont="1" applyBorder="1" applyAlignment="1">
      <alignment vertical="top"/>
    </xf>
    <xf numFmtId="49" fontId="5692" fillId="0" borderId="5692" xfId="0" applyNumberFormat="1" applyFont="1" applyBorder="1" applyAlignment="1">
      <alignment vertical="top"/>
    </xf>
    <xf numFmtId="0" fontId="5693" fillId="0" borderId="5693" xfId="0" applyFont="1" applyBorder="1" applyAlignment="1">
      <alignment vertical="top"/>
    </xf>
    <xf numFmtId="0" fontId="5694" fillId="0" borderId="5694" xfId="0" applyFont="1" applyBorder="1" applyAlignment="1">
      <alignment vertical="top"/>
    </xf>
    <xf numFmtId="49" fontId="5695" fillId="0" borderId="5695" xfId="0" applyNumberFormat="1" applyFont="1" applyBorder="1" applyAlignment="1">
      <alignment vertical="top"/>
    </xf>
    <xf numFmtId="0" fontId="5696" fillId="0" borderId="5696" xfId="0" applyFont="1" applyBorder="1" applyAlignment="1">
      <alignment vertical="top"/>
    </xf>
    <xf numFmtId="0" fontId="5697" fillId="0" borderId="5697" xfId="0" applyFont="1" applyBorder="1" applyAlignment="1">
      <alignment vertical="top"/>
    </xf>
    <xf numFmtId="49" fontId="5698" fillId="0" borderId="5698" xfId="0" applyNumberFormat="1" applyFont="1" applyBorder="1" applyAlignment="1">
      <alignment vertical="top"/>
    </xf>
    <xf numFmtId="0" fontId="5699" fillId="0" borderId="5699" xfId="0" applyFont="1" applyBorder="1" applyAlignment="1">
      <alignment vertical="top"/>
    </xf>
    <xf numFmtId="0" fontId="5700" fillId="0" borderId="5700" xfId="0" applyFont="1" applyBorder="1" applyAlignment="1">
      <alignment vertical="top"/>
    </xf>
    <xf numFmtId="49" fontId="5701" fillId="0" borderId="5701" xfId="0" applyNumberFormat="1" applyFont="1" applyBorder="1" applyAlignment="1">
      <alignment vertical="top"/>
    </xf>
    <xf numFmtId="0" fontId="5702" fillId="0" borderId="5702" xfId="0" applyFont="1" applyBorder="1" applyAlignment="1">
      <alignment vertical="top"/>
    </xf>
    <xf numFmtId="0" fontId="5703" fillId="0" borderId="5703" xfId="0" applyFont="1" applyBorder="1" applyAlignment="1">
      <alignment vertical="top"/>
    </xf>
    <xf numFmtId="49" fontId="5704" fillId="0" borderId="5704" xfId="0" applyNumberFormat="1" applyFont="1" applyBorder="1" applyAlignment="1">
      <alignment vertical="top"/>
    </xf>
    <xf numFmtId="0" fontId="5705" fillId="0" borderId="5705" xfId="0" applyFont="1" applyBorder="1" applyAlignment="1">
      <alignment vertical="top"/>
    </xf>
    <xf numFmtId="0" fontId="5706" fillId="0" borderId="5706" xfId="0" applyFont="1" applyBorder="1" applyAlignment="1">
      <alignment vertical="top"/>
    </xf>
    <xf numFmtId="49" fontId="5707" fillId="0" borderId="5707" xfId="0" applyNumberFormat="1" applyFont="1" applyBorder="1" applyAlignment="1">
      <alignment vertical="top"/>
    </xf>
    <xf numFmtId="0" fontId="5708" fillId="0" borderId="5708" xfId="0" applyFont="1" applyBorder="1" applyAlignment="1">
      <alignment vertical="top"/>
    </xf>
    <xf numFmtId="0" fontId="5709" fillId="0" borderId="5709" xfId="0" applyFont="1" applyBorder="1" applyAlignment="1">
      <alignment vertical="top"/>
    </xf>
    <xf numFmtId="49" fontId="5710" fillId="0" borderId="5710" xfId="0" applyNumberFormat="1" applyFont="1" applyBorder="1" applyAlignment="1">
      <alignment vertical="top"/>
    </xf>
    <xf numFmtId="0" fontId="5711" fillId="0" borderId="5711" xfId="0" applyFont="1" applyBorder="1" applyAlignment="1">
      <alignment vertical="top"/>
    </xf>
    <xf numFmtId="0" fontId="5712" fillId="0" borderId="5712" xfId="0" applyFont="1" applyBorder="1" applyAlignment="1">
      <alignment vertical="top"/>
    </xf>
    <xf numFmtId="49" fontId="5713" fillId="0" borderId="5713" xfId="0" applyNumberFormat="1" applyFont="1" applyBorder="1" applyAlignment="1">
      <alignment vertical="top"/>
    </xf>
    <xf numFmtId="0" fontId="5714" fillId="0" borderId="5714" xfId="0" applyFont="1" applyBorder="1" applyAlignment="1">
      <alignment vertical="top"/>
    </xf>
    <xf numFmtId="0" fontId="5715" fillId="0" borderId="5715" xfId="0" applyFont="1" applyBorder="1" applyAlignment="1">
      <alignment vertical="top"/>
    </xf>
    <xf numFmtId="49" fontId="5716" fillId="0" borderId="5716" xfId="0" applyNumberFormat="1" applyFont="1" applyBorder="1" applyAlignment="1">
      <alignment vertical="top"/>
    </xf>
    <xf numFmtId="0" fontId="5717" fillId="0" borderId="5717" xfId="0" applyFont="1" applyBorder="1" applyAlignment="1">
      <alignment vertical="top"/>
    </xf>
    <xf numFmtId="0" fontId="5718" fillId="0" borderId="5718" xfId="0" applyFont="1" applyBorder="1" applyAlignment="1">
      <alignment vertical="top"/>
    </xf>
    <xf numFmtId="49" fontId="5719" fillId="0" borderId="5719" xfId="0" applyNumberFormat="1" applyFont="1" applyBorder="1" applyAlignment="1">
      <alignment vertical="top"/>
    </xf>
    <xf numFmtId="0" fontId="5720" fillId="0" borderId="5720" xfId="0" applyFont="1" applyBorder="1" applyAlignment="1">
      <alignment vertical="top"/>
    </xf>
    <xf numFmtId="0" fontId="5721" fillId="0" borderId="5721" xfId="0" applyFont="1" applyBorder="1" applyAlignment="1">
      <alignment vertical="top"/>
    </xf>
    <xf numFmtId="49" fontId="5722" fillId="0" borderId="5722" xfId="0" applyNumberFormat="1" applyFont="1" applyBorder="1" applyAlignment="1">
      <alignment vertical="top"/>
    </xf>
    <xf numFmtId="0" fontId="5723" fillId="0" borderId="5723" xfId="0" applyFont="1" applyBorder="1" applyAlignment="1">
      <alignment vertical="top"/>
    </xf>
    <xf numFmtId="0" fontId="5724" fillId="0" borderId="5724" xfId="0" applyFont="1" applyBorder="1" applyAlignment="1">
      <alignment vertical="top"/>
    </xf>
    <xf numFmtId="49" fontId="5725" fillId="0" borderId="5725" xfId="0" applyNumberFormat="1" applyFont="1" applyBorder="1" applyAlignment="1">
      <alignment vertical="top"/>
    </xf>
    <xf numFmtId="0" fontId="5726" fillId="0" borderId="5726" xfId="0" applyFont="1" applyBorder="1" applyAlignment="1">
      <alignment vertical="top"/>
    </xf>
    <xf numFmtId="0" fontId="5727" fillId="0" borderId="5727" xfId="0" applyFont="1" applyBorder="1" applyAlignment="1">
      <alignment vertical="top"/>
    </xf>
    <xf numFmtId="49" fontId="5728" fillId="0" borderId="5728" xfId="0" applyNumberFormat="1" applyFont="1" applyBorder="1" applyAlignment="1">
      <alignment vertical="top"/>
    </xf>
    <xf numFmtId="0" fontId="5729" fillId="0" borderId="5729" xfId="0" applyFont="1" applyBorder="1" applyAlignment="1">
      <alignment vertical="top"/>
    </xf>
    <xf numFmtId="0" fontId="5730" fillId="0" borderId="5730" xfId="0" applyFont="1" applyBorder="1" applyAlignment="1">
      <alignment vertical="top"/>
    </xf>
    <xf numFmtId="49" fontId="5731" fillId="0" borderId="5731" xfId="0" applyNumberFormat="1" applyFont="1" applyBorder="1" applyAlignment="1">
      <alignment vertical="top"/>
    </xf>
    <xf numFmtId="0" fontId="5732" fillId="0" borderId="5732" xfId="0" applyFont="1" applyBorder="1" applyAlignment="1">
      <alignment vertical="top"/>
    </xf>
    <xf numFmtId="0" fontId="5733" fillId="0" borderId="5733" xfId="0" applyFont="1" applyBorder="1" applyAlignment="1">
      <alignment vertical="top"/>
    </xf>
    <xf numFmtId="49" fontId="5734" fillId="0" borderId="5734" xfId="0" applyNumberFormat="1" applyFont="1" applyBorder="1" applyAlignment="1">
      <alignment vertical="top"/>
    </xf>
    <xf numFmtId="0" fontId="5735" fillId="0" borderId="5735" xfId="0" applyFont="1" applyBorder="1" applyAlignment="1">
      <alignment vertical="top"/>
    </xf>
    <xf numFmtId="0" fontId="5736" fillId="0" borderId="5736" xfId="0" applyFont="1" applyBorder="1" applyAlignment="1">
      <alignment vertical="top"/>
    </xf>
    <xf numFmtId="49" fontId="5737" fillId="0" borderId="5737" xfId="0" applyNumberFormat="1" applyFont="1" applyBorder="1" applyAlignment="1">
      <alignment vertical="top"/>
    </xf>
    <xf numFmtId="0" fontId="5738" fillId="0" borderId="5738" xfId="0" applyFont="1" applyBorder="1" applyAlignment="1">
      <alignment vertical="top"/>
    </xf>
    <xf numFmtId="0" fontId="5739" fillId="0" borderId="5739" xfId="0" applyFont="1" applyBorder="1" applyAlignment="1">
      <alignment vertical="top"/>
    </xf>
    <xf numFmtId="49" fontId="5740" fillId="0" borderId="5740" xfId="0" applyNumberFormat="1" applyFont="1" applyBorder="1" applyAlignment="1">
      <alignment vertical="top"/>
    </xf>
    <xf numFmtId="0" fontId="5741" fillId="0" borderId="5741" xfId="0" applyFont="1" applyBorder="1" applyAlignment="1">
      <alignment vertical="top"/>
    </xf>
    <xf numFmtId="0" fontId="5742" fillId="0" borderId="5742" xfId="0" applyFont="1" applyBorder="1" applyAlignment="1">
      <alignment vertical="top"/>
    </xf>
    <xf numFmtId="49" fontId="5743" fillId="0" borderId="5743" xfId="0" applyNumberFormat="1" applyFont="1" applyBorder="1" applyAlignment="1">
      <alignment vertical="top"/>
    </xf>
    <xf numFmtId="0" fontId="5744" fillId="0" borderId="5744" xfId="0" applyFont="1" applyBorder="1" applyAlignment="1">
      <alignment vertical="top"/>
    </xf>
    <xf numFmtId="0" fontId="5745" fillId="0" borderId="5745" xfId="0" applyFont="1" applyBorder="1" applyAlignment="1">
      <alignment vertical="top"/>
    </xf>
    <xf numFmtId="49" fontId="5746" fillId="0" borderId="5746" xfId="0" applyNumberFormat="1" applyFont="1" applyBorder="1" applyAlignment="1">
      <alignment vertical="top"/>
    </xf>
    <xf numFmtId="0" fontId="5747" fillId="0" borderId="5747" xfId="0" applyFont="1" applyBorder="1" applyAlignment="1">
      <alignment vertical="top"/>
    </xf>
    <xf numFmtId="0" fontId="5748" fillId="0" borderId="5748" xfId="0" applyFont="1" applyBorder="1" applyAlignment="1">
      <alignment vertical="top"/>
    </xf>
    <xf numFmtId="49" fontId="5749" fillId="0" borderId="5749" xfId="0" applyNumberFormat="1" applyFont="1" applyBorder="1" applyAlignment="1">
      <alignment vertical="top"/>
    </xf>
    <xf numFmtId="0" fontId="5750" fillId="0" borderId="5750" xfId="0" applyFont="1" applyBorder="1" applyAlignment="1">
      <alignment vertical="top"/>
    </xf>
    <xf numFmtId="0" fontId="5751" fillId="0" borderId="5751" xfId="0" applyFont="1" applyBorder="1" applyAlignment="1">
      <alignment vertical="top"/>
    </xf>
    <xf numFmtId="49" fontId="5752" fillId="0" borderId="5752" xfId="0" applyNumberFormat="1" applyFont="1" applyBorder="1" applyAlignment="1">
      <alignment vertical="top"/>
    </xf>
    <xf numFmtId="0" fontId="5753" fillId="0" borderId="5753" xfId="0" applyFont="1" applyBorder="1" applyAlignment="1">
      <alignment vertical="top"/>
    </xf>
    <xf numFmtId="0" fontId="5754" fillId="0" borderId="5754" xfId="0" applyFont="1" applyBorder="1" applyAlignment="1">
      <alignment vertical="top"/>
    </xf>
    <xf numFmtId="49" fontId="5755" fillId="0" borderId="5755" xfId="0" applyNumberFormat="1" applyFont="1" applyBorder="1" applyAlignment="1">
      <alignment vertical="top"/>
    </xf>
    <xf numFmtId="0" fontId="5756" fillId="0" borderId="5756" xfId="0" applyFont="1" applyBorder="1" applyAlignment="1">
      <alignment vertical="top"/>
    </xf>
    <xf numFmtId="0" fontId="5757" fillId="0" borderId="5757" xfId="0" applyFont="1" applyBorder="1" applyAlignment="1">
      <alignment vertical="top"/>
    </xf>
    <xf numFmtId="49" fontId="5758" fillId="0" borderId="5758" xfId="0" applyNumberFormat="1" applyFont="1" applyBorder="1" applyAlignment="1">
      <alignment vertical="top"/>
    </xf>
    <xf numFmtId="0" fontId="5759" fillId="0" borderId="5759" xfId="0" applyFont="1" applyBorder="1" applyAlignment="1">
      <alignment vertical="top"/>
    </xf>
    <xf numFmtId="0" fontId="5760" fillId="0" borderId="5760" xfId="0" applyFont="1" applyBorder="1" applyAlignment="1">
      <alignment vertical="top"/>
    </xf>
    <xf numFmtId="49" fontId="5761" fillId="0" borderId="5761" xfId="0" applyNumberFormat="1" applyFont="1" applyBorder="1" applyAlignment="1">
      <alignment vertical="top"/>
    </xf>
    <xf numFmtId="0" fontId="5762" fillId="0" borderId="5762" xfId="0" applyFont="1" applyBorder="1" applyAlignment="1">
      <alignment vertical="top"/>
    </xf>
    <xf numFmtId="0" fontId="5763" fillId="0" borderId="5763" xfId="0" applyFont="1" applyBorder="1" applyAlignment="1">
      <alignment vertical="top"/>
    </xf>
    <xf numFmtId="49" fontId="5764" fillId="0" borderId="5764" xfId="0" applyNumberFormat="1" applyFont="1" applyBorder="1" applyAlignment="1">
      <alignment vertical="top"/>
    </xf>
    <xf numFmtId="0" fontId="5765" fillId="0" borderId="5765" xfId="0" applyFont="1" applyBorder="1" applyAlignment="1">
      <alignment vertical="top"/>
    </xf>
    <xf numFmtId="0" fontId="5766" fillId="0" borderId="5766" xfId="0" applyFont="1" applyBorder="1" applyAlignment="1">
      <alignment vertical="top"/>
    </xf>
    <xf numFmtId="49" fontId="5767" fillId="0" borderId="5767" xfId="0" applyNumberFormat="1" applyFont="1" applyBorder="1" applyAlignment="1">
      <alignment vertical="top"/>
    </xf>
    <xf numFmtId="0" fontId="5768" fillId="0" borderId="5768" xfId="0" applyFont="1" applyBorder="1" applyAlignment="1">
      <alignment vertical="top"/>
    </xf>
    <xf numFmtId="0" fontId="5769" fillId="0" borderId="5769" xfId="0" applyFont="1" applyBorder="1" applyAlignment="1">
      <alignment vertical="top"/>
    </xf>
    <xf numFmtId="49" fontId="5770" fillId="0" borderId="5770" xfId="0" applyNumberFormat="1" applyFont="1" applyBorder="1" applyAlignment="1">
      <alignment vertical="top"/>
    </xf>
    <xf numFmtId="0" fontId="5771" fillId="0" borderId="5771" xfId="0" applyFont="1" applyBorder="1" applyAlignment="1">
      <alignment vertical="top"/>
    </xf>
    <xf numFmtId="0" fontId="5772" fillId="0" borderId="5772" xfId="0" applyFont="1" applyBorder="1" applyAlignment="1">
      <alignment vertical="top"/>
    </xf>
    <xf numFmtId="49" fontId="5773" fillId="0" borderId="5773" xfId="0" applyNumberFormat="1" applyFont="1" applyBorder="1" applyAlignment="1">
      <alignment vertical="top"/>
    </xf>
    <xf numFmtId="0" fontId="5774" fillId="0" borderId="5774" xfId="0" applyFont="1" applyBorder="1" applyAlignment="1">
      <alignment vertical="top"/>
    </xf>
    <xf numFmtId="0" fontId="5775" fillId="0" borderId="5775" xfId="0" applyFont="1" applyBorder="1" applyAlignment="1">
      <alignment vertical="top"/>
    </xf>
    <xf numFmtId="49" fontId="5776" fillId="0" borderId="5776" xfId="0" applyNumberFormat="1" applyFont="1" applyBorder="1" applyAlignment="1">
      <alignment vertical="top"/>
    </xf>
    <xf numFmtId="0" fontId="5777" fillId="0" borderId="5777" xfId="0" applyFont="1" applyBorder="1" applyAlignment="1">
      <alignment vertical="top"/>
    </xf>
    <xf numFmtId="0" fontId="5778" fillId="0" borderId="5778" xfId="0" applyFont="1" applyBorder="1" applyAlignment="1">
      <alignment vertical="top"/>
    </xf>
    <xf numFmtId="49" fontId="5779" fillId="0" borderId="5779" xfId="0" applyNumberFormat="1" applyFont="1" applyBorder="1" applyAlignment="1">
      <alignment vertical="top"/>
    </xf>
    <xf numFmtId="0" fontId="5780" fillId="0" borderId="5780" xfId="0" applyFont="1" applyBorder="1" applyAlignment="1">
      <alignment vertical="top"/>
    </xf>
    <xf numFmtId="0" fontId="5781" fillId="0" borderId="5781" xfId="0" applyFont="1" applyBorder="1" applyAlignment="1">
      <alignment vertical="top"/>
    </xf>
    <xf numFmtId="49" fontId="5782" fillId="0" borderId="5782" xfId="0" applyNumberFormat="1" applyFont="1" applyBorder="1" applyAlignment="1">
      <alignment vertical="top"/>
    </xf>
    <xf numFmtId="0" fontId="5783" fillId="0" borderId="5783" xfId="0" applyFont="1" applyBorder="1" applyAlignment="1">
      <alignment vertical="top"/>
    </xf>
    <xf numFmtId="0" fontId="5784" fillId="0" borderId="5784" xfId="0" applyFont="1" applyBorder="1" applyAlignment="1">
      <alignment vertical="top"/>
    </xf>
    <xf numFmtId="49" fontId="5785" fillId="0" borderId="5785" xfId="0" applyNumberFormat="1" applyFont="1" applyBorder="1" applyAlignment="1">
      <alignment vertical="top"/>
    </xf>
    <xf numFmtId="0" fontId="5786" fillId="0" borderId="5786" xfId="0" applyFont="1" applyBorder="1" applyAlignment="1">
      <alignment vertical="top"/>
    </xf>
    <xf numFmtId="0" fontId="5787" fillId="0" borderId="5787" xfId="0" applyFont="1" applyBorder="1" applyAlignment="1">
      <alignment vertical="top"/>
    </xf>
    <xf numFmtId="49" fontId="5788" fillId="0" borderId="5788" xfId="0" applyNumberFormat="1" applyFont="1" applyBorder="1" applyAlignment="1">
      <alignment vertical="top"/>
    </xf>
    <xf numFmtId="0" fontId="5789" fillId="0" borderId="5789" xfId="0" applyFont="1" applyBorder="1" applyAlignment="1">
      <alignment vertical="top"/>
    </xf>
    <xf numFmtId="0" fontId="5790" fillId="0" borderId="5790" xfId="0" applyFont="1" applyBorder="1" applyAlignment="1">
      <alignment vertical="top"/>
    </xf>
    <xf numFmtId="49" fontId="5791" fillId="0" borderId="5791" xfId="0" applyNumberFormat="1" applyFont="1" applyBorder="1" applyAlignment="1">
      <alignment vertical="top"/>
    </xf>
    <xf numFmtId="0" fontId="5792" fillId="0" borderId="5792" xfId="0" applyFont="1" applyBorder="1" applyAlignment="1">
      <alignment vertical="top"/>
    </xf>
    <xf numFmtId="0" fontId="5793" fillId="0" borderId="5793" xfId="0" applyFont="1" applyBorder="1" applyAlignment="1">
      <alignment vertical="top"/>
    </xf>
    <xf numFmtId="49" fontId="5794" fillId="0" borderId="5794" xfId="0" applyNumberFormat="1" applyFont="1" applyBorder="1" applyAlignment="1">
      <alignment vertical="top"/>
    </xf>
    <xf numFmtId="0" fontId="5795" fillId="0" borderId="5795" xfId="0" applyFont="1" applyBorder="1" applyAlignment="1">
      <alignment vertical="top"/>
    </xf>
    <xf numFmtId="0" fontId="5796" fillId="0" borderId="5796" xfId="0" applyFont="1" applyBorder="1" applyAlignment="1">
      <alignment vertical="top"/>
    </xf>
    <xf numFmtId="49" fontId="5797" fillId="0" borderId="5797" xfId="0" applyNumberFormat="1" applyFont="1" applyBorder="1" applyAlignment="1">
      <alignment vertical="top"/>
    </xf>
    <xf numFmtId="0" fontId="5798" fillId="0" borderId="5798" xfId="0" applyFont="1" applyBorder="1" applyAlignment="1">
      <alignment vertical="top"/>
    </xf>
    <xf numFmtId="0" fontId="5799" fillId="0" borderId="5799" xfId="0" applyFont="1" applyBorder="1" applyAlignment="1">
      <alignment vertical="top"/>
    </xf>
    <xf numFmtId="49" fontId="5800" fillId="0" borderId="5800" xfId="0" applyNumberFormat="1" applyFont="1" applyBorder="1" applyAlignment="1">
      <alignment vertical="top"/>
    </xf>
    <xf numFmtId="0" fontId="5801" fillId="0" borderId="5801" xfId="0" applyFont="1" applyBorder="1" applyAlignment="1">
      <alignment vertical="top"/>
    </xf>
    <xf numFmtId="0" fontId="5802" fillId="0" borderId="5802" xfId="0" applyFont="1" applyBorder="1" applyAlignment="1">
      <alignment vertical="top"/>
    </xf>
    <xf numFmtId="49" fontId="5803" fillId="0" borderId="5803" xfId="0" applyNumberFormat="1" applyFont="1" applyBorder="1" applyAlignment="1">
      <alignment vertical="top"/>
    </xf>
    <xf numFmtId="0" fontId="5804" fillId="0" borderId="5804" xfId="0" applyFont="1" applyBorder="1" applyAlignment="1">
      <alignment vertical="top"/>
    </xf>
    <xf numFmtId="0" fontId="5805" fillId="0" borderId="5805" xfId="0" applyFont="1" applyBorder="1" applyAlignment="1">
      <alignment vertical="top"/>
    </xf>
    <xf numFmtId="49" fontId="5806" fillId="0" borderId="5806" xfId="0" applyNumberFormat="1" applyFont="1" applyBorder="1" applyAlignment="1">
      <alignment vertical="top"/>
    </xf>
    <xf numFmtId="0" fontId="5807" fillId="0" borderId="5807" xfId="0" applyFont="1" applyBorder="1" applyAlignment="1">
      <alignment vertical="top"/>
    </xf>
    <xf numFmtId="0" fontId="5808" fillId="0" borderId="5808" xfId="0" applyFont="1" applyBorder="1" applyAlignment="1">
      <alignment vertical="top"/>
    </xf>
    <xf numFmtId="49" fontId="5809" fillId="0" borderId="5809" xfId="0" applyNumberFormat="1" applyFont="1" applyBorder="1" applyAlignment="1">
      <alignment vertical="top"/>
    </xf>
    <xf numFmtId="0" fontId="5810" fillId="0" borderId="5810" xfId="0" applyFont="1" applyBorder="1" applyAlignment="1">
      <alignment vertical="top"/>
    </xf>
    <xf numFmtId="0" fontId="5811" fillId="0" borderId="5811" xfId="0" applyFont="1" applyBorder="1" applyAlignment="1">
      <alignment vertical="top"/>
    </xf>
    <xf numFmtId="49" fontId="5812" fillId="0" borderId="5812" xfId="0" applyNumberFormat="1" applyFont="1" applyBorder="1" applyAlignment="1">
      <alignment vertical="top"/>
    </xf>
    <xf numFmtId="0" fontId="5813" fillId="0" borderId="5813" xfId="0" applyFont="1" applyBorder="1" applyAlignment="1">
      <alignment vertical="top"/>
    </xf>
    <xf numFmtId="0" fontId="5814" fillId="0" borderId="5814" xfId="0" applyFont="1" applyBorder="1" applyAlignment="1">
      <alignment vertical="top"/>
    </xf>
    <xf numFmtId="49" fontId="5815" fillId="0" borderId="5815" xfId="0" applyNumberFormat="1" applyFont="1" applyBorder="1" applyAlignment="1">
      <alignment vertical="top"/>
    </xf>
    <xf numFmtId="0" fontId="5816" fillId="0" borderId="5816" xfId="0" applyFont="1" applyBorder="1" applyAlignment="1">
      <alignment vertical="top"/>
    </xf>
    <xf numFmtId="0" fontId="5817" fillId="0" borderId="5817" xfId="0" applyFont="1" applyBorder="1" applyAlignment="1">
      <alignment vertical="top"/>
    </xf>
    <xf numFmtId="49" fontId="5818" fillId="0" borderId="5818" xfId="0" applyNumberFormat="1" applyFont="1" applyBorder="1" applyAlignment="1">
      <alignment vertical="top"/>
    </xf>
    <xf numFmtId="0" fontId="5819" fillId="0" borderId="5819" xfId="0" applyFont="1" applyBorder="1" applyAlignment="1">
      <alignment vertical="top"/>
    </xf>
    <xf numFmtId="0" fontId="5820" fillId="0" borderId="5820" xfId="0" applyFont="1" applyBorder="1" applyAlignment="1">
      <alignment vertical="top"/>
    </xf>
    <xf numFmtId="49" fontId="5821" fillId="0" borderId="5821" xfId="0" applyNumberFormat="1" applyFont="1" applyBorder="1" applyAlignment="1">
      <alignment vertical="top"/>
    </xf>
    <xf numFmtId="0" fontId="5822" fillId="0" borderId="5822" xfId="0" applyFont="1" applyBorder="1" applyAlignment="1">
      <alignment vertical="top"/>
    </xf>
    <xf numFmtId="0" fontId="5823" fillId="0" borderId="5823" xfId="0" applyFont="1" applyBorder="1" applyAlignment="1">
      <alignment vertical="top"/>
    </xf>
    <xf numFmtId="49" fontId="5824" fillId="0" borderId="5824" xfId="0" applyNumberFormat="1" applyFont="1" applyBorder="1" applyAlignment="1">
      <alignment vertical="top"/>
    </xf>
    <xf numFmtId="0" fontId="5825" fillId="0" borderId="5825" xfId="0" applyFont="1" applyBorder="1" applyAlignment="1">
      <alignment vertical="top"/>
    </xf>
    <xf numFmtId="0" fontId="5826" fillId="0" borderId="5826" xfId="0" applyFont="1" applyBorder="1" applyAlignment="1">
      <alignment vertical="top"/>
    </xf>
    <xf numFmtId="49" fontId="5827" fillId="0" borderId="5827" xfId="0" applyNumberFormat="1" applyFont="1" applyBorder="1" applyAlignment="1">
      <alignment vertical="top"/>
    </xf>
    <xf numFmtId="0" fontId="5828" fillId="0" borderId="5828" xfId="0" applyFont="1" applyBorder="1" applyAlignment="1">
      <alignment vertical="top"/>
    </xf>
    <xf numFmtId="0" fontId="5829" fillId="0" borderId="5829" xfId="0" applyFont="1" applyBorder="1" applyAlignment="1">
      <alignment vertical="top"/>
    </xf>
    <xf numFmtId="49" fontId="5830" fillId="0" borderId="5830" xfId="0" applyNumberFormat="1" applyFont="1" applyBorder="1" applyAlignment="1">
      <alignment vertical="top"/>
    </xf>
    <xf numFmtId="0" fontId="5831" fillId="0" borderId="5831" xfId="0" applyFont="1" applyBorder="1" applyAlignment="1">
      <alignment vertical="top"/>
    </xf>
    <xf numFmtId="0" fontId="5832" fillId="0" borderId="5832" xfId="0" applyFont="1" applyBorder="1" applyAlignment="1">
      <alignment vertical="top"/>
    </xf>
    <xf numFmtId="49" fontId="5833" fillId="0" borderId="5833" xfId="0" applyNumberFormat="1" applyFont="1" applyBorder="1" applyAlignment="1">
      <alignment vertical="top"/>
    </xf>
    <xf numFmtId="0" fontId="5834" fillId="0" borderId="5834" xfId="0" applyFont="1" applyBorder="1" applyAlignment="1">
      <alignment vertical="top"/>
    </xf>
    <xf numFmtId="0" fontId="5835" fillId="0" borderId="5835" xfId="0" applyFont="1" applyBorder="1" applyAlignment="1">
      <alignment vertical="top"/>
    </xf>
    <xf numFmtId="49" fontId="5836" fillId="0" borderId="5836" xfId="0" applyNumberFormat="1" applyFont="1" applyBorder="1" applyAlignment="1">
      <alignment vertical="top"/>
    </xf>
    <xf numFmtId="0" fontId="5837" fillId="0" borderId="5837" xfId="0" applyFont="1" applyBorder="1" applyAlignment="1">
      <alignment vertical="top"/>
    </xf>
    <xf numFmtId="0" fontId="5838" fillId="0" borderId="5838" xfId="0" applyFont="1" applyBorder="1" applyAlignment="1">
      <alignment vertical="top"/>
    </xf>
    <xf numFmtId="49" fontId="5839" fillId="0" borderId="5839" xfId="0" applyNumberFormat="1" applyFont="1" applyBorder="1" applyAlignment="1">
      <alignment vertical="top"/>
    </xf>
    <xf numFmtId="0" fontId="5840" fillId="0" borderId="5840" xfId="0" applyFont="1" applyBorder="1" applyAlignment="1">
      <alignment vertical="top"/>
    </xf>
    <xf numFmtId="0" fontId="5841" fillId="0" borderId="5841" xfId="0" applyFont="1" applyBorder="1" applyAlignment="1">
      <alignment vertical="top"/>
    </xf>
    <xf numFmtId="49" fontId="5842" fillId="0" borderId="5842" xfId="0" applyNumberFormat="1" applyFont="1" applyBorder="1" applyAlignment="1">
      <alignment vertical="top"/>
    </xf>
    <xf numFmtId="0" fontId="5843" fillId="0" borderId="5843" xfId="0" applyFont="1" applyBorder="1" applyAlignment="1">
      <alignment vertical="top"/>
    </xf>
    <xf numFmtId="0" fontId="5844" fillId="0" borderId="5844" xfId="0" applyFont="1" applyBorder="1" applyAlignment="1">
      <alignment vertical="top"/>
    </xf>
    <xf numFmtId="49" fontId="5845" fillId="0" borderId="5845" xfId="0" applyNumberFormat="1" applyFont="1" applyBorder="1" applyAlignment="1">
      <alignment vertical="top"/>
    </xf>
    <xf numFmtId="0" fontId="5846" fillId="0" borderId="5846" xfId="0" applyFont="1" applyBorder="1" applyAlignment="1">
      <alignment vertical="top"/>
    </xf>
    <xf numFmtId="0" fontId="5847" fillId="0" borderId="5847" xfId="0" applyFont="1" applyBorder="1" applyAlignment="1">
      <alignment vertical="top"/>
    </xf>
    <xf numFmtId="49" fontId="5848" fillId="0" borderId="5848" xfId="0" applyNumberFormat="1" applyFont="1" applyBorder="1" applyAlignment="1">
      <alignment vertical="top"/>
    </xf>
    <xf numFmtId="0" fontId="5849" fillId="0" borderId="5849" xfId="0" applyFont="1" applyBorder="1" applyAlignment="1">
      <alignment vertical="top"/>
    </xf>
    <xf numFmtId="0" fontId="5850" fillId="0" borderId="5850" xfId="0" applyFont="1" applyBorder="1" applyAlignment="1">
      <alignment vertical="top"/>
    </xf>
    <xf numFmtId="49" fontId="5851" fillId="0" borderId="5851" xfId="0" applyNumberFormat="1" applyFont="1" applyBorder="1" applyAlignment="1">
      <alignment vertical="top"/>
    </xf>
    <xf numFmtId="0" fontId="5852" fillId="0" borderId="5852" xfId="0" applyFont="1" applyBorder="1" applyAlignment="1">
      <alignment vertical="top"/>
    </xf>
    <xf numFmtId="0" fontId="5853" fillId="0" borderId="5853" xfId="0" applyFont="1" applyBorder="1" applyAlignment="1">
      <alignment vertical="top"/>
    </xf>
    <xf numFmtId="49" fontId="5854" fillId="0" borderId="5854" xfId="0" applyNumberFormat="1" applyFont="1" applyBorder="1" applyAlignment="1">
      <alignment vertical="top"/>
    </xf>
    <xf numFmtId="0" fontId="5855" fillId="0" borderId="5855" xfId="0" applyFont="1" applyBorder="1" applyAlignment="1">
      <alignment vertical="top"/>
    </xf>
    <xf numFmtId="0" fontId="5856" fillId="0" borderId="5856" xfId="0" applyFont="1" applyBorder="1" applyAlignment="1">
      <alignment vertical="top"/>
    </xf>
    <xf numFmtId="49" fontId="5857" fillId="0" borderId="5857" xfId="0" applyNumberFormat="1" applyFont="1" applyBorder="1" applyAlignment="1">
      <alignment vertical="top"/>
    </xf>
    <xf numFmtId="0" fontId="5858" fillId="0" borderId="5858" xfId="0" applyFont="1" applyBorder="1" applyAlignment="1">
      <alignment vertical="top"/>
    </xf>
    <xf numFmtId="0" fontId="5859" fillId="0" borderId="5859" xfId="0" applyFont="1" applyBorder="1" applyAlignment="1">
      <alignment vertical="top"/>
    </xf>
    <xf numFmtId="49" fontId="5860" fillId="0" borderId="5860" xfId="0" applyNumberFormat="1" applyFont="1" applyBorder="1" applyAlignment="1">
      <alignment vertical="top"/>
    </xf>
    <xf numFmtId="0" fontId="5861" fillId="0" borderId="5861" xfId="0" applyFont="1" applyBorder="1" applyAlignment="1">
      <alignment vertical="top"/>
    </xf>
    <xf numFmtId="0" fontId="5862" fillId="0" borderId="5862" xfId="0" applyFont="1" applyBorder="1" applyAlignment="1">
      <alignment vertical="top"/>
    </xf>
    <xf numFmtId="49" fontId="5863" fillId="0" borderId="5863" xfId="0" applyNumberFormat="1" applyFont="1" applyBorder="1" applyAlignment="1">
      <alignment vertical="top"/>
    </xf>
    <xf numFmtId="0" fontId="5864" fillId="0" borderId="5864" xfId="0" applyFont="1" applyBorder="1" applyAlignment="1">
      <alignment vertical="top"/>
    </xf>
    <xf numFmtId="0" fontId="5865" fillId="0" borderId="5865" xfId="0" applyFont="1" applyBorder="1" applyAlignment="1">
      <alignment vertical="top"/>
    </xf>
    <xf numFmtId="49" fontId="5866" fillId="0" borderId="5866" xfId="0" applyNumberFormat="1" applyFont="1" applyBorder="1" applyAlignment="1">
      <alignment vertical="top"/>
    </xf>
    <xf numFmtId="0" fontId="5867" fillId="0" borderId="5867" xfId="0" applyFont="1" applyBorder="1" applyAlignment="1">
      <alignment vertical="top"/>
    </xf>
    <xf numFmtId="0" fontId="5868" fillId="0" borderId="5868" xfId="0" applyFont="1" applyBorder="1" applyAlignment="1">
      <alignment vertical="top"/>
    </xf>
    <xf numFmtId="49" fontId="5869" fillId="0" borderId="5869" xfId="0" applyNumberFormat="1" applyFont="1" applyBorder="1" applyAlignment="1">
      <alignment vertical="top"/>
    </xf>
    <xf numFmtId="0" fontId="5870" fillId="0" borderId="5870" xfId="0" applyFont="1" applyBorder="1" applyAlignment="1">
      <alignment vertical="top"/>
    </xf>
    <xf numFmtId="0" fontId="5871" fillId="0" borderId="5871" xfId="0" applyFont="1" applyBorder="1" applyAlignment="1">
      <alignment vertical="top"/>
    </xf>
    <xf numFmtId="49" fontId="5872" fillId="0" borderId="5872" xfId="0" applyNumberFormat="1" applyFont="1" applyBorder="1" applyAlignment="1">
      <alignment vertical="top"/>
    </xf>
    <xf numFmtId="0" fontId="5873" fillId="0" borderId="5873" xfId="0" applyFont="1" applyBorder="1" applyAlignment="1">
      <alignment vertical="top"/>
    </xf>
    <xf numFmtId="0" fontId="5874" fillId="0" borderId="5874" xfId="0" applyFont="1" applyBorder="1" applyAlignment="1">
      <alignment vertical="top"/>
    </xf>
    <xf numFmtId="49" fontId="5875" fillId="0" borderId="5875" xfId="0" applyNumberFormat="1" applyFont="1" applyBorder="1" applyAlignment="1">
      <alignment vertical="top"/>
    </xf>
    <xf numFmtId="0" fontId="5876" fillId="0" borderId="5876" xfId="0" applyFont="1" applyBorder="1" applyAlignment="1">
      <alignment vertical="top"/>
    </xf>
    <xf numFmtId="0" fontId="5877" fillId="0" borderId="5877" xfId="0" applyFont="1" applyBorder="1" applyAlignment="1">
      <alignment vertical="top"/>
    </xf>
    <xf numFmtId="49" fontId="5878" fillId="0" borderId="5878" xfId="0" applyNumberFormat="1" applyFont="1" applyBorder="1" applyAlignment="1">
      <alignment vertical="top"/>
    </xf>
    <xf numFmtId="0" fontId="5879" fillId="0" borderId="5879" xfId="0" applyFont="1" applyBorder="1" applyAlignment="1">
      <alignment vertical="top"/>
    </xf>
    <xf numFmtId="0" fontId="5880" fillId="0" borderId="5880" xfId="0" applyFont="1" applyBorder="1" applyAlignment="1">
      <alignment vertical="top"/>
    </xf>
    <xf numFmtId="49" fontId="5881" fillId="0" borderId="5881" xfId="0" applyNumberFormat="1" applyFont="1" applyBorder="1" applyAlignment="1">
      <alignment vertical="top"/>
    </xf>
    <xf numFmtId="0" fontId="5882" fillId="0" borderId="5882" xfId="0" applyFont="1" applyBorder="1" applyAlignment="1">
      <alignment vertical="top"/>
    </xf>
    <xf numFmtId="0" fontId="5883" fillId="0" borderId="5883" xfId="0" applyFont="1" applyBorder="1" applyAlignment="1">
      <alignment vertical="top"/>
    </xf>
    <xf numFmtId="49" fontId="5884" fillId="0" borderId="5884" xfId="0" applyNumberFormat="1" applyFont="1" applyBorder="1" applyAlignment="1">
      <alignment vertical="top"/>
    </xf>
    <xf numFmtId="0" fontId="5885" fillId="0" borderId="5885" xfId="0" applyFont="1" applyBorder="1" applyAlignment="1">
      <alignment vertical="top"/>
    </xf>
    <xf numFmtId="0" fontId="5886" fillId="0" borderId="5886" xfId="0" applyFont="1" applyBorder="1" applyAlignment="1">
      <alignment vertical="top"/>
    </xf>
    <xf numFmtId="49" fontId="5887" fillId="0" borderId="5887" xfId="0" applyNumberFormat="1" applyFont="1" applyBorder="1" applyAlignment="1">
      <alignment vertical="top"/>
    </xf>
    <xf numFmtId="0" fontId="5888" fillId="0" borderId="5888" xfId="0" applyFont="1" applyBorder="1" applyAlignment="1">
      <alignment vertical="top"/>
    </xf>
    <xf numFmtId="0" fontId="5889" fillId="0" borderId="5889" xfId="0" applyFont="1" applyBorder="1" applyAlignment="1">
      <alignment vertical="top"/>
    </xf>
    <xf numFmtId="49" fontId="5890" fillId="0" borderId="5890" xfId="0" applyNumberFormat="1" applyFont="1" applyBorder="1" applyAlignment="1">
      <alignment vertical="top"/>
    </xf>
    <xf numFmtId="0" fontId="5891" fillId="0" borderId="5891" xfId="0" applyFont="1" applyBorder="1" applyAlignment="1">
      <alignment vertical="top"/>
    </xf>
    <xf numFmtId="0" fontId="5892" fillId="0" borderId="5892" xfId="0" applyFont="1" applyBorder="1" applyAlignment="1">
      <alignment vertical="top"/>
    </xf>
    <xf numFmtId="49" fontId="5893" fillId="0" borderId="5893" xfId="0" applyNumberFormat="1" applyFont="1" applyBorder="1" applyAlignment="1">
      <alignment vertical="top"/>
    </xf>
    <xf numFmtId="0" fontId="5894" fillId="0" borderId="5894" xfId="0" applyFont="1" applyBorder="1" applyAlignment="1">
      <alignment vertical="top"/>
    </xf>
    <xf numFmtId="0" fontId="5895" fillId="0" borderId="5895" xfId="0" applyFont="1" applyBorder="1" applyAlignment="1">
      <alignment vertical="top"/>
    </xf>
    <xf numFmtId="49" fontId="5896" fillId="0" borderId="5896" xfId="0" applyNumberFormat="1" applyFont="1" applyBorder="1" applyAlignment="1">
      <alignment vertical="top"/>
    </xf>
    <xf numFmtId="0" fontId="5897" fillId="0" borderId="5897" xfId="0" applyFont="1" applyBorder="1" applyAlignment="1">
      <alignment vertical="top"/>
    </xf>
    <xf numFmtId="0" fontId="5898" fillId="0" borderId="5898" xfId="0" applyFont="1" applyBorder="1" applyAlignment="1">
      <alignment vertical="top"/>
    </xf>
    <xf numFmtId="49" fontId="5899" fillId="0" borderId="5899" xfId="0" applyNumberFormat="1" applyFont="1" applyBorder="1" applyAlignment="1">
      <alignment vertical="top"/>
    </xf>
    <xf numFmtId="0" fontId="5900" fillId="0" borderId="5900" xfId="0" applyFont="1" applyBorder="1" applyAlignment="1">
      <alignment vertical="top"/>
    </xf>
    <xf numFmtId="0" fontId="5901" fillId="0" borderId="5901" xfId="0" applyFont="1" applyBorder="1" applyAlignment="1">
      <alignment vertical="top"/>
    </xf>
    <xf numFmtId="49" fontId="5902" fillId="0" borderId="5902" xfId="0" applyNumberFormat="1" applyFont="1" applyBorder="1" applyAlignment="1">
      <alignment vertical="top"/>
    </xf>
    <xf numFmtId="0" fontId="5903" fillId="0" borderId="5903" xfId="0" applyFont="1" applyBorder="1" applyAlignment="1">
      <alignment vertical="top"/>
    </xf>
    <xf numFmtId="0" fontId="5904" fillId="0" borderId="5904" xfId="0" applyFont="1" applyBorder="1" applyAlignment="1">
      <alignment vertical="top"/>
    </xf>
    <xf numFmtId="49" fontId="5905" fillId="0" borderId="5905" xfId="0" applyNumberFormat="1" applyFont="1" applyBorder="1" applyAlignment="1">
      <alignment vertical="top"/>
    </xf>
    <xf numFmtId="0" fontId="5906" fillId="0" borderId="5906" xfId="0" applyFont="1" applyBorder="1" applyAlignment="1">
      <alignment vertical="top"/>
    </xf>
    <xf numFmtId="0" fontId="5907" fillId="0" borderId="5907" xfId="0" applyFont="1" applyBorder="1" applyAlignment="1">
      <alignment vertical="top"/>
    </xf>
    <xf numFmtId="49" fontId="5908" fillId="0" borderId="5908" xfId="0" applyNumberFormat="1" applyFont="1" applyBorder="1" applyAlignment="1">
      <alignment vertical="top"/>
    </xf>
    <xf numFmtId="0" fontId="5909" fillId="0" borderId="5909" xfId="0" applyFont="1" applyBorder="1" applyAlignment="1">
      <alignment vertical="top"/>
    </xf>
    <xf numFmtId="0" fontId="5910" fillId="0" borderId="5910" xfId="0" applyFont="1" applyBorder="1" applyAlignment="1">
      <alignment vertical="top"/>
    </xf>
    <xf numFmtId="49" fontId="5911" fillId="0" borderId="5911" xfId="0" applyNumberFormat="1" applyFont="1" applyBorder="1" applyAlignment="1">
      <alignment vertical="top"/>
    </xf>
    <xf numFmtId="0" fontId="5912" fillId="0" borderId="5912" xfId="0" applyFont="1" applyBorder="1" applyAlignment="1">
      <alignment vertical="top"/>
    </xf>
    <xf numFmtId="0" fontId="5913" fillId="0" borderId="5913" xfId="0" applyFont="1" applyBorder="1" applyAlignment="1">
      <alignment vertical="top"/>
    </xf>
    <xf numFmtId="49" fontId="5914" fillId="0" borderId="5914" xfId="0" applyNumberFormat="1" applyFont="1" applyBorder="1" applyAlignment="1">
      <alignment vertical="top"/>
    </xf>
    <xf numFmtId="0" fontId="5915" fillId="0" borderId="5915" xfId="0" applyFont="1" applyBorder="1" applyAlignment="1">
      <alignment vertical="top"/>
    </xf>
    <xf numFmtId="0" fontId="5916" fillId="0" borderId="5916" xfId="0" applyFont="1" applyBorder="1" applyAlignment="1">
      <alignment vertical="top"/>
    </xf>
    <xf numFmtId="49" fontId="5917" fillId="0" borderId="5917" xfId="0" applyNumberFormat="1" applyFont="1" applyBorder="1" applyAlignment="1">
      <alignment vertical="top"/>
    </xf>
    <xf numFmtId="0" fontId="5918" fillId="0" borderId="5918" xfId="0" applyFont="1" applyBorder="1" applyAlignment="1">
      <alignment vertical="top"/>
    </xf>
    <xf numFmtId="0" fontId="5919" fillId="0" borderId="5919" xfId="0" applyFont="1" applyBorder="1" applyAlignment="1">
      <alignment vertical="top"/>
    </xf>
    <xf numFmtId="49" fontId="5920" fillId="0" borderId="5920" xfId="0" applyNumberFormat="1" applyFont="1" applyBorder="1" applyAlignment="1">
      <alignment vertical="top"/>
    </xf>
    <xf numFmtId="0" fontId="5921" fillId="0" borderId="5921" xfId="0" applyFont="1" applyBorder="1" applyAlignment="1">
      <alignment vertical="top"/>
    </xf>
    <xf numFmtId="0" fontId="5922" fillId="0" borderId="5922" xfId="0" applyFont="1" applyBorder="1" applyAlignment="1">
      <alignment vertical="top"/>
    </xf>
    <xf numFmtId="49" fontId="5923" fillId="0" borderId="5923" xfId="0" applyNumberFormat="1" applyFont="1" applyBorder="1" applyAlignment="1">
      <alignment vertical="top"/>
    </xf>
    <xf numFmtId="0" fontId="5924" fillId="0" borderId="5924" xfId="0" applyFont="1" applyBorder="1" applyAlignment="1">
      <alignment vertical="top"/>
    </xf>
    <xf numFmtId="0" fontId="5925" fillId="0" borderId="5925" xfId="0" applyFont="1" applyBorder="1" applyAlignment="1">
      <alignment vertical="top"/>
    </xf>
    <xf numFmtId="49" fontId="5926" fillId="0" borderId="5926" xfId="0" applyNumberFormat="1" applyFont="1" applyBorder="1" applyAlignment="1">
      <alignment vertical="top"/>
    </xf>
    <xf numFmtId="0" fontId="5927" fillId="0" borderId="5927" xfId="0" applyFont="1" applyBorder="1" applyAlignment="1">
      <alignment vertical="top"/>
    </xf>
    <xf numFmtId="0" fontId="5928" fillId="0" borderId="5928" xfId="0" applyFont="1" applyBorder="1" applyAlignment="1">
      <alignment vertical="top"/>
    </xf>
    <xf numFmtId="49" fontId="5929" fillId="0" borderId="5929" xfId="0" applyNumberFormat="1" applyFont="1" applyBorder="1" applyAlignment="1">
      <alignment vertical="top"/>
    </xf>
    <xf numFmtId="0" fontId="5930" fillId="0" borderId="5930" xfId="0" applyFont="1" applyBorder="1" applyAlignment="1">
      <alignment vertical="top"/>
    </xf>
    <xf numFmtId="0" fontId="5931" fillId="0" borderId="5931" xfId="0" applyFont="1" applyBorder="1" applyAlignment="1">
      <alignment vertical="top"/>
    </xf>
    <xf numFmtId="49" fontId="5932" fillId="0" borderId="5932" xfId="0" applyNumberFormat="1" applyFont="1" applyBorder="1" applyAlignment="1">
      <alignment vertical="top"/>
    </xf>
    <xf numFmtId="0" fontId="5933" fillId="0" borderId="5933" xfId="0" applyFont="1" applyBorder="1" applyAlignment="1">
      <alignment vertical="top"/>
    </xf>
    <xf numFmtId="0" fontId="5934" fillId="0" borderId="5934" xfId="0" applyFont="1" applyBorder="1" applyAlignment="1">
      <alignment vertical="top"/>
    </xf>
    <xf numFmtId="49" fontId="5935" fillId="0" borderId="5935" xfId="0" applyNumberFormat="1" applyFont="1" applyBorder="1" applyAlignment="1">
      <alignment vertical="top"/>
    </xf>
    <xf numFmtId="0" fontId="5936" fillId="0" borderId="5936" xfId="0" applyFont="1" applyBorder="1" applyAlignment="1">
      <alignment vertical="top"/>
    </xf>
    <xf numFmtId="0" fontId="5937" fillId="0" borderId="5937" xfId="0" applyFont="1" applyBorder="1" applyAlignment="1">
      <alignment vertical="top"/>
    </xf>
    <xf numFmtId="49" fontId="5938" fillId="0" borderId="5938" xfId="0" applyNumberFormat="1" applyFont="1" applyBorder="1" applyAlignment="1">
      <alignment vertical="top"/>
    </xf>
    <xf numFmtId="0" fontId="5939" fillId="0" borderId="5939" xfId="0" applyFont="1" applyBorder="1" applyAlignment="1">
      <alignment vertical="top"/>
    </xf>
    <xf numFmtId="0" fontId="5940" fillId="0" borderId="5940" xfId="0" applyFont="1" applyBorder="1" applyAlignment="1">
      <alignment vertical="top"/>
    </xf>
    <xf numFmtId="49" fontId="5941" fillId="0" borderId="5941" xfId="0" applyNumberFormat="1" applyFont="1" applyBorder="1" applyAlignment="1">
      <alignment vertical="top"/>
    </xf>
    <xf numFmtId="0" fontId="5942" fillId="0" borderId="5942" xfId="0" applyFont="1" applyBorder="1" applyAlignment="1">
      <alignment vertical="top"/>
    </xf>
    <xf numFmtId="0" fontId="5943" fillId="0" borderId="5943" xfId="0" applyFont="1" applyBorder="1" applyAlignment="1">
      <alignment vertical="top"/>
    </xf>
    <xf numFmtId="49" fontId="5944" fillId="0" borderId="5944" xfId="0" applyNumberFormat="1" applyFont="1" applyBorder="1" applyAlignment="1">
      <alignment vertical="top"/>
    </xf>
    <xf numFmtId="0" fontId="5945" fillId="0" borderId="5945" xfId="0" applyFont="1" applyBorder="1" applyAlignment="1">
      <alignment vertical="top"/>
    </xf>
    <xf numFmtId="0" fontId="5946" fillId="0" borderId="5946" xfId="0" applyFont="1" applyBorder="1" applyAlignment="1">
      <alignment vertical="top"/>
    </xf>
    <xf numFmtId="49" fontId="5947" fillId="0" borderId="5947" xfId="0" applyNumberFormat="1" applyFont="1" applyBorder="1" applyAlignment="1">
      <alignment vertical="top"/>
    </xf>
    <xf numFmtId="0" fontId="5948" fillId="0" borderId="5948" xfId="0" applyFont="1" applyBorder="1" applyAlignment="1">
      <alignment vertical="top"/>
    </xf>
    <xf numFmtId="0" fontId="5949" fillId="0" borderId="5949" xfId="0" applyFont="1" applyBorder="1" applyAlignment="1">
      <alignment vertical="top"/>
    </xf>
    <xf numFmtId="49" fontId="5950" fillId="0" borderId="5950" xfId="0" applyNumberFormat="1" applyFont="1" applyBorder="1" applyAlignment="1">
      <alignment vertical="top"/>
    </xf>
    <xf numFmtId="0" fontId="5951" fillId="0" borderId="5951" xfId="0" applyFont="1" applyBorder="1" applyAlignment="1">
      <alignment vertical="top"/>
    </xf>
    <xf numFmtId="0" fontId="5952" fillId="0" borderId="5952" xfId="0" applyFont="1" applyBorder="1" applyAlignment="1">
      <alignment vertical="top"/>
    </xf>
    <xf numFmtId="49" fontId="5953" fillId="0" borderId="5953" xfId="0" applyNumberFormat="1" applyFont="1" applyBorder="1" applyAlignment="1">
      <alignment vertical="top"/>
    </xf>
    <xf numFmtId="0" fontId="5954" fillId="0" borderId="5954" xfId="0" applyFont="1" applyBorder="1" applyAlignment="1">
      <alignment vertical="top"/>
    </xf>
    <xf numFmtId="0" fontId="5955" fillId="0" borderId="5955" xfId="0" applyFont="1" applyBorder="1" applyAlignment="1">
      <alignment vertical="top"/>
    </xf>
    <xf numFmtId="49" fontId="5956" fillId="0" borderId="5956" xfId="0" applyNumberFormat="1" applyFont="1" applyBorder="1" applyAlignment="1">
      <alignment vertical="top"/>
    </xf>
    <xf numFmtId="0" fontId="5957" fillId="0" borderId="5957" xfId="0" applyFont="1" applyBorder="1" applyAlignment="1">
      <alignment vertical="top"/>
    </xf>
    <xf numFmtId="0" fontId="5958" fillId="0" borderId="5958" xfId="0" applyFont="1" applyBorder="1" applyAlignment="1">
      <alignment vertical="top"/>
    </xf>
    <xf numFmtId="49" fontId="5959" fillId="0" borderId="5959" xfId="0" applyNumberFormat="1" applyFont="1" applyBorder="1" applyAlignment="1">
      <alignment vertical="top"/>
    </xf>
    <xf numFmtId="0" fontId="5960" fillId="0" borderId="5960" xfId="0" applyFont="1" applyBorder="1" applyAlignment="1">
      <alignment vertical="top"/>
    </xf>
    <xf numFmtId="0" fontId="5961" fillId="0" borderId="5961" xfId="0" applyFont="1" applyBorder="1" applyAlignment="1">
      <alignment vertical="top"/>
    </xf>
    <xf numFmtId="49" fontId="5962" fillId="0" borderId="5962" xfId="0" applyNumberFormat="1" applyFont="1" applyBorder="1" applyAlignment="1">
      <alignment vertical="top"/>
    </xf>
    <xf numFmtId="0" fontId="5963" fillId="0" borderId="5963" xfId="0" applyFont="1" applyBorder="1" applyAlignment="1">
      <alignment vertical="top"/>
    </xf>
    <xf numFmtId="0" fontId="5964" fillId="0" borderId="5964" xfId="0" applyFont="1" applyBorder="1" applyAlignment="1">
      <alignment vertical="top"/>
    </xf>
    <xf numFmtId="49" fontId="5965" fillId="0" borderId="5965" xfId="0" applyNumberFormat="1" applyFont="1" applyBorder="1" applyAlignment="1">
      <alignment vertical="top"/>
    </xf>
    <xf numFmtId="0" fontId="5966" fillId="0" borderId="5966" xfId="0" applyFont="1" applyBorder="1" applyAlignment="1">
      <alignment vertical="top"/>
    </xf>
    <xf numFmtId="0" fontId="5967" fillId="0" borderId="5967" xfId="0" applyFont="1" applyBorder="1" applyAlignment="1">
      <alignment vertical="top"/>
    </xf>
    <xf numFmtId="49" fontId="5968" fillId="0" borderId="5968" xfId="0" applyNumberFormat="1" applyFont="1" applyBorder="1" applyAlignment="1">
      <alignment vertical="top"/>
    </xf>
    <xf numFmtId="0" fontId="5969" fillId="0" borderId="5969" xfId="0" applyFont="1" applyBorder="1" applyAlignment="1">
      <alignment vertical="top"/>
    </xf>
    <xf numFmtId="0" fontId="5970" fillId="0" borderId="5970" xfId="0" applyFont="1" applyBorder="1" applyAlignment="1">
      <alignment vertical="top"/>
    </xf>
    <xf numFmtId="49" fontId="5971" fillId="0" borderId="5971" xfId="0" applyNumberFormat="1" applyFont="1" applyBorder="1" applyAlignment="1">
      <alignment vertical="top"/>
    </xf>
    <xf numFmtId="0" fontId="5972" fillId="0" borderId="5972" xfId="0" applyFont="1" applyBorder="1" applyAlignment="1">
      <alignment vertical="top"/>
    </xf>
    <xf numFmtId="0" fontId="5973" fillId="0" borderId="5973" xfId="0" applyFont="1" applyBorder="1" applyAlignment="1">
      <alignment vertical="top"/>
    </xf>
    <xf numFmtId="49" fontId="5974" fillId="0" borderId="5974" xfId="0" applyNumberFormat="1" applyFont="1" applyBorder="1" applyAlignment="1">
      <alignment vertical="top"/>
    </xf>
    <xf numFmtId="0" fontId="5975" fillId="0" borderId="5975" xfId="0" applyFont="1" applyBorder="1" applyAlignment="1">
      <alignment vertical="top"/>
    </xf>
    <xf numFmtId="0" fontId="5976" fillId="0" borderId="5976" xfId="0" applyFont="1" applyBorder="1" applyAlignment="1">
      <alignment vertical="top"/>
    </xf>
    <xf numFmtId="49" fontId="5977" fillId="0" borderId="5977" xfId="0" applyNumberFormat="1" applyFont="1" applyBorder="1" applyAlignment="1">
      <alignment vertical="top"/>
    </xf>
    <xf numFmtId="0" fontId="5978" fillId="0" borderId="5978" xfId="0" applyFont="1" applyBorder="1" applyAlignment="1">
      <alignment vertical="top"/>
    </xf>
    <xf numFmtId="0" fontId="5979" fillId="0" borderId="5979" xfId="0" applyFont="1" applyBorder="1" applyAlignment="1">
      <alignment vertical="top"/>
    </xf>
    <xf numFmtId="49" fontId="5980" fillId="0" borderId="5980" xfId="0" applyNumberFormat="1" applyFont="1" applyBorder="1" applyAlignment="1">
      <alignment vertical="top"/>
    </xf>
    <xf numFmtId="0" fontId="5981" fillId="0" borderId="5981" xfId="0" applyFont="1" applyBorder="1" applyAlignment="1">
      <alignment vertical="top"/>
    </xf>
    <xf numFmtId="0" fontId="5982" fillId="0" borderId="5982" xfId="0" applyFont="1" applyBorder="1" applyAlignment="1">
      <alignment vertical="top"/>
    </xf>
    <xf numFmtId="49" fontId="5983" fillId="0" borderId="5983" xfId="0" applyNumberFormat="1" applyFont="1" applyBorder="1" applyAlignment="1">
      <alignment vertical="top"/>
    </xf>
    <xf numFmtId="0" fontId="5984" fillId="0" borderId="5984" xfId="0" applyFont="1" applyBorder="1" applyAlignment="1">
      <alignment vertical="top"/>
    </xf>
    <xf numFmtId="0" fontId="5985" fillId="0" borderId="5985" xfId="0" applyFont="1" applyBorder="1" applyAlignment="1">
      <alignment vertical="top"/>
    </xf>
    <xf numFmtId="49" fontId="5986" fillId="0" borderId="5986" xfId="0" applyNumberFormat="1" applyFont="1" applyBorder="1" applyAlignment="1">
      <alignment vertical="top"/>
    </xf>
    <xf numFmtId="0" fontId="5987" fillId="0" borderId="5987" xfId="0" applyFont="1" applyBorder="1" applyAlignment="1">
      <alignment vertical="top"/>
    </xf>
    <xf numFmtId="0" fontId="5988" fillId="0" borderId="5988" xfId="0" applyFont="1" applyBorder="1" applyAlignment="1">
      <alignment vertical="top"/>
    </xf>
    <xf numFmtId="49" fontId="5989" fillId="0" borderId="5989" xfId="0" applyNumberFormat="1" applyFont="1" applyBorder="1" applyAlignment="1">
      <alignment vertical="top"/>
    </xf>
    <xf numFmtId="0" fontId="5990" fillId="0" borderId="5990" xfId="0" applyFont="1" applyBorder="1" applyAlignment="1">
      <alignment vertical="top"/>
    </xf>
    <xf numFmtId="0" fontId="5991" fillId="0" borderId="5991" xfId="0" applyFont="1" applyBorder="1" applyAlignment="1">
      <alignment vertical="top"/>
    </xf>
    <xf numFmtId="49" fontId="5992" fillId="0" borderId="5992" xfId="0" applyNumberFormat="1" applyFont="1" applyBorder="1" applyAlignment="1">
      <alignment vertical="top"/>
    </xf>
    <xf numFmtId="0" fontId="5993" fillId="0" borderId="5993" xfId="0" applyFont="1" applyBorder="1" applyAlignment="1">
      <alignment vertical="top"/>
    </xf>
    <xf numFmtId="0" fontId="5994" fillId="0" borderId="5994" xfId="0" applyFont="1" applyBorder="1" applyAlignment="1">
      <alignment vertical="top"/>
    </xf>
    <xf numFmtId="49" fontId="5995" fillId="0" borderId="5995" xfId="0" applyNumberFormat="1" applyFont="1" applyBorder="1" applyAlignment="1">
      <alignment vertical="top"/>
    </xf>
    <xf numFmtId="0" fontId="5996" fillId="0" borderId="5996" xfId="0" applyFont="1" applyBorder="1" applyAlignment="1">
      <alignment vertical="top"/>
    </xf>
    <xf numFmtId="0" fontId="5997" fillId="0" borderId="5997" xfId="0" applyFont="1" applyBorder="1" applyAlignment="1">
      <alignment vertical="top"/>
    </xf>
    <xf numFmtId="49" fontId="5998" fillId="0" borderId="5998" xfId="0" applyNumberFormat="1" applyFont="1" applyBorder="1" applyAlignment="1">
      <alignment vertical="top"/>
    </xf>
    <xf numFmtId="0" fontId="5999" fillId="0" borderId="5999" xfId="0" applyFont="1" applyBorder="1" applyAlignment="1">
      <alignment vertical="top"/>
    </xf>
    <xf numFmtId="0" fontId="6000" fillId="0" borderId="6000" xfId="0" applyFont="1" applyBorder="1" applyAlignment="1">
      <alignment vertical="top"/>
    </xf>
    <xf numFmtId="49" fontId="6001" fillId="0" borderId="6001" xfId="0" applyNumberFormat="1" applyFont="1" applyBorder="1" applyAlignment="1">
      <alignment vertical="top"/>
    </xf>
    <xf numFmtId="0" fontId="6002" fillId="0" borderId="6002" xfId="0" applyFont="1" applyBorder="1" applyAlignment="1">
      <alignment vertical="top"/>
    </xf>
    <xf numFmtId="0" fontId="6003" fillId="0" borderId="6003" xfId="0" applyFont="1" applyBorder="1" applyAlignment="1">
      <alignment vertical="top"/>
    </xf>
    <xf numFmtId="49" fontId="6004" fillId="0" borderId="6004" xfId="0" applyNumberFormat="1" applyFont="1" applyBorder="1" applyAlignment="1">
      <alignment vertical="top"/>
    </xf>
    <xf numFmtId="0" fontId="6005" fillId="0" borderId="6005" xfId="0" applyFont="1" applyBorder="1" applyAlignment="1">
      <alignment vertical="top"/>
    </xf>
    <xf numFmtId="0" fontId="6006" fillId="0" borderId="6006" xfId="0" applyFont="1" applyBorder="1" applyAlignment="1">
      <alignment vertical="top"/>
    </xf>
    <xf numFmtId="49" fontId="6007" fillId="0" borderId="6007" xfId="0" applyNumberFormat="1" applyFont="1" applyBorder="1" applyAlignment="1">
      <alignment vertical="top"/>
    </xf>
    <xf numFmtId="0" fontId="6008" fillId="0" borderId="6008" xfId="0" applyFont="1" applyBorder="1" applyAlignment="1">
      <alignment vertical="top"/>
    </xf>
    <xf numFmtId="0" fontId="6009" fillId="0" borderId="6009" xfId="0" applyFont="1" applyBorder="1" applyAlignment="1">
      <alignment vertical="top"/>
    </xf>
    <xf numFmtId="49" fontId="6010" fillId="0" borderId="6010" xfId="0" applyNumberFormat="1" applyFont="1" applyBorder="1" applyAlignment="1">
      <alignment vertical="top"/>
    </xf>
    <xf numFmtId="0" fontId="6011" fillId="0" borderId="6011" xfId="0" applyFont="1" applyBorder="1" applyAlignment="1">
      <alignment vertical="top"/>
    </xf>
    <xf numFmtId="0" fontId="6012" fillId="0" borderId="6012" xfId="0" applyFont="1" applyBorder="1" applyAlignment="1">
      <alignment vertical="top"/>
    </xf>
    <xf numFmtId="49" fontId="6013" fillId="0" borderId="6013" xfId="0" applyNumberFormat="1" applyFont="1" applyBorder="1" applyAlignment="1">
      <alignment vertical="top"/>
    </xf>
    <xf numFmtId="0" fontId="6014" fillId="0" borderId="6014" xfId="0" applyFont="1" applyBorder="1" applyAlignment="1">
      <alignment vertical="top"/>
    </xf>
    <xf numFmtId="0" fontId="6015" fillId="0" borderId="6015" xfId="0" applyFont="1" applyBorder="1" applyAlignment="1">
      <alignment vertical="top"/>
    </xf>
    <xf numFmtId="49" fontId="6016" fillId="0" borderId="6016" xfId="0" applyNumberFormat="1" applyFont="1" applyBorder="1" applyAlignment="1">
      <alignment vertical="top"/>
    </xf>
    <xf numFmtId="0" fontId="6017" fillId="0" borderId="6017" xfId="0" applyFont="1" applyBorder="1" applyAlignment="1">
      <alignment vertical="top"/>
    </xf>
    <xf numFmtId="0" fontId="6018" fillId="0" borderId="6018" xfId="0" applyFont="1" applyBorder="1" applyAlignment="1">
      <alignment vertical="top"/>
    </xf>
    <xf numFmtId="49" fontId="6019" fillId="0" borderId="6019" xfId="0" applyNumberFormat="1" applyFont="1" applyBorder="1" applyAlignment="1">
      <alignment vertical="top"/>
    </xf>
    <xf numFmtId="0" fontId="6020" fillId="0" borderId="6020" xfId="0" applyFont="1" applyBorder="1" applyAlignment="1">
      <alignment vertical="top"/>
    </xf>
    <xf numFmtId="0" fontId="6021" fillId="0" borderId="6021" xfId="0" applyFont="1" applyBorder="1" applyAlignment="1">
      <alignment vertical="top"/>
    </xf>
    <xf numFmtId="49" fontId="6022" fillId="0" borderId="6022" xfId="0" applyNumberFormat="1" applyFont="1" applyBorder="1" applyAlignment="1">
      <alignment vertical="top"/>
    </xf>
    <xf numFmtId="0" fontId="6023" fillId="0" borderId="6023" xfId="0" applyFont="1" applyBorder="1" applyAlignment="1">
      <alignment vertical="top"/>
    </xf>
    <xf numFmtId="0" fontId="6024" fillId="0" borderId="6024" xfId="0" applyFont="1" applyBorder="1" applyAlignment="1">
      <alignment vertical="top"/>
    </xf>
    <xf numFmtId="49" fontId="6025" fillId="0" borderId="6025" xfId="0" applyNumberFormat="1" applyFont="1" applyBorder="1" applyAlignment="1">
      <alignment vertical="top"/>
    </xf>
    <xf numFmtId="0" fontId="6026" fillId="0" borderId="6026" xfId="0" applyFont="1" applyBorder="1" applyAlignment="1">
      <alignment vertical="top"/>
    </xf>
    <xf numFmtId="0" fontId="6027" fillId="0" borderId="6027" xfId="0" applyFont="1" applyBorder="1" applyAlignment="1">
      <alignment vertical="top"/>
    </xf>
    <xf numFmtId="49" fontId="6028" fillId="0" borderId="6028" xfId="0" applyNumberFormat="1" applyFont="1" applyBorder="1" applyAlignment="1">
      <alignment vertical="top"/>
    </xf>
    <xf numFmtId="0" fontId="6029" fillId="0" borderId="6029" xfId="0" applyFont="1" applyBorder="1" applyAlignment="1">
      <alignment vertical="top"/>
    </xf>
    <xf numFmtId="0" fontId="6030" fillId="0" borderId="6030" xfId="0" applyFont="1" applyBorder="1" applyAlignment="1">
      <alignment vertical="top"/>
    </xf>
    <xf numFmtId="49" fontId="6031" fillId="0" borderId="6031" xfId="0" applyNumberFormat="1" applyFont="1" applyBorder="1" applyAlignment="1">
      <alignment vertical="top"/>
    </xf>
    <xf numFmtId="0" fontId="6032" fillId="0" borderId="6032" xfId="0" applyFont="1" applyBorder="1" applyAlignment="1">
      <alignment vertical="top"/>
    </xf>
    <xf numFmtId="0" fontId="6033" fillId="0" borderId="6033" xfId="0" applyFont="1" applyBorder="1" applyAlignment="1">
      <alignment vertical="top"/>
    </xf>
    <xf numFmtId="49" fontId="6034" fillId="0" borderId="6034" xfId="0" applyNumberFormat="1" applyFont="1" applyBorder="1" applyAlignment="1">
      <alignment vertical="top"/>
    </xf>
    <xf numFmtId="0" fontId="6035" fillId="0" borderId="6035" xfId="0" applyFont="1" applyBorder="1" applyAlignment="1">
      <alignment vertical="top"/>
    </xf>
    <xf numFmtId="0" fontId="6036" fillId="0" borderId="6036" xfId="0" applyFont="1" applyBorder="1" applyAlignment="1">
      <alignment vertical="top"/>
    </xf>
    <xf numFmtId="49" fontId="6037" fillId="0" borderId="6037" xfId="0" applyNumberFormat="1" applyFont="1" applyBorder="1" applyAlignment="1">
      <alignment vertical="top"/>
    </xf>
    <xf numFmtId="0" fontId="6038" fillId="0" borderId="6038" xfId="0" applyFont="1" applyBorder="1" applyAlignment="1">
      <alignment vertical="top"/>
    </xf>
    <xf numFmtId="0" fontId="6039" fillId="0" borderId="6039" xfId="0" applyFont="1" applyBorder="1" applyAlignment="1">
      <alignment vertical="top"/>
    </xf>
    <xf numFmtId="49" fontId="6040" fillId="0" borderId="6040" xfId="0" applyNumberFormat="1" applyFont="1" applyBorder="1" applyAlignment="1">
      <alignment vertical="top"/>
    </xf>
    <xf numFmtId="0" fontId="6041" fillId="0" borderId="6041" xfId="0" applyFont="1" applyBorder="1" applyAlignment="1">
      <alignment vertical="top"/>
    </xf>
    <xf numFmtId="0" fontId="6042" fillId="0" borderId="6042" xfId="0" applyFont="1" applyBorder="1" applyAlignment="1">
      <alignment vertical="top"/>
    </xf>
    <xf numFmtId="49" fontId="6043" fillId="0" borderId="6043" xfId="0" applyNumberFormat="1" applyFont="1" applyBorder="1" applyAlignment="1">
      <alignment vertical="top"/>
    </xf>
    <xf numFmtId="0" fontId="6044" fillId="0" borderId="6044" xfId="0" applyFont="1" applyBorder="1" applyAlignment="1">
      <alignment vertical="top"/>
    </xf>
    <xf numFmtId="0" fontId="6045" fillId="0" borderId="6045" xfId="0" applyFont="1" applyBorder="1" applyAlignment="1">
      <alignment vertical="top"/>
    </xf>
    <xf numFmtId="49" fontId="6046" fillId="0" borderId="6046" xfId="0" applyNumberFormat="1" applyFont="1" applyBorder="1" applyAlignment="1">
      <alignment vertical="top"/>
    </xf>
    <xf numFmtId="0" fontId="6047" fillId="0" borderId="6047" xfId="0" applyFont="1" applyBorder="1" applyAlignment="1">
      <alignment vertical="top"/>
    </xf>
    <xf numFmtId="0" fontId="6048" fillId="0" borderId="6048" xfId="0" applyFont="1" applyBorder="1" applyAlignment="1">
      <alignment vertical="top"/>
    </xf>
    <xf numFmtId="49" fontId="6049" fillId="0" borderId="6049" xfId="0" applyNumberFormat="1" applyFont="1" applyBorder="1" applyAlignment="1">
      <alignment vertical="top"/>
    </xf>
    <xf numFmtId="0" fontId="6050" fillId="0" borderId="6050" xfId="0" applyFont="1" applyBorder="1" applyAlignment="1">
      <alignment vertical="top"/>
    </xf>
    <xf numFmtId="0" fontId="6051" fillId="0" borderId="6051" xfId="0" applyFont="1" applyBorder="1" applyAlignment="1">
      <alignment vertical="top"/>
    </xf>
    <xf numFmtId="49" fontId="6052" fillId="0" borderId="6052" xfId="0" applyNumberFormat="1" applyFont="1" applyBorder="1" applyAlignment="1">
      <alignment vertical="top"/>
    </xf>
    <xf numFmtId="0" fontId="6053" fillId="0" borderId="6053" xfId="0" applyFont="1" applyBorder="1" applyAlignment="1">
      <alignment vertical="top"/>
    </xf>
    <xf numFmtId="0" fontId="6054" fillId="0" borderId="6054" xfId="0" applyFont="1" applyBorder="1" applyAlignment="1">
      <alignment vertical="top"/>
    </xf>
    <xf numFmtId="49" fontId="6055" fillId="0" borderId="6055" xfId="0" applyNumberFormat="1" applyFont="1" applyBorder="1" applyAlignment="1">
      <alignment vertical="top"/>
    </xf>
    <xf numFmtId="0" fontId="6056" fillId="0" borderId="6056" xfId="0" applyFont="1" applyBorder="1" applyAlignment="1">
      <alignment vertical="top"/>
    </xf>
    <xf numFmtId="0" fontId="6057" fillId="0" borderId="6057" xfId="0" applyFont="1" applyBorder="1" applyAlignment="1">
      <alignment vertical="top"/>
    </xf>
    <xf numFmtId="49" fontId="6058" fillId="0" borderId="6058" xfId="0" applyNumberFormat="1" applyFont="1" applyBorder="1" applyAlignment="1">
      <alignment vertical="top"/>
    </xf>
    <xf numFmtId="0" fontId="6059" fillId="0" borderId="6059" xfId="0" applyFont="1" applyBorder="1" applyAlignment="1">
      <alignment vertical="top"/>
    </xf>
    <xf numFmtId="0" fontId="6060" fillId="0" borderId="6060" xfId="0" applyFont="1" applyBorder="1" applyAlignment="1">
      <alignment vertical="top"/>
    </xf>
    <xf numFmtId="49" fontId="6061" fillId="0" borderId="6061" xfId="0" applyNumberFormat="1" applyFont="1" applyBorder="1" applyAlignment="1">
      <alignment vertical="top"/>
    </xf>
    <xf numFmtId="0" fontId="6062" fillId="0" borderId="6062" xfId="0" applyFont="1" applyBorder="1" applyAlignment="1">
      <alignment vertical="top"/>
    </xf>
    <xf numFmtId="0" fontId="6063" fillId="0" borderId="6063" xfId="0" applyFont="1" applyBorder="1" applyAlignment="1">
      <alignment vertical="top"/>
    </xf>
    <xf numFmtId="49" fontId="6064" fillId="0" borderId="6064" xfId="0" applyNumberFormat="1" applyFont="1" applyBorder="1" applyAlignment="1">
      <alignment vertical="top"/>
    </xf>
    <xf numFmtId="0" fontId="6065" fillId="0" borderId="6065" xfId="0" applyFont="1" applyBorder="1" applyAlignment="1">
      <alignment vertical="top"/>
    </xf>
    <xf numFmtId="0" fontId="6066" fillId="0" borderId="6066" xfId="0" applyFont="1" applyBorder="1" applyAlignment="1">
      <alignment vertical="top"/>
    </xf>
    <xf numFmtId="49" fontId="6067" fillId="0" borderId="6067" xfId="0" applyNumberFormat="1" applyFont="1" applyBorder="1" applyAlignment="1">
      <alignment vertical="top"/>
    </xf>
    <xf numFmtId="0" fontId="6068" fillId="0" borderId="6068" xfId="0" applyFont="1" applyBorder="1" applyAlignment="1">
      <alignment vertical="top"/>
    </xf>
    <xf numFmtId="0" fontId="6069" fillId="0" borderId="6069" xfId="0" applyFont="1" applyBorder="1" applyAlignment="1">
      <alignment vertical="top"/>
    </xf>
    <xf numFmtId="49" fontId="6070" fillId="0" borderId="6070" xfId="0" applyNumberFormat="1" applyFont="1" applyBorder="1" applyAlignment="1">
      <alignment vertical="top"/>
    </xf>
    <xf numFmtId="49" fontId="6071" fillId="0" borderId="6071" xfId="0" applyNumberFormat="1" applyFont="1" applyBorder="1" applyAlignment="1">
      <alignment vertical="top"/>
    </xf>
    <xf numFmtId="49" fontId="6072" fillId="0" borderId="6072" xfId="0" applyNumberFormat="1" applyFont="1" applyBorder="1" applyAlignment="1">
      <alignment vertical="top"/>
    </xf>
    <xf numFmtId="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4"/>
  <sheetViews>
    <sheetView topLeftCell="A118" workbookViewId="0"/>
  </sheetViews>
  <sheetFormatPr defaultRowHeight="15"/>
  <cols>
    <col min="1" max="1" width="72.7109375" customWidth="1"/>
    <col min="2" max="2" width="4.28515625" customWidth="1"/>
    <col min="3" max="3" width="14.28515625" customWidth="1"/>
  </cols>
  <sheetData>
    <row r="1" spans="1:3" ht="15.75">
      <c r="A1" s="1" t="s">
        <v>0</v>
      </c>
      <c r="B1" s="2"/>
      <c r="C1" s="3"/>
    </row>
    <row r="2" spans="1:3">
      <c r="A2" s="4" t="s">
        <v>1</v>
      </c>
      <c r="B2" s="5"/>
      <c r="C2" s="6"/>
    </row>
    <row r="3" spans="1:3">
      <c r="A3" s="7" t="s">
        <v>2</v>
      </c>
      <c r="B3" s="8"/>
      <c r="C3" s="9"/>
    </row>
    <row r="4" spans="1:3">
      <c r="A4" s="10" t="s">
        <v>3</v>
      </c>
      <c r="B4" s="11"/>
      <c r="C4" s="12"/>
    </row>
    <row r="5" spans="1:3">
      <c r="A5" s="13" t="s">
        <v>4</v>
      </c>
      <c r="B5" s="14"/>
      <c r="C5" s="15"/>
    </row>
    <row r="6" spans="1:3">
      <c r="A6" s="16" t="s">
        <v>5</v>
      </c>
      <c r="B6" s="17"/>
      <c r="C6" s="18"/>
    </row>
    <row r="7" spans="1:3">
      <c r="A7" s="19" t="s">
        <v>6</v>
      </c>
      <c r="B7" s="20"/>
      <c r="C7" s="21"/>
    </row>
    <row r="8" spans="1:3">
      <c r="A8" s="22" t="s">
        <v>7</v>
      </c>
      <c r="B8" s="23"/>
      <c r="C8" s="24"/>
    </row>
    <row r="9" spans="1:3">
      <c r="A9" s="25" t="s">
        <v>8</v>
      </c>
      <c r="B9" s="26"/>
      <c r="C9" s="27"/>
    </row>
    <row r="10" spans="1:3">
      <c r="A10" s="28" t="s">
        <v>9</v>
      </c>
      <c r="B10" s="29"/>
      <c r="C10" s="30"/>
    </row>
    <row r="11" spans="1:3">
      <c r="A11" s="31" t="s">
        <v>10</v>
      </c>
      <c r="B11" s="32"/>
      <c r="C11" s="33"/>
    </row>
    <row r="12" spans="1:3">
      <c r="A12" s="34" t="s">
        <v>11</v>
      </c>
      <c r="B12" s="35"/>
      <c r="C12" s="36"/>
    </row>
    <row r="13" spans="1:3">
      <c r="A13" s="37" t="s">
        <v>12</v>
      </c>
      <c r="B13" s="38"/>
      <c r="C13" s="39"/>
    </row>
    <row r="14" spans="1:3">
      <c r="A14" s="40" t="s">
        <v>13</v>
      </c>
      <c r="B14" s="41"/>
      <c r="C14" s="42"/>
    </row>
    <row r="15" spans="1:3">
      <c r="A15" s="43" t="s">
        <v>14</v>
      </c>
      <c r="B15" s="44"/>
      <c r="C15" s="45"/>
    </row>
    <row r="16" spans="1:3">
      <c r="A16" s="46" t="s">
        <v>15</v>
      </c>
      <c r="B16" s="47"/>
      <c r="C16" s="48"/>
    </row>
    <row r="17" spans="1:3">
      <c r="A17" s="49" t="s">
        <v>16</v>
      </c>
      <c r="B17" s="50"/>
      <c r="C17" s="51"/>
    </row>
    <row r="18" spans="1:3">
      <c r="A18" s="52" t="s">
        <v>17</v>
      </c>
      <c r="B18" s="53"/>
      <c r="C18" s="54"/>
    </row>
    <row r="19" spans="1:3">
      <c r="A19" s="55" t="s">
        <v>18</v>
      </c>
      <c r="B19" s="56"/>
      <c r="C19" s="57"/>
    </row>
    <row r="20" spans="1:3">
      <c r="A20" s="58" t="s">
        <v>19</v>
      </c>
      <c r="B20" s="59"/>
      <c r="C20" s="60"/>
    </row>
    <row r="21" spans="1:3">
      <c r="A21" s="61" t="s">
        <v>20</v>
      </c>
      <c r="B21" s="62"/>
      <c r="C21" s="63"/>
    </row>
    <row r="22" spans="1:3">
      <c r="A22" s="64" t="s">
        <v>21</v>
      </c>
      <c r="B22" s="65"/>
      <c r="C22" s="66"/>
    </row>
    <row r="23" spans="1:3">
      <c r="A23" s="67" t="s">
        <v>22</v>
      </c>
      <c r="B23" s="68"/>
      <c r="C23" s="69"/>
    </row>
    <row r="24" spans="1:3">
      <c r="A24" s="70" t="s">
        <v>23</v>
      </c>
      <c r="B24" s="71"/>
      <c r="C24" s="72"/>
    </row>
    <row r="25" spans="1:3">
      <c r="A25" s="73" t="s">
        <v>24</v>
      </c>
      <c r="B25" s="74"/>
      <c r="C25" s="75"/>
    </row>
    <row r="26" spans="1:3">
      <c r="A26" s="76" t="s">
        <v>25</v>
      </c>
      <c r="B26" s="77"/>
      <c r="C26" s="78"/>
    </row>
    <row r="27" spans="1:3">
      <c r="A27" s="79" t="s">
        <v>26</v>
      </c>
      <c r="B27" s="80"/>
      <c r="C27" s="81"/>
    </row>
    <row r="28" spans="1:3">
      <c r="A28" s="82" t="s">
        <v>27</v>
      </c>
      <c r="B28" s="83"/>
      <c r="C28" s="84"/>
    </row>
    <row r="29" spans="1:3">
      <c r="A29" s="85" t="s">
        <v>28</v>
      </c>
      <c r="B29" s="86"/>
      <c r="C29" s="87"/>
    </row>
    <row r="30" spans="1:3">
      <c r="A30" s="88" t="s">
        <v>29</v>
      </c>
      <c r="B30" s="89"/>
      <c r="C30" s="90"/>
    </row>
    <row r="31" spans="1:3">
      <c r="A31" s="91" t="s">
        <v>30</v>
      </c>
      <c r="B31" s="92"/>
      <c r="C31" s="93"/>
    </row>
    <row r="32" spans="1:3">
      <c r="A32" s="94" t="s">
        <v>31</v>
      </c>
      <c r="B32" s="95"/>
      <c r="C32" s="96"/>
    </row>
    <row r="33" spans="1:3">
      <c r="A33" s="97" t="s">
        <v>32</v>
      </c>
      <c r="B33" s="98"/>
      <c r="C33" s="99"/>
    </row>
    <row r="34" spans="1:3">
      <c r="A34" s="100" t="s">
        <v>33</v>
      </c>
      <c r="B34" s="101"/>
      <c r="C34" s="102"/>
    </row>
    <row r="35" spans="1:3">
      <c r="A35" s="103" t="s">
        <v>34</v>
      </c>
      <c r="B35" s="104"/>
      <c r="C35" s="105"/>
    </row>
    <row r="36" spans="1:3">
      <c r="A36" s="106" t="s">
        <v>35</v>
      </c>
      <c r="B36" s="107"/>
      <c r="C36" s="108"/>
    </row>
    <row r="37" spans="1:3">
      <c r="A37" s="109" t="s">
        <v>36</v>
      </c>
      <c r="B37" s="110"/>
      <c r="C37" s="111"/>
    </row>
    <row r="38" spans="1:3">
      <c r="A38" s="112" t="s">
        <v>37</v>
      </c>
      <c r="B38" s="113"/>
      <c r="C38" s="114"/>
    </row>
    <row r="39" spans="1:3">
      <c r="A39" s="115" t="s">
        <v>38</v>
      </c>
      <c r="B39" s="116"/>
      <c r="C39" s="117"/>
    </row>
    <row r="40" spans="1:3">
      <c r="A40" s="118" t="s">
        <v>39</v>
      </c>
      <c r="B40" s="119"/>
      <c r="C40" s="120"/>
    </row>
    <row r="41" spans="1:3">
      <c r="A41" s="121" t="s">
        <v>40</v>
      </c>
      <c r="B41" s="122"/>
      <c r="C41" s="123"/>
    </row>
    <row r="42" spans="1:3">
      <c r="A42" s="124" t="s">
        <v>41</v>
      </c>
      <c r="B42" s="125"/>
      <c r="C42" s="126"/>
    </row>
    <row r="43" spans="1:3">
      <c r="A43" s="127" t="s">
        <v>42</v>
      </c>
      <c r="B43" s="128"/>
      <c r="C43" s="129"/>
    </row>
    <row r="44" spans="1:3">
      <c r="A44" s="130" t="s">
        <v>43</v>
      </c>
      <c r="B44" s="131"/>
      <c r="C44" s="132"/>
    </row>
    <row r="45" spans="1:3">
      <c r="A45" s="133" t="s">
        <v>44</v>
      </c>
      <c r="B45" s="134"/>
      <c r="C45" s="135"/>
    </row>
    <row r="46" spans="1:3">
      <c r="A46" s="136" t="s">
        <v>45</v>
      </c>
      <c r="B46" s="137"/>
      <c r="C46" s="138"/>
    </row>
    <row r="47" spans="1:3">
      <c r="A47" s="139" t="s">
        <v>46</v>
      </c>
      <c r="B47" s="140"/>
      <c r="C47" s="141"/>
    </row>
    <row r="48" spans="1:3">
      <c r="A48" s="142" t="s">
        <v>47</v>
      </c>
      <c r="B48" s="143"/>
      <c r="C48" s="144"/>
    </row>
    <row r="49" spans="1:3">
      <c r="A49" s="145" t="s">
        <v>48</v>
      </c>
      <c r="B49" s="146"/>
      <c r="C49" s="147"/>
    </row>
    <row r="50" spans="1:3">
      <c r="A50" s="148" t="s">
        <v>49</v>
      </c>
      <c r="B50" s="149"/>
      <c r="C50" s="150"/>
    </row>
    <row r="51" spans="1:3">
      <c r="A51" s="151" t="s">
        <v>50</v>
      </c>
      <c r="B51" s="152"/>
      <c r="C51" s="153"/>
    </row>
    <row r="52" spans="1:3">
      <c r="A52" s="154" t="s">
        <v>51</v>
      </c>
      <c r="B52" s="155"/>
      <c r="C52" s="156"/>
    </row>
    <row r="53" spans="1:3">
      <c r="A53" s="157" t="s">
        <v>52</v>
      </c>
      <c r="B53" s="158"/>
      <c r="C53" s="159"/>
    </row>
    <row r="54" spans="1:3">
      <c r="A54" s="160" t="s">
        <v>53</v>
      </c>
      <c r="B54" s="161"/>
      <c r="C54" s="162"/>
    </row>
    <row r="55" spans="1:3">
      <c r="A55" s="163" t="s">
        <v>54</v>
      </c>
      <c r="B55" s="164"/>
      <c r="C55" s="165"/>
    </row>
    <row r="56" spans="1:3">
      <c r="A56" s="166" t="s">
        <v>55</v>
      </c>
      <c r="B56" s="167"/>
      <c r="C56" s="168"/>
    </row>
    <row r="57" spans="1:3">
      <c r="A57" s="169" t="s">
        <v>56</v>
      </c>
      <c r="B57" s="170"/>
      <c r="C57" s="171"/>
    </row>
    <row r="58" spans="1:3">
      <c r="A58" s="172" t="s">
        <v>57</v>
      </c>
      <c r="B58" s="173"/>
      <c r="C58" s="174"/>
    </row>
    <row r="59" spans="1:3">
      <c r="A59" s="175" t="s">
        <v>58</v>
      </c>
      <c r="B59" s="176"/>
      <c r="C59" s="177"/>
    </row>
    <row r="60" spans="1:3">
      <c r="A60" s="178" t="s">
        <v>59</v>
      </c>
      <c r="B60" s="179"/>
      <c r="C60" s="180"/>
    </row>
    <row r="61" spans="1:3">
      <c r="A61" s="181" t="s">
        <v>60</v>
      </c>
      <c r="B61" s="182"/>
      <c r="C61" s="183"/>
    </row>
    <row r="62" spans="1:3">
      <c r="A62" s="184" t="s">
        <v>61</v>
      </c>
      <c r="B62" s="185"/>
      <c r="C62" s="186"/>
    </row>
    <row r="63" spans="1:3">
      <c r="A63" s="187" t="s">
        <v>62</v>
      </c>
      <c r="B63" s="188"/>
      <c r="C63" s="189"/>
    </row>
    <row r="64" spans="1:3">
      <c r="A64" s="190" t="s">
        <v>63</v>
      </c>
      <c r="B64" s="191"/>
      <c r="C64" s="192"/>
    </row>
    <row r="65" spans="1:3">
      <c r="A65" s="193" t="s">
        <v>64</v>
      </c>
      <c r="B65" s="194"/>
      <c r="C65" s="195"/>
    </row>
    <row r="66" spans="1:3">
      <c r="A66" s="196" t="s">
        <v>65</v>
      </c>
      <c r="B66" s="197"/>
      <c r="C66" s="198"/>
    </row>
    <row r="67" spans="1:3">
      <c r="A67" s="199" t="s">
        <v>66</v>
      </c>
      <c r="B67" s="200"/>
      <c r="C67" s="201"/>
    </row>
    <row r="68" spans="1:3">
      <c r="A68" s="202" t="s">
        <v>67</v>
      </c>
      <c r="B68" s="203"/>
      <c r="C68" s="204"/>
    </row>
    <row r="69" spans="1:3">
      <c r="A69" s="205" t="s">
        <v>68</v>
      </c>
      <c r="B69" s="206"/>
      <c r="C69" s="207"/>
    </row>
    <row r="70" spans="1:3">
      <c r="A70" s="208" t="s">
        <v>69</v>
      </c>
      <c r="B70" s="209"/>
      <c r="C70" s="210"/>
    </row>
    <row r="71" spans="1:3">
      <c r="A71" s="211" t="s">
        <v>70</v>
      </c>
      <c r="B71" s="212"/>
      <c r="C71" s="213"/>
    </row>
    <row r="72" spans="1:3">
      <c r="A72" s="214" t="s">
        <v>71</v>
      </c>
      <c r="B72" s="215"/>
      <c r="C72" s="216"/>
    </row>
    <row r="73" spans="1:3">
      <c r="A73" s="217" t="s">
        <v>72</v>
      </c>
      <c r="B73" s="218"/>
      <c r="C73" s="219"/>
    </row>
    <row r="74" spans="1:3">
      <c r="A74" s="220" t="s">
        <v>73</v>
      </c>
      <c r="B74" s="221"/>
      <c r="C74" s="222"/>
    </row>
    <row r="75" spans="1:3">
      <c r="A75" s="223" t="s">
        <v>74</v>
      </c>
      <c r="B75" s="224"/>
      <c r="C75" s="225"/>
    </row>
    <row r="76" spans="1:3">
      <c r="A76" s="226" t="s">
        <v>75</v>
      </c>
      <c r="B76" s="227"/>
      <c r="C76" s="228"/>
    </row>
    <row r="77" spans="1:3">
      <c r="A77" s="229" t="s">
        <v>76</v>
      </c>
      <c r="B77" s="230"/>
      <c r="C77" s="231"/>
    </row>
    <row r="78" spans="1:3">
      <c r="A78" s="232" t="s">
        <v>77</v>
      </c>
      <c r="B78" s="233"/>
      <c r="C78" s="234"/>
    </row>
    <row r="79" spans="1:3">
      <c r="A79" s="235" t="s">
        <v>78</v>
      </c>
      <c r="B79" s="236"/>
      <c r="C79" s="237"/>
    </row>
    <row r="80" spans="1:3">
      <c r="A80" s="238" t="s">
        <v>79</v>
      </c>
      <c r="B80" s="239"/>
      <c r="C80" s="240"/>
    </row>
    <row r="81" spans="1:3">
      <c r="A81" s="241" t="s">
        <v>80</v>
      </c>
      <c r="B81" s="242"/>
      <c r="C81" s="243"/>
    </row>
    <row r="82" spans="1:3">
      <c r="A82" s="244" t="s">
        <v>81</v>
      </c>
      <c r="B82" s="245"/>
      <c r="C82" s="246"/>
    </row>
    <row r="83" spans="1:3">
      <c r="A83" s="247" t="s">
        <v>82</v>
      </c>
      <c r="B83" s="248"/>
      <c r="C83" s="249"/>
    </row>
    <row r="84" spans="1:3">
      <c r="A84" s="250" t="s">
        <v>83</v>
      </c>
      <c r="B84" s="251"/>
      <c r="C84" s="252"/>
    </row>
    <row r="85" spans="1:3">
      <c r="A85" s="253" t="s">
        <v>84</v>
      </c>
      <c r="B85" s="254"/>
      <c r="C85" s="255"/>
    </row>
    <row r="86" spans="1:3">
      <c r="A86" s="256" t="s">
        <v>85</v>
      </c>
      <c r="B86" s="257"/>
      <c r="C86" s="258"/>
    </row>
    <row r="87" spans="1:3">
      <c r="A87" s="259" t="s">
        <v>86</v>
      </c>
      <c r="B87" s="260"/>
      <c r="C87" s="261"/>
    </row>
    <row r="88" spans="1:3">
      <c r="A88" s="262" t="s">
        <v>87</v>
      </c>
      <c r="B88" s="263"/>
      <c r="C88" s="264"/>
    </row>
    <row r="89" spans="1:3">
      <c r="A89" s="265" t="s">
        <v>88</v>
      </c>
      <c r="B89" s="266"/>
      <c r="C89" s="267"/>
    </row>
    <row r="90" spans="1:3">
      <c r="A90" s="268" t="s">
        <v>89</v>
      </c>
      <c r="B90" s="269"/>
      <c r="C90" s="270"/>
    </row>
    <row r="91" spans="1:3">
      <c r="A91" s="271" t="s">
        <v>90</v>
      </c>
      <c r="B91" s="272"/>
      <c r="C91" s="273"/>
    </row>
    <row r="92" spans="1:3">
      <c r="A92" s="274" t="s">
        <v>91</v>
      </c>
      <c r="B92" s="275"/>
      <c r="C92" s="276"/>
    </row>
    <row r="93" spans="1:3">
      <c r="A93" s="277" t="s">
        <v>92</v>
      </c>
      <c r="B93" s="278"/>
      <c r="C93" s="279"/>
    </row>
    <row r="94" spans="1:3">
      <c r="A94" s="280" t="s">
        <v>93</v>
      </c>
      <c r="B94" s="281"/>
      <c r="C94" s="282"/>
    </row>
    <row r="95" spans="1:3">
      <c r="A95" s="283" t="s">
        <v>94</v>
      </c>
      <c r="B95" s="284"/>
      <c r="C95" s="285"/>
    </row>
    <row r="96" spans="1:3">
      <c r="A96" s="286" t="s">
        <v>95</v>
      </c>
      <c r="B96" s="287"/>
      <c r="C96" s="288"/>
    </row>
    <row r="97" spans="1:3">
      <c r="A97" s="289" t="s">
        <v>96</v>
      </c>
      <c r="B97" s="290"/>
      <c r="C97" s="291"/>
    </row>
    <row r="98" spans="1:3">
      <c r="A98" s="292" t="s">
        <v>97</v>
      </c>
      <c r="B98" s="293"/>
      <c r="C98" s="294"/>
    </row>
    <row r="99" spans="1:3">
      <c r="A99" s="295" t="s">
        <v>98</v>
      </c>
      <c r="B99" s="296"/>
      <c r="C99" s="297"/>
    </row>
    <row r="100" spans="1:3">
      <c r="A100" s="298" t="s">
        <v>99</v>
      </c>
      <c r="B100" s="299"/>
      <c r="C100" s="300"/>
    </row>
    <row r="101" spans="1:3">
      <c r="A101" s="301" t="s">
        <v>100</v>
      </c>
      <c r="B101" s="302"/>
      <c r="C101" s="303"/>
    </row>
    <row r="102" spans="1:3">
      <c r="A102" s="304" t="s">
        <v>101</v>
      </c>
      <c r="B102" s="305"/>
      <c r="C102" s="306"/>
    </row>
    <row r="103" spans="1:3">
      <c r="A103" s="307" t="s">
        <v>102</v>
      </c>
      <c r="B103" s="308"/>
      <c r="C103" s="309"/>
    </row>
    <row r="104" spans="1:3">
      <c r="A104" s="310" t="s">
        <v>103</v>
      </c>
      <c r="B104" s="311"/>
      <c r="C104" s="312"/>
    </row>
    <row r="105" spans="1:3">
      <c r="A105" s="313" t="s">
        <v>104</v>
      </c>
      <c r="B105" s="314"/>
      <c r="C105" s="315"/>
    </row>
    <row r="106" spans="1:3">
      <c r="A106" s="316" t="s">
        <v>105</v>
      </c>
      <c r="B106" s="317"/>
      <c r="C106" s="318"/>
    </row>
    <row r="107" spans="1:3">
      <c r="A107" s="319" t="s">
        <v>106</v>
      </c>
      <c r="B107" s="320"/>
      <c r="C107" s="321"/>
    </row>
    <row r="108" spans="1:3">
      <c r="A108" s="322" t="s">
        <v>107</v>
      </c>
      <c r="B108" s="323"/>
      <c r="C108" s="324"/>
    </row>
    <row r="109" spans="1:3">
      <c r="A109" s="325" t="s">
        <v>108</v>
      </c>
      <c r="B109" s="326"/>
      <c r="C109" s="327"/>
    </row>
    <row r="110" spans="1:3">
      <c r="A110" s="328" t="s">
        <v>109</v>
      </c>
      <c r="B110" s="329"/>
      <c r="C110" s="330"/>
    </row>
    <row r="111" spans="1:3">
      <c r="A111" s="331" t="s">
        <v>110</v>
      </c>
      <c r="B111" s="332"/>
      <c r="C111" s="333"/>
    </row>
    <row r="112" spans="1:3">
      <c r="A112" s="334" t="s">
        <v>111</v>
      </c>
      <c r="B112" s="335"/>
      <c r="C112" s="336"/>
    </row>
    <row r="113" spans="1:3">
      <c r="A113" s="337" t="s">
        <v>112</v>
      </c>
      <c r="B113" s="338"/>
      <c r="C113" s="339"/>
    </row>
    <row r="114" spans="1:3">
      <c r="A114" s="340" t="s">
        <v>113</v>
      </c>
      <c r="B114" s="341"/>
      <c r="C114" s="342"/>
    </row>
    <row r="115" spans="1:3">
      <c r="A115" s="343" t="s">
        <v>114</v>
      </c>
      <c r="B115" s="344"/>
      <c r="C115" s="345"/>
    </row>
    <row r="116" spans="1:3">
      <c r="A116" s="346" t="s">
        <v>115</v>
      </c>
      <c r="B116" s="347"/>
      <c r="C116" s="348"/>
    </row>
    <row r="117" spans="1:3">
      <c r="A117" s="349" t="s">
        <v>116</v>
      </c>
      <c r="B117" s="350"/>
      <c r="C117" s="351"/>
    </row>
    <row r="118" spans="1:3">
      <c r="A118" s="352" t="s">
        <v>117</v>
      </c>
      <c r="B118" s="353"/>
      <c r="C118" s="354"/>
    </row>
    <row r="119" spans="1:3">
      <c r="A119" s="355" t="s">
        <v>118</v>
      </c>
      <c r="B119" s="356"/>
      <c r="C119" s="357"/>
    </row>
    <row r="120" spans="1:3">
      <c r="A120" s="358" t="s">
        <v>119</v>
      </c>
      <c r="B120" s="359"/>
      <c r="C120" s="360"/>
    </row>
    <row r="121" spans="1:3">
      <c r="A121" s="361" t="s">
        <v>120</v>
      </c>
      <c r="B121" s="362"/>
      <c r="C121" s="363"/>
    </row>
    <row r="122" spans="1:3">
      <c r="A122" s="364" t="s">
        <v>121</v>
      </c>
      <c r="B122" s="365"/>
      <c r="C122" s="366"/>
    </row>
    <row r="123" spans="1:3">
      <c r="A123" s="367" t="s">
        <v>122</v>
      </c>
      <c r="B123" s="368"/>
      <c r="C123" s="369"/>
    </row>
    <row r="124" spans="1:3">
      <c r="A124" s="370" t="s">
        <v>123</v>
      </c>
      <c r="B124" s="371"/>
      <c r="C124" s="372"/>
    </row>
    <row r="125" spans="1:3">
      <c r="A125" s="373" t="s">
        <v>124</v>
      </c>
      <c r="B125" s="374"/>
      <c r="C125" s="375"/>
    </row>
    <row r="126" spans="1:3">
      <c r="A126" s="376" t="s">
        <v>125</v>
      </c>
      <c r="B126" s="377"/>
      <c r="C126" s="378"/>
    </row>
    <row r="127" spans="1:3">
      <c r="A127" s="379" t="s">
        <v>126</v>
      </c>
      <c r="B127" s="380"/>
      <c r="C127" s="381"/>
    </row>
    <row r="128" spans="1:3">
      <c r="A128" s="382" t="s">
        <v>127</v>
      </c>
      <c r="B128" s="383"/>
      <c r="C128" s="384"/>
    </row>
    <row r="129" spans="1:3">
      <c r="A129" s="385" t="s">
        <v>128</v>
      </c>
      <c r="B129" s="386"/>
      <c r="C129" s="387"/>
    </row>
    <row r="130" spans="1:3">
      <c r="A130" s="388" t="s">
        <v>129</v>
      </c>
      <c r="B130" s="389"/>
      <c r="C130" s="390"/>
    </row>
    <row r="131" spans="1:3">
      <c r="A131" s="391" t="s">
        <v>130</v>
      </c>
      <c r="B131" s="392"/>
      <c r="C131" s="393"/>
    </row>
    <row r="132" spans="1:3">
      <c r="A132" s="394" t="s">
        <v>131</v>
      </c>
      <c r="B132" s="395"/>
      <c r="C132" s="396"/>
    </row>
    <row r="133" spans="1:3">
      <c r="A133" s="397" t="s">
        <v>132</v>
      </c>
      <c r="B133" s="398"/>
      <c r="C133" s="399"/>
    </row>
    <row r="134" spans="1:3">
      <c r="A134" s="400" t="s">
        <v>133</v>
      </c>
      <c r="B134" s="401"/>
      <c r="C134" s="402"/>
    </row>
    <row r="135" spans="1:3">
      <c r="A135" s="403" t="s">
        <v>134</v>
      </c>
      <c r="B135" s="404"/>
      <c r="C135" s="405"/>
    </row>
    <row r="136" spans="1:3">
      <c r="A136" s="406" t="s">
        <v>135</v>
      </c>
      <c r="B136" s="407"/>
      <c r="C136" s="408"/>
    </row>
    <row r="137" spans="1:3">
      <c r="A137" s="409" t="s">
        <v>136</v>
      </c>
      <c r="B137" s="410"/>
      <c r="C137" s="411"/>
    </row>
    <row r="138" spans="1:3">
      <c r="A138" s="412" t="s">
        <v>137</v>
      </c>
      <c r="B138" s="413"/>
      <c r="C138" s="414"/>
    </row>
    <row r="139" spans="1:3">
      <c r="A139" s="415" t="s">
        <v>138</v>
      </c>
      <c r="B139" s="416"/>
      <c r="C139" s="417"/>
    </row>
    <row r="140" spans="1:3">
      <c r="A140" s="418" t="s">
        <v>139</v>
      </c>
      <c r="B140" s="419"/>
      <c r="C140" s="420"/>
    </row>
    <row r="141" spans="1:3">
      <c r="A141" s="421" t="s">
        <v>140</v>
      </c>
      <c r="B141" s="422"/>
      <c r="C141" s="423"/>
    </row>
    <row r="142" spans="1:3">
      <c r="A142" s="424" t="s">
        <v>141</v>
      </c>
      <c r="B142" s="425"/>
      <c r="C142" s="426"/>
    </row>
    <row r="143" spans="1:3">
      <c r="A143" s="427" t="s">
        <v>142</v>
      </c>
      <c r="B143" s="428"/>
      <c r="C143" s="429"/>
    </row>
    <row r="144" spans="1:3">
      <c r="A144" s="430" t="s">
        <v>143</v>
      </c>
      <c r="B144" s="431"/>
      <c r="C144" s="432"/>
    </row>
    <row r="145" spans="1:3">
      <c r="A145" s="433" t="s">
        <v>144</v>
      </c>
      <c r="B145" s="434"/>
      <c r="C145" s="435"/>
    </row>
    <row r="146" spans="1:3">
      <c r="A146" s="436" t="s">
        <v>145</v>
      </c>
      <c r="B146" s="437"/>
      <c r="C146" s="438"/>
    </row>
    <row r="147" spans="1:3">
      <c r="A147" s="439" t="s">
        <v>146</v>
      </c>
      <c r="B147" s="440"/>
      <c r="C147" s="441"/>
    </row>
    <row r="148" spans="1:3">
      <c r="A148" s="442" t="s">
        <v>147</v>
      </c>
      <c r="B148" s="443"/>
      <c r="C148" s="444"/>
    </row>
    <row r="149" spans="1:3">
      <c r="A149" s="445" t="s">
        <v>148</v>
      </c>
      <c r="B149" s="446"/>
      <c r="C149" s="447"/>
    </row>
    <row r="150" spans="1:3">
      <c r="A150" s="448" t="s">
        <v>149</v>
      </c>
      <c r="B150" s="449"/>
      <c r="C150" s="450"/>
    </row>
    <row r="151" spans="1:3">
      <c r="A151" s="451" t="s">
        <v>150</v>
      </c>
      <c r="B151" s="452"/>
      <c r="C151" s="453"/>
    </row>
    <row r="152" spans="1:3">
      <c r="A152" s="454" t="s">
        <v>151</v>
      </c>
      <c r="B152" s="455"/>
      <c r="C152" s="456"/>
    </row>
    <row r="153" spans="1:3">
      <c r="A153" s="457" t="s">
        <v>152</v>
      </c>
      <c r="B153" s="458"/>
      <c r="C153" s="459"/>
    </row>
    <row r="154" spans="1:3">
      <c r="A154" s="460" t="s">
        <v>153</v>
      </c>
      <c r="B154" s="461"/>
      <c r="C154" s="462"/>
    </row>
    <row r="155" spans="1:3">
      <c r="A155" s="463" t="s">
        <v>154</v>
      </c>
      <c r="B155" s="464"/>
      <c r="C155" s="465"/>
    </row>
    <row r="156" spans="1:3">
      <c r="A156" s="466" t="s">
        <v>155</v>
      </c>
      <c r="B156" s="467"/>
      <c r="C156" s="468"/>
    </row>
    <row r="157" spans="1:3">
      <c r="A157" s="469" t="s">
        <v>156</v>
      </c>
      <c r="B157" s="470"/>
      <c r="C157" s="471"/>
    </row>
    <row r="158" spans="1:3">
      <c r="A158" s="472" t="s">
        <v>157</v>
      </c>
      <c r="B158" s="473"/>
      <c r="C158" s="474"/>
    </row>
    <row r="159" spans="1:3">
      <c r="A159" s="475" t="s">
        <v>158</v>
      </c>
      <c r="B159" s="476"/>
      <c r="C159" s="477"/>
    </row>
    <row r="160" spans="1:3">
      <c r="A160" s="478" t="s">
        <v>159</v>
      </c>
      <c r="B160" s="479"/>
      <c r="C160" s="480"/>
    </row>
    <row r="161" spans="1:3">
      <c r="A161" s="481" t="s">
        <v>160</v>
      </c>
      <c r="B161" s="482"/>
      <c r="C161" s="483"/>
    </row>
    <row r="162" spans="1:3">
      <c r="A162" s="484" t="s">
        <v>161</v>
      </c>
      <c r="B162" s="485"/>
      <c r="C162" s="486"/>
    </row>
    <row r="163" spans="1:3">
      <c r="A163" s="487" t="s">
        <v>162</v>
      </c>
      <c r="B163" s="488"/>
      <c r="C163" s="489"/>
    </row>
    <row r="164" spans="1:3">
      <c r="A164" s="490" t="s">
        <v>163</v>
      </c>
      <c r="B164" s="491"/>
      <c r="C164" s="492"/>
    </row>
    <row r="165" spans="1:3">
      <c r="A165" s="493" t="s">
        <v>164</v>
      </c>
      <c r="B165" s="494"/>
      <c r="C165" s="495"/>
    </row>
    <row r="166" spans="1:3">
      <c r="A166" s="496" t="s">
        <v>165</v>
      </c>
      <c r="B166" s="497"/>
      <c r="C166" s="498"/>
    </row>
    <row r="167" spans="1:3">
      <c r="A167" s="499" t="s">
        <v>166</v>
      </c>
      <c r="B167" s="500"/>
      <c r="C167" s="501"/>
    </row>
    <row r="168" spans="1:3">
      <c r="A168" s="502" t="s">
        <v>167</v>
      </c>
      <c r="B168" s="503"/>
      <c r="C168" s="504"/>
    </row>
    <row r="169" spans="1:3">
      <c r="A169" s="505" t="s">
        <v>168</v>
      </c>
      <c r="B169" s="506"/>
      <c r="C169" s="507"/>
    </row>
    <row r="170" spans="1:3">
      <c r="A170" s="508" t="s">
        <v>169</v>
      </c>
      <c r="B170" s="509"/>
      <c r="C170" s="510"/>
    </row>
    <row r="171" spans="1:3">
      <c r="A171" s="511" t="s">
        <v>170</v>
      </c>
      <c r="B171" s="512"/>
      <c r="C171" s="513"/>
    </row>
    <row r="172" spans="1:3">
      <c r="A172" s="514" t="s">
        <v>171</v>
      </c>
      <c r="B172" s="515"/>
      <c r="C172" s="516"/>
    </row>
    <row r="173" spans="1:3">
      <c r="A173" s="517" t="s">
        <v>172</v>
      </c>
      <c r="B173" s="518"/>
      <c r="C173" s="519"/>
    </row>
    <row r="174" spans="1:3">
      <c r="A174" s="520" t="s">
        <v>173</v>
      </c>
      <c r="B174" s="521"/>
      <c r="C174" s="522"/>
    </row>
    <row r="175" spans="1:3">
      <c r="A175" s="523" t="s">
        <v>174</v>
      </c>
      <c r="B175" s="524"/>
      <c r="C175" s="525"/>
    </row>
    <row r="176" spans="1:3">
      <c r="A176" s="526" t="s">
        <v>175</v>
      </c>
      <c r="B176" s="527"/>
      <c r="C176" s="528"/>
    </row>
    <row r="177" spans="1:3">
      <c r="A177" s="529" t="s">
        <v>176</v>
      </c>
      <c r="B177" s="530"/>
      <c r="C177" s="531"/>
    </row>
    <row r="178" spans="1:3">
      <c r="A178" s="532" t="s">
        <v>177</v>
      </c>
      <c r="B178" s="533"/>
      <c r="C178" s="534"/>
    </row>
    <row r="179" spans="1:3">
      <c r="A179" s="535" t="s">
        <v>178</v>
      </c>
      <c r="B179" s="536"/>
      <c r="C179" s="537"/>
    </row>
    <row r="180" spans="1:3">
      <c r="A180" s="538" t="s">
        <v>179</v>
      </c>
      <c r="B180" s="539"/>
      <c r="C180" s="540"/>
    </row>
    <row r="181" spans="1:3">
      <c r="A181" s="541" t="s">
        <v>180</v>
      </c>
      <c r="B181" s="542"/>
      <c r="C181" s="543"/>
    </row>
    <row r="182" spans="1:3">
      <c r="A182" s="544" t="s">
        <v>181</v>
      </c>
      <c r="B182" s="545"/>
      <c r="C182" s="546"/>
    </row>
    <row r="183" spans="1:3">
      <c r="A183" s="547" t="s">
        <v>182</v>
      </c>
      <c r="B183" s="548"/>
      <c r="C183" s="549"/>
    </row>
    <row r="184" spans="1:3">
      <c r="A184" s="550" t="s">
        <v>183</v>
      </c>
      <c r="B184" s="551"/>
      <c r="C184" s="552"/>
    </row>
    <row r="185" spans="1:3">
      <c r="A185" s="553" t="s">
        <v>184</v>
      </c>
      <c r="B185" s="554"/>
      <c r="C185" s="555"/>
    </row>
    <row r="186" spans="1:3">
      <c r="A186" s="556" t="s">
        <v>185</v>
      </c>
      <c r="B186" s="557"/>
      <c r="C186" s="558"/>
    </row>
    <row r="187" spans="1:3">
      <c r="A187" s="559" t="s">
        <v>186</v>
      </c>
      <c r="B187" s="560"/>
      <c r="C187" s="561"/>
    </row>
    <row r="188" spans="1:3">
      <c r="A188" s="562" t="s">
        <v>187</v>
      </c>
      <c r="B188" s="563"/>
      <c r="C188" s="564"/>
    </row>
    <row r="189" spans="1:3">
      <c r="A189" s="565" t="s">
        <v>188</v>
      </c>
      <c r="B189" s="566"/>
      <c r="C189" s="567"/>
    </row>
    <row r="190" spans="1:3">
      <c r="A190" s="568" t="s">
        <v>189</v>
      </c>
      <c r="B190" s="569"/>
      <c r="C190" s="570"/>
    </row>
    <row r="191" spans="1:3">
      <c r="A191" s="571" t="s">
        <v>190</v>
      </c>
      <c r="B191" s="572"/>
      <c r="C191" s="573"/>
    </row>
    <row r="192" spans="1:3">
      <c r="A192" s="574" t="s">
        <v>191</v>
      </c>
      <c r="B192" s="575"/>
      <c r="C192" s="576"/>
    </row>
    <row r="193" spans="1:3">
      <c r="A193" s="577" t="s">
        <v>192</v>
      </c>
      <c r="B193" s="578"/>
      <c r="C193" s="579"/>
    </row>
    <row r="194" spans="1:3">
      <c r="A194" s="580" t="s">
        <v>193</v>
      </c>
      <c r="B194" s="581"/>
      <c r="C194" s="582"/>
    </row>
    <row r="195" spans="1:3">
      <c r="A195" s="583" t="s">
        <v>194</v>
      </c>
      <c r="B195" s="584"/>
      <c r="C195" s="585"/>
    </row>
    <row r="196" spans="1:3">
      <c r="A196" s="586" t="s">
        <v>195</v>
      </c>
      <c r="B196" s="587"/>
      <c r="C196" s="588"/>
    </row>
    <row r="197" spans="1:3">
      <c r="A197" s="589" t="s">
        <v>196</v>
      </c>
      <c r="B197" s="590"/>
      <c r="C197" s="591"/>
    </row>
    <row r="198" spans="1:3">
      <c r="A198" s="592" t="s">
        <v>197</v>
      </c>
      <c r="B198" s="593"/>
      <c r="C198" s="594"/>
    </row>
    <row r="199" spans="1:3">
      <c r="A199" s="595" t="s">
        <v>198</v>
      </c>
      <c r="B199" s="596"/>
      <c r="C199" s="597"/>
    </row>
    <row r="200" spans="1:3">
      <c r="A200" s="598" t="s">
        <v>199</v>
      </c>
      <c r="B200" s="599"/>
      <c r="C200" s="600"/>
    </row>
    <row r="201" spans="1:3">
      <c r="A201" s="601" t="s">
        <v>200</v>
      </c>
      <c r="B201" s="602"/>
      <c r="C201" s="603"/>
    </row>
    <row r="202" spans="1:3">
      <c r="A202" s="604" t="s">
        <v>201</v>
      </c>
      <c r="B202" s="605"/>
      <c r="C202" s="606"/>
    </row>
    <row r="203" spans="1:3">
      <c r="A203" s="607" t="s">
        <v>202</v>
      </c>
      <c r="B203" s="608"/>
      <c r="C203" s="609"/>
    </row>
    <row r="204" spans="1:3">
      <c r="A204" s="610" t="s">
        <v>203</v>
      </c>
      <c r="B204" s="611"/>
      <c r="C204" s="612"/>
    </row>
    <row r="205" spans="1:3">
      <c r="A205" s="613" t="s">
        <v>204</v>
      </c>
      <c r="B205" s="614"/>
      <c r="C205" s="615"/>
    </row>
    <row r="206" spans="1:3">
      <c r="A206" s="616" t="s">
        <v>205</v>
      </c>
      <c r="B206" s="617"/>
      <c r="C206" s="618"/>
    </row>
    <row r="207" spans="1:3">
      <c r="A207" s="619" t="s">
        <v>206</v>
      </c>
      <c r="B207" s="620"/>
      <c r="C207" s="621"/>
    </row>
    <row r="208" spans="1:3">
      <c r="A208" s="622" t="s">
        <v>207</v>
      </c>
      <c r="B208" s="623"/>
      <c r="C208" s="624"/>
    </row>
    <row r="209" spans="1:3">
      <c r="A209" s="625" t="s">
        <v>208</v>
      </c>
      <c r="B209" s="626"/>
      <c r="C209" s="627"/>
    </row>
    <row r="210" spans="1:3">
      <c r="A210" s="628" t="s">
        <v>209</v>
      </c>
      <c r="B210" s="629"/>
      <c r="C210" s="630"/>
    </row>
    <row r="211" spans="1:3">
      <c r="A211" s="631" t="s">
        <v>210</v>
      </c>
      <c r="B211" s="632"/>
      <c r="C211" s="633"/>
    </row>
    <row r="212" spans="1:3">
      <c r="A212" s="634" t="s">
        <v>211</v>
      </c>
      <c r="B212" s="635"/>
      <c r="C212" s="636"/>
    </row>
    <row r="213" spans="1:3">
      <c r="A213" s="637" t="s">
        <v>212</v>
      </c>
      <c r="B213" s="638"/>
      <c r="C213" s="639"/>
    </row>
    <row r="214" spans="1:3">
      <c r="A214" s="640" t="s">
        <v>213</v>
      </c>
      <c r="B214" s="641"/>
      <c r="C214" s="642"/>
    </row>
    <row r="215" spans="1:3">
      <c r="A215" s="643" t="s">
        <v>214</v>
      </c>
      <c r="B215" s="644"/>
      <c r="C215" s="645"/>
    </row>
    <row r="216" spans="1:3">
      <c r="A216" s="646" t="s">
        <v>215</v>
      </c>
      <c r="B216" s="647"/>
      <c r="C216" s="648"/>
    </row>
    <row r="217" spans="1:3">
      <c r="A217" s="649" t="s">
        <v>216</v>
      </c>
      <c r="B217" s="650"/>
      <c r="C217" s="651"/>
    </row>
    <row r="218" spans="1:3">
      <c r="A218" s="652" t="s">
        <v>217</v>
      </c>
      <c r="B218" s="653"/>
      <c r="C218" s="654"/>
    </row>
    <row r="219" spans="1:3">
      <c r="A219" s="655" t="s">
        <v>218</v>
      </c>
      <c r="B219" s="656"/>
      <c r="C219" s="657"/>
    </row>
    <row r="220" spans="1:3">
      <c r="A220" s="658" t="s">
        <v>219</v>
      </c>
      <c r="B220" s="659"/>
      <c r="C220" s="660"/>
    </row>
    <row r="221" spans="1:3">
      <c r="A221" s="661" t="s">
        <v>220</v>
      </c>
      <c r="B221" s="662"/>
      <c r="C221" s="663"/>
    </row>
    <row r="222" spans="1:3">
      <c r="A222" s="664" t="s">
        <v>221</v>
      </c>
      <c r="B222" s="665"/>
      <c r="C222" s="666"/>
    </row>
    <row r="223" spans="1:3">
      <c r="A223" s="667" t="s">
        <v>222</v>
      </c>
      <c r="B223" s="668"/>
      <c r="C223" s="669"/>
    </row>
    <row r="224" spans="1:3">
      <c r="A224" s="670" t="s">
        <v>223</v>
      </c>
      <c r="B224" s="671"/>
      <c r="C224" s="672"/>
    </row>
    <row r="225" spans="1:3">
      <c r="A225" s="673" t="s">
        <v>224</v>
      </c>
      <c r="B225" s="674"/>
      <c r="C225" s="675"/>
    </row>
    <row r="226" spans="1:3">
      <c r="A226" s="676" t="s">
        <v>225</v>
      </c>
      <c r="B226" s="677"/>
      <c r="C226" s="678"/>
    </row>
    <row r="227" spans="1:3">
      <c r="A227" s="679" t="s">
        <v>226</v>
      </c>
      <c r="B227" s="680"/>
      <c r="C227" s="681"/>
    </row>
    <row r="228" spans="1:3">
      <c r="A228" s="682" t="s">
        <v>227</v>
      </c>
      <c r="B228" s="683"/>
      <c r="C228" s="684"/>
    </row>
    <row r="229" spans="1:3">
      <c r="A229" s="685" t="s">
        <v>228</v>
      </c>
      <c r="B229" s="686"/>
      <c r="C229" s="687"/>
    </row>
    <row r="230" spans="1:3">
      <c r="A230" s="688" t="s">
        <v>229</v>
      </c>
      <c r="B230" s="689"/>
      <c r="C230" s="690"/>
    </row>
    <row r="231" spans="1:3">
      <c r="A231" s="691" t="s">
        <v>230</v>
      </c>
      <c r="B231" s="692"/>
      <c r="C231" s="693"/>
    </row>
    <row r="232" spans="1:3">
      <c r="A232" s="694" t="s">
        <v>231</v>
      </c>
      <c r="B232" s="695"/>
      <c r="C232" s="696"/>
    </row>
    <row r="233" spans="1:3">
      <c r="A233" s="697" t="s">
        <v>232</v>
      </c>
      <c r="B233" s="698"/>
      <c r="C233" s="699"/>
    </row>
    <row r="234" spans="1:3">
      <c r="A234" s="700" t="s">
        <v>233</v>
      </c>
      <c r="B234" s="701"/>
      <c r="C234" s="702"/>
    </row>
    <row r="235" spans="1:3">
      <c r="A235" s="703" t="s">
        <v>234</v>
      </c>
      <c r="B235" s="704"/>
      <c r="C235" s="705"/>
    </row>
    <row r="236" spans="1:3">
      <c r="A236" s="706" t="s">
        <v>235</v>
      </c>
      <c r="B236" s="707"/>
      <c r="C236" s="708"/>
    </row>
    <row r="237" spans="1:3">
      <c r="A237" s="709" t="s">
        <v>236</v>
      </c>
      <c r="B237" s="710"/>
      <c r="C237" s="711"/>
    </row>
    <row r="238" spans="1:3">
      <c r="A238" s="712" t="s">
        <v>237</v>
      </c>
      <c r="B238" s="713"/>
      <c r="C238" s="714"/>
    </row>
    <row r="239" spans="1:3">
      <c r="A239" s="715" t="s">
        <v>238</v>
      </c>
      <c r="B239" s="716"/>
      <c r="C239" s="717"/>
    </row>
    <row r="240" spans="1:3">
      <c r="A240" s="718" t="s">
        <v>239</v>
      </c>
      <c r="B240" s="719"/>
      <c r="C240" s="720"/>
    </row>
    <row r="241" spans="1:3">
      <c r="A241" s="721" t="s">
        <v>240</v>
      </c>
      <c r="B241" s="722"/>
      <c r="C241" s="723"/>
    </row>
    <row r="242" spans="1:3">
      <c r="A242" s="724" t="s">
        <v>241</v>
      </c>
      <c r="B242" s="725"/>
      <c r="C242" s="726"/>
    </row>
    <row r="243" spans="1:3">
      <c r="A243" s="727" t="s">
        <v>242</v>
      </c>
      <c r="B243" s="728"/>
      <c r="C243" s="729"/>
    </row>
    <row r="244" spans="1:3">
      <c r="A244" s="730" t="s">
        <v>243</v>
      </c>
      <c r="B244" s="731"/>
      <c r="C244" s="732"/>
    </row>
    <row r="245" spans="1:3">
      <c r="A245" s="733" t="s">
        <v>244</v>
      </c>
      <c r="B245" s="734"/>
      <c r="C245" s="735"/>
    </row>
    <row r="246" spans="1:3">
      <c r="A246" s="736" t="s">
        <v>245</v>
      </c>
      <c r="B246" s="737"/>
      <c r="C246" s="738"/>
    </row>
    <row r="247" spans="1:3">
      <c r="A247" s="739" t="s">
        <v>246</v>
      </c>
      <c r="B247" s="740"/>
      <c r="C247" s="741"/>
    </row>
    <row r="248" spans="1:3">
      <c r="A248" s="742" t="s">
        <v>247</v>
      </c>
      <c r="B248" s="743"/>
      <c r="C248" s="744"/>
    </row>
    <row r="249" spans="1:3">
      <c r="A249" s="745" t="s">
        <v>248</v>
      </c>
      <c r="B249" s="746"/>
      <c r="C249" s="747"/>
    </row>
    <row r="250" spans="1:3">
      <c r="A250" s="748" t="s">
        <v>249</v>
      </c>
      <c r="B250" s="749"/>
      <c r="C250" s="750"/>
    </row>
    <row r="251" spans="1:3">
      <c r="A251" s="751" t="s">
        <v>250</v>
      </c>
      <c r="B251" s="752"/>
      <c r="C251" s="753"/>
    </row>
    <row r="252" spans="1:3">
      <c r="A252" s="754" t="s">
        <v>251</v>
      </c>
      <c r="B252" s="755"/>
      <c r="C252" s="756"/>
    </row>
    <row r="253" spans="1:3">
      <c r="A253" s="757" t="s">
        <v>252</v>
      </c>
      <c r="B253" s="758"/>
      <c r="C253" s="759"/>
    </row>
    <row r="254" spans="1:3">
      <c r="A254" s="760" t="s">
        <v>253</v>
      </c>
      <c r="B254" s="761"/>
      <c r="C254" s="762"/>
    </row>
    <row r="255" spans="1:3">
      <c r="A255" s="763" t="s">
        <v>254</v>
      </c>
      <c r="B255" s="764"/>
      <c r="C255" s="765"/>
    </row>
    <row r="256" spans="1:3">
      <c r="A256" s="766" t="s">
        <v>255</v>
      </c>
      <c r="B256" s="767"/>
      <c r="C256" s="768"/>
    </row>
    <row r="257" spans="1:3">
      <c r="A257" s="769" t="s">
        <v>256</v>
      </c>
      <c r="B257" s="770"/>
      <c r="C257" s="771"/>
    </row>
    <row r="258" spans="1:3">
      <c r="A258" s="772" t="s">
        <v>257</v>
      </c>
      <c r="B258" s="773"/>
      <c r="C258" s="774"/>
    </row>
    <row r="259" spans="1:3">
      <c r="A259" s="775" t="s">
        <v>258</v>
      </c>
      <c r="B259" s="776"/>
      <c r="C259" s="777"/>
    </row>
    <row r="260" spans="1:3">
      <c r="A260" s="778" t="s">
        <v>259</v>
      </c>
      <c r="B260" s="779"/>
      <c r="C260" s="780"/>
    </row>
    <row r="261" spans="1:3">
      <c r="A261" s="781" t="s">
        <v>260</v>
      </c>
      <c r="B261" s="782"/>
      <c r="C261" s="783"/>
    </row>
    <row r="262" spans="1:3">
      <c r="A262" s="784" t="s">
        <v>261</v>
      </c>
      <c r="B262" s="785"/>
      <c r="C262" s="786"/>
    </row>
    <row r="263" spans="1:3">
      <c r="A263" s="787" t="s">
        <v>262</v>
      </c>
      <c r="B263" s="788"/>
      <c r="C263" s="789"/>
    </row>
    <row r="264" spans="1:3">
      <c r="A264" s="790" t="s">
        <v>263</v>
      </c>
      <c r="B264" s="791"/>
      <c r="C264" s="792"/>
    </row>
    <row r="265" spans="1:3">
      <c r="A265" s="793" t="s">
        <v>264</v>
      </c>
      <c r="B265" s="794"/>
      <c r="C265" s="795"/>
    </row>
    <row r="266" spans="1:3">
      <c r="A266" s="796" t="s">
        <v>265</v>
      </c>
      <c r="B266" s="797"/>
      <c r="C266" s="798"/>
    </row>
    <row r="267" spans="1:3">
      <c r="A267" s="799" t="s">
        <v>266</v>
      </c>
      <c r="B267" s="800"/>
      <c r="C267" s="801"/>
    </row>
    <row r="268" spans="1:3">
      <c r="A268" s="802" t="s">
        <v>267</v>
      </c>
      <c r="B268" s="803"/>
      <c r="C268" s="804"/>
    </row>
    <row r="269" spans="1:3">
      <c r="A269" s="805" t="s">
        <v>268</v>
      </c>
      <c r="B269" s="806"/>
      <c r="C269" s="807"/>
    </row>
    <row r="270" spans="1:3">
      <c r="A270" s="808" t="s">
        <v>269</v>
      </c>
      <c r="B270" s="809"/>
      <c r="C270" s="810"/>
    </row>
    <row r="271" spans="1:3">
      <c r="A271" s="811" t="s">
        <v>270</v>
      </c>
      <c r="B271" s="812"/>
      <c r="C271" s="813"/>
    </row>
    <row r="272" spans="1:3">
      <c r="A272" s="814" t="s">
        <v>271</v>
      </c>
      <c r="B272" s="815"/>
      <c r="C272" s="816"/>
    </row>
    <row r="273" spans="1:3">
      <c r="A273" s="817" t="s">
        <v>272</v>
      </c>
      <c r="B273" s="818"/>
      <c r="C273" s="819"/>
    </row>
    <row r="274" spans="1:3">
      <c r="A274" s="820" t="s">
        <v>273</v>
      </c>
      <c r="B274" s="821"/>
      <c r="C274" s="822"/>
    </row>
    <row r="275" spans="1:3">
      <c r="A275" s="823" t="s">
        <v>274</v>
      </c>
      <c r="B275" s="824"/>
      <c r="C275" s="825"/>
    </row>
    <row r="276" spans="1:3">
      <c r="A276" s="826" t="s">
        <v>275</v>
      </c>
      <c r="B276" s="827"/>
      <c r="C276" s="828"/>
    </row>
    <row r="277" spans="1:3">
      <c r="A277" s="829" t="s">
        <v>276</v>
      </c>
      <c r="B277" s="830"/>
      <c r="C277" s="831"/>
    </row>
    <row r="278" spans="1:3">
      <c r="A278" s="832" t="s">
        <v>277</v>
      </c>
      <c r="B278" s="833"/>
      <c r="C278" s="834"/>
    </row>
    <row r="279" spans="1:3">
      <c r="A279" s="835" t="s">
        <v>278</v>
      </c>
      <c r="B279" s="836"/>
      <c r="C279" s="837"/>
    </row>
    <row r="280" spans="1:3">
      <c r="A280" s="838" t="s">
        <v>279</v>
      </c>
      <c r="B280" s="839"/>
      <c r="C280" s="840"/>
    </row>
    <row r="281" spans="1:3">
      <c r="A281" s="841" t="s">
        <v>280</v>
      </c>
      <c r="B281" s="842"/>
      <c r="C281" s="843"/>
    </row>
    <row r="282" spans="1:3">
      <c r="A282" s="844" t="s">
        <v>281</v>
      </c>
      <c r="B282" s="845"/>
      <c r="C282" s="846"/>
    </row>
    <row r="283" spans="1:3">
      <c r="A283" s="847" t="s">
        <v>282</v>
      </c>
      <c r="B283" s="848"/>
      <c r="C283" s="849"/>
    </row>
    <row r="284" spans="1:3">
      <c r="A284" s="850" t="s">
        <v>283</v>
      </c>
      <c r="B284" s="851"/>
      <c r="C284" s="852"/>
    </row>
    <row r="285" spans="1:3">
      <c r="A285" s="853" t="s">
        <v>284</v>
      </c>
      <c r="B285" s="854"/>
      <c r="C285" s="855"/>
    </row>
    <row r="286" spans="1:3">
      <c r="A286" s="856" t="s">
        <v>285</v>
      </c>
      <c r="B286" s="857"/>
      <c r="C286" s="858"/>
    </row>
    <row r="287" spans="1:3">
      <c r="A287" s="859" t="s">
        <v>286</v>
      </c>
      <c r="B287" s="860"/>
      <c r="C287" s="861"/>
    </row>
    <row r="288" spans="1:3">
      <c r="A288" s="862" t="s">
        <v>287</v>
      </c>
      <c r="B288" s="863"/>
      <c r="C288" s="864"/>
    </row>
    <row r="289" spans="1:3">
      <c r="A289" s="865" t="s">
        <v>288</v>
      </c>
      <c r="B289" s="866"/>
      <c r="C289" s="867"/>
    </row>
    <row r="290" spans="1:3">
      <c r="A290" s="868" t="s">
        <v>289</v>
      </c>
      <c r="B290" s="869"/>
      <c r="C290" s="870"/>
    </row>
    <row r="291" spans="1:3">
      <c r="A291" s="871" t="s">
        <v>290</v>
      </c>
      <c r="B291" s="872"/>
      <c r="C291" s="873"/>
    </row>
    <row r="292" spans="1:3">
      <c r="A292" s="874" t="s">
        <v>291</v>
      </c>
      <c r="B292" s="875"/>
      <c r="C292" s="876"/>
    </row>
    <row r="293" spans="1:3">
      <c r="A293" s="877" t="s">
        <v>292</v>
      </c>
      <c r="B293" s="878"/>
      <c r="C293" s="879"/>
    </row>
    <row r="294" spans="1:3">
      <c r="A294" s="880" t="s">
        <v>293</v>
      </c>
      <c r="B294" s="881"/>
      <c r="C294" s="882"/>
    </row>
    <row r="295" spans="1:3">
      <c r="A295" s="883" t="s">
        <v>294</v>
      </c>
      <c r="B295" s="884"/>
      <c r="C295" s="885"/>
    </row>
    <row r="296" spans="1:3">
      <c r="A296" s="886" t="s">
        <v>295</v>
      </c>
      <c r="B296" s="887"/>
      <c r="C296" s="888"/>
    </row>
    <row r="297" spans="1:3">
      <c r="A297" s="889" t="s">
        <v>296</v>
      </c>
      <c r="B297" s="890"/>
      <c r="C297" s="891"/>
    </row>
    <row r="298" spans="1:3">
      <c r="A298" s="892" t="s">
        <v>297</v>
      </c>
      <c r="B298" s="893"/>
      <c r="C298" s="894"/>
    </row>
    <row r="299" spans="1:3">
      <c r="A299" s="895" t="s">
        <v>298</v>
      </c>
      <c r="B299" s="896"/>
      <c r="C299" s="897"/>
    </row>
    <row r="300" spans="1:3">
      <c r="A300" s="898" t="s">
        <v>299</v>
      </c>
      <c r="B300" s="899"/>
      <c r="C300" s="900"/>
    </row>
    <row r="301" spans="1:3">
      <c r="A301" s="901" t="s">
        <v>300</v>
      </c>
      <c r="B301" s="902"/>
      <c r="C301" s="903"/>
    </row>
    <row r="302" spans="1:3">
      <c r="A302" s="904" t="s">
        <v>301</v>
      </c>
      <c r="B302" s="905"/>
      <c r="C302" s="906"/>
    </row>
    <row r="303" spans="1:3">
      <c r="A303" s="907" t="s">
        <v>302</v>
      </c>
      <c r="B303" s="908"/>
      <c r="C303" s="909"/>
    </row>
    <row r="304" spans="1:3">
      <c r="A304" s="910" t="s">
        <v>303</v>
      </c>
      <c r="B304" s="911"/>
      <c r="C304" s="912"/>
    </row>
    <row r="305" spans="1:3">
      <c r="A305" s="913" t="s">
        <v>304</v>
      </c>
      <c r="B305" s="914"/>
      <c r="C305" s="915"/>
    </row>
    <row r="306" spans="1:3">
      <c r="A306" s="916" t="s">
        <v>305</v>
      </c>
      <c r="B306" s="917"/>
      <c r="C306" s="918"/>
    </row>
    <row r="307" spans="1:3">
      <c r="A307" s="919" t="s">
        <v>306</v>
      </c>
      <c r="B307" s="920"/>
      <c r="C307" s="921"/>
    </row>
    <row r="308" spans="1:3">
      <c r="A308" s="922" t="s">
        <v>307</v>
      </c>
      <c r="B308" s="923"/>
      <c r="C308" s="924"/>
    </row>
    <row r="309" spans="1:3">
      <c r="A309" s="925" t="s">
        <v>308</v>
      </c>
      <c r="B309" s="926"/>
      <c r="C309" s="927"/>
    </row>
    <row r="310" spans="1:3">
      <c r="A310" s="928" t="s">
        <v>309</v>
      </c>
      <c r="B310" s="929"/>
      <c r="C310" s="930"/>
    </row>
    <row r="311" spans="1:3">
      <c r="A311" s="931" t="s">
        <v>310</v>
      </c>
      <c r="B311" s="932"/>
      <c r="C311" s="933"/>
    </row>
    <row r="312" spans="1:3">
      <c r="A312" s="934" t="s">
        <v>311</v>
      </c>
      <c r="B312" s="935"/>
      <c r="C312" s="936"/>
    </row>
    <row r="313" spans="1:3">
      <c r="A313" s="937" t="s">
        <v>312</v>
      </c>
      <c r="B313" s="938"/>
      <c r="C313" s="939"/>
    </row>
    <row r="314" spans="1:3">
      <c r="A314" s="940" t="s">
        <v>313</v>
      </c>
      <c r="B314" s="941"/>
      <c r="C314" s="942"/>
    </row>
    <row r="315" spans="1:3">
      <c r="A315" s="943" t="s">
        <v>314</v>
      </c>
      <c r="B315" s="944"/>
      <c r="C315" s="945"/>
    </row>
    <row r="316" spans="1:3">
      <c r="A316" s="946" t="s">
        <v>315</v>
      </c>
      <c r="B316" s="947"/>
      <c r="C316" s="948"/>
    </row>
    <row r="317" spans="1:3">
      <c r="A317" s="949" t="s">
        <v>316</v>
      </c>
      <c r="B317" s="950"/>
      <c r="C317" s="951"/>
    </row>
    <row r="318" spans="1:3">
      <c r="A318" s="952" t="s">
        <v>317</v>
      </c>
      <c r="B318" s="953"/>
      <c r="C318" s="954"/>
    </row>
    <row r="319" spans="1:3">
      <c r="A319" s="955" t="s">
        <v>318</v>
      </c>
      <c r="B319" s="956"/>
      <c r="C319" s="957"/>
    </row>
    <row r="320" spans="1:3">
      <c r="A320" s="958" t="s">
        <v>319</v>
      </c>
      <c r="B320" s="959"/>
      <c r="C320" s="960"/>
    </row>
    <row r="321" spans="1:3">
      <c r="A321" s="961" t="s">
        <v>320</v>
      </c>
      <c r="B321" s="962"/>
      <c r="C321" s="963"/>
    </row>
    <row r="322" spans="1:3">
      <c r="A322" s="964" t="s">
        <v>321</v>
      </c>
      <c r="B322" s="965"/>
      <c r="C322" s="966"/>
    </row>
    <row r="323" spans="1:3">
      <c r="A323" s="967" t="s">
        <v>322</v>
      </c>
      <c r="B323" s="968"/>
      <c r="C323" s="969"/>
    </row>
    <row r="324" spans="1:3">
      <c r="A324" s="970" t="s">
        <v>323</v>
      </c>
      <c r="B324" s="971"/>
      <c r="C324" s="972"/>
    </row>
    <row r="325" spans="1:3">
      <c r="A325" s="973" t="s">
        <v>324</v>
      </c>
      <c r="B325" s="974"/>
      <c r="C325" s="975"/>
    </row>
    <row r="326" spans="1:3">
      <c r="A326" s="976" t="s">
        <v>325</v>
      </c>
      <c r="B326" s="977"/>
      <c r="C326" s="978"/>
    </row>
    <row r="327" spans="1:3">
      <c r="A327" s="979" t="s">
        <v>326</v>
      </c>
      <c r="B327" s="980"/>
      <c r="C327" s="981"/>
    </row>
    <row r="328" spans="1:3">
      <c r="A328" s="982" t="s">
        <v>327</v>
      </c>
      <c r="B328" s="983"/>
      <c r="C328" s="984"/>
    </row>
    <row r="329" spans="1:3">
      <c r="A329" s="985" t="s">
        <v>328</v>
      </c>
      <c r="B329" s="986"/>
      <c r="C329" s="987"/>
    </row>
    <row r="330" spans="1:3">
      <c r="A330" s="988" t="s">
        <v>329</v>
      </c>
      <c r="B330" s="989"/>
      <c r="C330" s="990"/>
    </row>
    <row r="331" spans="1:3">
      <c r="A331" s="991" t="s">
        <v>330</v>
      </c>
      <c r="B331" s="992"/>
      <c r="C331" s="993"/>
    </row>
    <row r="332" spans="1:3">
      <c r="A332" s="994" t="s">
        <v>331</v>
      </c>
      <c r="B332" s="995"/>
      <c r="C332" s="996"/>
    </row>
    <row r="333" spans="1:3">
      <c r="A333" s="997" t="s">
        <v>332</v>
      </c>
      <c r="B333" s="998"/>
      <c r="C333" s="999"/>
    </row>
    <row r="334" spans="1:3">
      <c r="A334" s="1000" t="s">
        <v>333</v>
      </c>
      <c r="B334" s="1001"/>
      <c r="C334" s="1002"/>
    </row>
    <row r="335" spans="1:3">
      <c r="A335" s="1003" t="s">
        <v>334</v>
      </c>
      <c r="B335" s="1004"/>
      <c r="C335" s="1005"/>
    </row>
    <row r="336" spans="1:3">
      <c r="A336" s="1006" t="s">
        <v>335</v>
      </c>
      <c r="B336" s="1007"/>
      <c r="C336" s="1008"/>
    </row>
    <row r="337" spans="1:3">
      <c r="A337" s="1009" t="s">
        <v>336</v>
      </c>
      <c r="B337" s="1010"/>
      <c r="C337" s="1011"/>
    </row>
    <row r="338" spans="1:3">
      <c r="A338" s="1012" t="s">
        <v>337</v>
      </c>
      <c r="B338" s="1013"/>
      <c r="C338" s="1014"/>
    </row>
    <row r="339" spans="1:3">
      <c r="A339" s="1015" t="s">
        <v>338</v>
      </c>
      <c r="B339" s="1016"/>
      <c r="C339" s="1017"/>
    </row>
    <row r="340" spans="1:3">
      <c r="A340" s="1018" t="s">
        <v>339</v>
      </c>
      <c r="B340" s="1019"/>
      <c r="C340" s="1020"/>
    </row>
    <row r="341" spans="1:3">
      <c r="A341" s="1021" t="s">
        <v>340</v>
      </c>
      <c r="B341" s="1022"/>
      <c r="C341" s="1023"/>
    </row>
    <row r="342" spans="1:3">
      <c r="A342" s="1024" t="s">
        <v>341</v>
      </c>
      <c r="B342" s="1025"/>
      <c r="C342" s="1026"/>
    </row>
    <row r="343" spans="1:3">
      <c r="A343" s="1027" t="s">
        <v>342</v>
      </c>
      <c r="B343" s="1028"/>
      <c r="C343" s="1029"/>
    </row>
    <row r="344" spans="1:3">
      <c r="A344" s="1030" t="s">
        <v>343</v>
      </c>
      <c r="B344" s="1031"/>
      <c r="C344" s="1032"/>
    </row>
    <row r="345" spans="1:3">
      <c r="A345" s="1033" t="s">
        <v>344</v>
      </c>
      <c r="B345" s="1034"/>
      <c r="C345" s="1035"/>
    </row>
    <row r="346" spans="1:3">
      <c r="A346" s="1036" t="s">
        <v>345</v>
      </c>
      <c r="B346" s="1037"/>
      <c r="C346" s="1038"/>
    </row>
    <row r="347" spans="1:3">
      <c r="A347" s="1039" t="s">
        <v>346</v>
      </c>
      <c r="B347" s="1040"/>
      <c r="C347" s="1041"/>
    </row>
    <row r="348" spans="1:3">
      <c r="A348" s="1042" t="s">
        <v>347</v>
      </c>
      <c r="B348" s="1043"/>
      <c r="C348" s="1044"/>
    </row>
    <row r="349" spans="1:3">
      <c r="A349" s="1045" t="s">
        <v>348</v>
      </c>
      <c r="B349" s="1046"/>
      <c r="C349" s="1047"/>
    </row>
    <row r="350" spans="1:3">
      <c r="A350" s="1048" t="s">
        <v>349</v>
      </c>
      <c r="B350" s="1049"/>
      <c r="C350" s="1050"/>
    </row>
    <row r="351" spans="1:3">
      <c r="A351" s="1051" t="s">
        <v>350</v>
      </c>
      <c r="B351" s="1052"/>
      <c r="C351" s="1053"/>
    </row>
    <row r="352" spans="1:3">
      <c r="A352" s="1054" t="s">
        <v>351</v>
      </c>
      <c r="B352" s="1055"/>
      <c r="C352" s="1056"/>
    </row>
    <row r="353" spans="1:3">
      <c r="A353" s="1057" t="s">
        <v>352</v>
      </c>
      <c r="B353" s="1058"/>
      <c r="C353" s="1059"/>
    </row>
    <row r="354" spans="1:3">
      <c r="A354" s="1060" t="s">
        <v>353</v>
      </c>
      <c r="B354" s="1061"/>
      <c r="C354" s="1062"/>
    </row>
    <row r="355" spans="1:3">
      <c r="A355" s="1063" t="s">
        <v>354</v>
      </c>
      <c r="B355" s="1064"/>
      <c r="C355" s="1065"/>
    </row>
    <row r="356" spans="1:3">
      <c r="A356" s="1066" t="s">
        <v>355</v>
      </c>
      <c r="B356" s="1067"/>
      <c r="C356" s="1068"/>
    </row>
    <row r="357" spans="1:3">
      <c r="A357" s="1069" t="s">
        <v>356</v>
      </c>
      <c r="B357" s="1070"/>
      <c r="C357" s="1071"/>
    </row>
    <row r="358" spans="1:3">
      <c r="A358" s="1072" t="s">
        <v>357</v>
      </c>
      <c r="B358" s="1073"/>
      <c r="C358" s="1074"/>
    </row>
    <row r="359" spans="1:3">
      <c r="A359" s="1075" t="s">
        <v>358</v>
      </c>
      <c r="B359" s="1076"/>
      <c r="C359" s="1077"/>
    </row>
    <row r="360" spans="1:3">
      <c r="A360" s="1078" t="s">
        <v>359</v>
      </c>
      <c r="B360" s="1079"/>
      <c r="C360" s="1080"/>
    </row>
    <row r="361" spans="1:3">
      <c r="A361" s="1081" t="s">
        <v>360</v>
      </c>
      <c r="B361" s="1082"/>
      <c r="C361" s="1083"/>
    </row>
    <row r="362" spans="1:3">
      <c r="A362" s="1084" t="s">
        <v>361</v>
      </c>
      <c r="B362" s="1085"/>
      <c r="C362" s="1086"/>
    </row>
    <row r="363" spans="1:3">
      <c r="A363" s="1087" t="s">
        <v>362</v>
      </c>
      <c r="B363" s="1088"/>
      <c r="C363" s="1089"/>
    </row>
    <row r="364" spans="1:3">
      <c r="A364" s="1090" t="s">
        <v>363</v>
      </c>
      <c r="B364" s="1091"/>
      <c r="C364" s="1092"/>
    </row>
    <row r="365" spans="1:3">
      <c r="A365" s="1093" t="s">
        <v>364</v>
      </c>
      <c r="B365" s="1094"/>
      <c r="C365" s="1095"/>
    </row>
    <row r="366" spans="1:3">
      <c r="A366" s="1096" t="s">
        <v>365</v>
      </c>
      <c r="B366" s="1097"/>
      <c r="C366" s="1098"/>
    </row>
    <row r="367" spans="1:3">
      <c r="A367" s="1099" t="s">
        <v>366</v>
      </c>
      <c r="B367" s="1100"/>
      <c r="C367" s="1101"/>
    </row>
    <row r="368" spans="1:3">
      <c r="A368" s="1102" t="s">
        <v>367</v>
      </c>
      <c r="B368" s="1103"/>
      <c r="C368" s="1104"/>
    </row>
    <row r="369" spans="1:3">
      <c r="A369" s="1105" t="s">
        <v>368</v>
      </c>
      <c r="B369" s="1106"/>
      <c r="C369" s="1107"/>
    </row>
    <row r="370" spans="1:3">
      <c r="A370" s="1108" t="s">
        <v>369</v>
      </c>
      <c r="B370" s="1109"/>
      <c r="C370" s="1110"/>
    </row>
    <row r="371" spans="1:3">
      <c r="A371" s="1111" t="s">
        <v>370</v>
      </c>
      <c r="B371" s="1112"/>
      <c r="C371" s="1113"/>
    </row>
    <row r="372" spans="1:3">
      <c r="A372" s="1114" t="s">
        <v>371</v>
      </c>
      <c r="B372" s="1115"/>
      <c r="C372" s="1116"/>
    </row>
    <row r="373" spans="1:3">
      <c r="A373" s="1117" t="s">
        <v>372</v>
      </c>
      <c r="B373" s="1118"/>
      <c r="C373" s="1119"/>
    </row>
    <row r="374" spans="1:3">
      <c r="A374" s="1120" t="s">
        <v>373</v>
      </c>
      <c r="B374" s="1121"/>
      <c r="C374" s="1122"/>
    </row>
    <row r="375" spans="1:3">
      <c r="A375" s="1123" t="s">
        <v>374</v>
      </c>
      <c r="B375" s="1124"/>
      <c r="C375" s="1125"/>
    </row>
    <row r="376" spans="1:3">
      <c r="A376" s="1126" t="s">
        <v>375</v>
      </c>
      <c r="B376" s="1127"/>
      <c r="C376" s="1128"/>
    </row>
    <row r="377" spans="1:3">
      <c r="A377" s="1129" t="s">
        <v>376</v>
      </c>
      <c r="B377" s="1130"/>
      <c r="C377" s="1131"/>
    </row>
    <row r="378" spans="1:3">
      <c r="A378" s="1132" t="s">
        <v>377</v>
      </c>
      <c r="B378" s="1133"/>
      <c r="C378" s="1134"/>
    </row>
    <row r="379" spans="1:3">
      <c r="A379" s="1135" t="s">
        <v>378</v>
      </c>
      <c r="B379" s="1136"/>
      <c r="C379" s="1137"/>
    </row>
    <row r="380" spans="1:3">
      <c r="A380" s="1138" t="s">
        <v>379</v>
      </c>
      <c r="B380" s="1139"/>
      <c r="C380" s="1140"/>
    </row>
    <row r="381" spans="1:3">
      <c r="A381" s="1141" t="s">
        <v>380</v>
      </c>
      <c r="B381" s="1142"/>
      <c r="C381" s="1143"/>
    </row>
    <row r="382" spans="1:3">
      <c r="A382" s="1144" t="s">
        <v>381</v>
      </c>
      <c r="B382" s="1145"/>
      <c r="C382" s="1146"/>
    </row>
    <row r="383" spans="1:3">
      <c r="A383" s="1147" t="s">
        <v>382</v>
      </c>
      <c r="B383" s="1148"/>
      <c r="C383" s="1149"/>
    </row>
    <row r="384" spans="1:3">
      <c r="A384" s="1150" t="s">
        <v>383</v>
      </c>
      <c r="B384" s="1151"/>
      <c r="C384" s="1152"/>
    </row>
    <row r="385" spans="1:3">
      <c r="A385" s="1153" t="s">
        <v>384</v>
      </c>
      <c r="B385" s="1154"/>
      <c r="C385" s="1155"/>
    </row>
    <row r="386" spans="1:3">
      <c r="A386" s="1156" t="s">
        <v>385</v>
      </c>
      <c r="B386" s="1157"/>
      <c r="C386" s="1158"/>
    </row>
    <row r="387" spans="1:3">
      <c r="A387" s="1159" t="s">
        <v>386</v>
      </c>
      <c r="B387" s="1160"/>
      <c r="C387" s="1161"/>
    </row>
    <row r="388" spans="1:3">
      <c r="A388" s="1162" t="s">
        <v>387</v>
      </c>
      <c r="B388" s="1163"/>
      <c r="C388" s="1164"/>
    </row>
    <row r="389" spans="1:3">
      <c r="A389" s="1165" t="s">
        <v>388</v>
      </c>
      <c r="B389" s="1166"/>
      <c r="C389" s="1167"/>
    </row>
    <row r="390" spans="1:3">
      <c r="A390" s="1168" t="s">
        <v>389</v>
      </c>
      <c r="B390" s="1169"/>
      <c r="C390" s="1170"/>
    </row>
    <row r="391" spans="1:3">
      <c r="A391" s="1171" t="s">
        <v>390</v>
      </c>
      <c r="B391" s="1172"/>
      <c r="C391" s="1173"/>
    </row>
    <row r="392" spans="1:3">
      <c r="A392" s="1174" t="s">
        <v>391</v>
      </c>
      <c r="B392" s="1175"/>
      <c r="C392" s="1176"/>
    </row>
    <row r="393" spans="1:3">
      <c r="A393" s="1177" t="s">
        <v>392</v>
      </c>
      <c r="B393" s="1178"/>
      <c r="C393" s="1179"/>
    </row>
    <row r="394" spans="1:3">
      <c r="A394" s="1180" t="s">
        <v>393</v>
      </c>
      <c r="B394" s="1181"/>
      <c r="C394" s="1182"/>
    </row>
    <row r="395" spans="1:3">
      <c r="A395" s="1183" t="s">
        <v>394</v>
      </c>
      <c r="B395" s="1184"/>
      <c r="C395" s="1185"/>
    </row>
    <row r="396" spans="1:3">
      <c r="A396" s="1186" t="s">
        <v>395</v>
      </c>
      <c r="B396" s="1187"/>
      <c r="C396" s="1188"/>
    </row>
    <row r="397" spans="1:3">
      <c r="A397" s="1189" t="s">
        <v>396</v>
      </c>
      <c r="B397" s="1190"/>
      <c r="C397" s="1191"/>
    </row>
    <row r="398" spans="1:3">
      <c r="A398" s="1192" t="s">
        <v>397</v>
      </c>
      <c r="B398" s="1193"/>
      <c r="C398" s="1194"/>
    </row>
    <row r="399" spans="1:3">
      <c r="A399" s="1195" t="s">
        <v>398</v>
      </c>
      <c r="B399" s="1196"/>
      <c r="C399" s="1197"/>
    </row>
    <row r="400" spans="1:3">
      <c r="A400" s="1198" t="s">
        <v>399</v>
      </c>
      <c r="B400" s="1199"/>
      <c r="C400" s="1200"/>
    </row>
    <row r="401" spans="1:3">
      <c r="A401" s="1201" t="s">
        <v>400</v>
      </c>
      <c r="B401" s="1202"/>
      <c r="C401" s="1203"/>
    </row>
    <row r="402" spans="1:3">
      <c r="A402" s="1204" t="s">
        <v>401</v>
      </c>
      <c r="B402" s="1205"/>
      <c r="C402" s="1206"/>
    </row>
    <row r="403" spans="1:3">
      <c r="A403" s="1207" t="s">
        <v>402</v>
      </c>
      <c r="B403" s="1208"/>
      <c r="C403" s="1209"/>
    </row>
    <row r="404" spans="1:3">
      <c r="A404" s="1210" t="s">
        <v>403</v>
      </c>
      <c r="B404" s="1211"/>
      <c r="C404" s="1212"/>
    </row>
    <row r="405" spans="1:3">
      <c r="A405" s="1213" t="s">
        <v>404</v>
      </c>
      <c r="B405" s="1214"/>
      <c r="C405" s="1215"/>
    </row>
    <row r="406" spans="1:3">
      <c r="A406" s="1216" t="s">
        <v>405</v>
      </c>
      <c r="B406" s="1217"/>
      <c r="C406" s="1218"/>
    </row>
    <row r="407" spans="1:3">
      <c r="A407" s="1219" t="s">
        <v>406</v>
      </c>
      <c r="B407" s="1220"/>
      <c r="C407" s="1221"/>
    </row>
    <row r="408" spans="1:3">
      <c r="A408" s="1222" t="s">
        <v>407</v>
      </c>
      <c r="B408" s="1223"/>
      <c r="C408" s="1224"/>
    </row>
    <row r="409" spans="1:3">
      <c r="A409" s="1225" t="s">
        <v>408</v>
      </c>
      <c r="B409" s="1226"/>
      <c r="C409" s="1227"/>
    </row>
    <row r="410" spans="1:3">
      <c r="A410" s="1228" t="s">
        <v>409</v>
      </c>
      <c r="B410" s="1229"/>
      <c r="C410" s="1230"/>
    </row>
    <row r="411" spans="1:3">
      <c r="A411" s="1231" t="s">
        <v>410</v>
      </c>
      <c r="B411" s="1232"/>
      <c r="C411" s="1233"/>
    </row>
    <row r="412" spans="1:3">
      <c r="A412" s="1234" t="s">
        <v>411</v>
      </c>
      <c r="B412" s="1235"/>
      <c r="C412" s="1236"/>
    </row>
    <row r="413" spans="1:3">
      <c r="A413" s="1237" t="s">
        <v>412</v>
      </c>
      <c r="B413" s="1238"/>
      <c r="C413" s="1239"/>
    </row>
    <row r="414" spans="1:3">
      <c r="A414" s="1240" t="s">
        <v>413</v>
      </c>
      <c r="B414" s="1241"/>
      <c r="C414" s="1242"/>
    </row>
    <row r="415" spans="1:3">
      <c r="A415" s="1243" t="s">
        <v>414</v>
      </c>
      <c r="B415" s="1244"/>
      <c r="C415" s="1245"/>
    </row>
    <row r="416" spans="1:3">
      <c r="A416" s="1246" t="s">
        <v>415</v>
      </c>
      <c r="B416" s="1247"/>
      <c r="C416" s="1248"/>
    </row>
    <row r="417" spans="1:3">
      <c r="A417" s="1249" t="s">
        <v>416</v>
      </c>
      <c r="B417" s="1250"/>
      <c r="C417" s="1251"/>
    </row>
    <row r="418" spans="1:3">
      <c r="A418" s="1252" t="s">
        <v>417</v>
      </c>
      <c r="B418" s="1253"/>
      <c r="C418" s="1254"/>
    </row>
    <row r="419" spans="1:3">
      <c r="A419" s="1255" t="s">
        <v>418</v>
      </c>
      <c r="B419" s="1256"/>
      <c r="C419" s="1257"/>
    </row>
    <row r="420" spans="1:3">
      <c r="A420" s="1258" t="s">
        <v>419</v>
      </c>
      <c r="B420" s="1259"/>
      <c r="C420" s="1260"/>
    </row>
    <row r="421" spans="1:3">
      <c r="A421" s="1261" t="s">
        <v>420</v>
      </c>
      <c r="B421" s="1262"/>
      <c r="C421" s="1263"/>
    </row>
    <row r="422" spans="1:3">
      <c r="A422" s="1264" t="s">
        <v>421</v>
      </c>
      <c r="B422" s="1265"/>
      <c r="C422" s="1266"/>
    </row>
    <row r="423" spans="1:3">
      <c r="A423" s="1267" t="s">
        <v>422</v>
      </c>
      <c r="B423" s="1268"/>
      <c r="C423" s="1269"/>
    </row>
    <row r="424" spans="1:3">
      <c r="A424" s="1270" t="s">
        <v>423</v>
      </c>
      <c r="B424" s="1271"/>
      <c r="C424" s="1272"/>
    </row>
    <row r="425" spans="1:3">
      <c r="A425" s="1273" t="s">
        <v>424</v>
      </c>
      <c r="B425" s="1274"/>
      <c r="C425" s="1275"/>
    </row>
    <row r="426" spans="1:3">
      <c r="A426" s="1276" t="s">
        <v>425</v>
      </c>
      <c r="B426" s="1277"/>
      <c r="C426" s="1278"/>
    </row>
    <row r="427" spans="1:3">
      <c r="A427" s="1279" t="s">
        <v>426</v>
      </c>
      <c r="B427" s="1280"/>
      <c r="C427" s="1281"/>
    </row>
    <row r="428" spans="1:3">
      <c r="A428" s="1282" t="s">
        <v>427</v>
      </c>
      <c r="B428" s="1283"/>
      <c r="C428" s="1284"/>
    </row>
    <row r="429" spans="1:3">
      <c r="A429" s="1285" t="s">
        <v>428</v>
      </c>
      <c r="B429" s="1286"/>
      <c r="C429" s="1287"/>
    </row>
    <row r="430" spans="1:3">
      <c r="A430" s="1288" t="s">
        <v>429</v>
      </c>
      <c r="B430" s="1289"/>
      <c r="C430" s="1290"/>
    </row>
    <row r="431" spans="1:3">
      <c r="A431" s="1291" t="s">
        <v>430</v>
      </c>
      <c r="B431" s="1292"/>
      <c r="C431" s="1293"/>
    </row>
    <row r="432" spans="1:3">
      <c r="A432" s="1294" t="s">
        <v>431</v>
      </c>
      <c r="B432" s="1295"/>
      <c r="C432" s="1296"/>
    </row>
    <row r="433" spans="1:3">
      <c r="A433" s="1297" t="s">
        <v>432</v>
      </c>
      <c r="B433" s="1298"/>
      <c r="C433" s="1299"/>
    </row>
    <row r="434" spans="1:3">
      <c r="A434" s="1300" t="s">
        <v>433</v>
      </c>
      <c r="B434" s="1301"/>
      <c r="C434" s="1302"/>
    </row>
    <row r="435" spans="1:3">
      <c r="A435" s="1303" t="s">
        <v>434</v>
      </c>
      <c r="B435" s="1304"/>
      <c r="C435" s="1305"/>
    </row>
    <row r="436" spans="1:3">
      <c r="A436" s="1306" t="s">
        <v>435</v>
      </c>
      <c r="B436" s="1307"/>
      <c r="C436" s="1308"/>
    </row>
    <row r="437" spans="1:3">
      <c r="A437" s="1309" t="s">
        <v>436</v>
      </c>
      <c r="B437" s="1310"/>
      <c r="C437" s="1311"/>
    </row>
    <row r="438" spans="1:3">
      <c r="A438" s="1312" t="s">
        <v>437</v>
      </c>
      <c r="B438" s="1313"/>
      <c r="C438" s="1314"/>
    </row>
    <row r="439" spans="1:3">
      <c r="A439" s="1315" t="s">
        <v>438</v>
      </c>
      <c r="B439" s="1316"/>
      <c r="C439" s="1317"/>
    </row>
    <row r="440" spans="1:3">
      <c r="A440" s="1318" t="s">
        <v>439</v>
      </c>
      <c r="B440" s="1319"/>
      <c r="C440" s="1320"/>
    </row>
    <row r="441" spans="1:3">
      <c r="A441" s="1321" t="s">
        <v>440</v>
      </c>
      <c r="B441" s="1322"/>
      <c r="C441" s="1323"/>
    </row>
    <row r="442" spans="1:3">
      <c r="A442" s="1324" t="s">
        <v>441</v>
      </c>
      <c r="B442" s="1325"/>
      <c r="C442" s="1326"/>
    </row>
    <row r="443" spans="1:3">
      <c r="A443" s="1327" t="s">
        <v>442</v>
      </c>
      <c r="B443" s="1328"/>
      <c r="C443" s="1329"/>
    </row>
    <row r="444" spans="1:3">
      <c r="A444" s="1330" t="s">
        <v>443</v>
      </c>
      <c r="B444" s="1331"/>
      <c r="C444" s="1332"/>
    </row>
    <row r="445" spans="1:3">
      <c r="A445" s="1333" t="s">
        <v>444</v>
      </c>
      <c r="B445" s="1334"/>
      <c r="C445" s="1335"/>
    </row>
    <row r="446" spans="1:3">
      <c r="A446" s="1336" t="s">
        <v>445</v>
      </c>
      <c r="B446" s="1337"/>
      <c r="C446" s="1338"/>
    </row>
    <row r="447" spans="1:3">
      <c r="A447" s="1339" t="s">
        <v>446</v>
      </c>
      <c r="B447" s="1340"/>
      <c r="C447" s="1341"/>
    </row>
    <row r="448" spans="1:3">
      <c r="A448" s="1342" t="s">
        <v>447</v>
      </c>
      <c r="B448" s="1343"/>
      <c r="C448" s="1344"/>
    </row>
    <row r="449" spans="1:3">
      <c r="A449" s="1345" t="s">
        <v>448</v>
      </c>
      <c r="B449" s="1346"/>
      <c r="C449" s="1347"/>
    </row>
    <row r="450" spans="1:3">
      <c r="A450" s="1348" t="s">
        <v>449</v>
      </c>
      <c r="B450" s="1349"/>
      <c r="C450" s="1350"/>
    </row>
    <row r="451" spans="1:3">
      <c r="A451" s="1351" t="s">
        <v>450</v>
      </c>
      <c r="B451" s="1352"/>
      <c r="C451" s="1353"/>
    </row>
    <row r="452" spans="1:3">
      <c r="A452" s="1354" t="s">
        <v>451</v>
      </c>
      <c r="B452" s="1355"/>
      <c r="C452" s="1356"/>
    </row>
    <row r="453" spans="1:3">
      <c r="A453" s="1357" t="s">
        <v>452</v>
      </c>
      <c r="B453" s="1358"/>
      <c r="C453" s="1359"/>
    </row>
    <row r="454" spans="1:3">
      <c r="A454" s="1360" t="s">
        <v>453</v>
      </c>
      <c r="B454" s="1361"/>
      <c r="C454" s="1362"/>
    </row>
    <row r="455" spans="1:3">
      <c r="A455" s="1363" t="s">
        <v>454</v>
      </c>
      <c r="B455" s="1364"/>
      <c r="C455" s="1365"/>
    </row>
    <row r="456" spans="1:3">
      <c r="A456" s="1366" t="s">
        <v>455</v>
      </c>
      <c r="B456" s="1367"/>
      <c r="C456" s="1368"/>
    </row>
    <row r="457" spans="1:3">
      <c r="A457" s="1369" t="s">
        <v>456</v>
      </c>
      <c r="B457" s="1370"/>
      <c r="C457" s="1371"/>
    </row>
    <row r="458" spans="1:3">
      <c r="A458" s="1372" t="s">
        <v>457</v>
      </c>
      <c r="B458" s="1373"/>
      <c r="C458" s="1374"/>
    </row>
    <row r="459" spans="1:3">
      <c r="A459" s="1375" t="s">
        <v>458</v>
      </c>
      <c r="B459" s="1376"/>
      <c r="C459" s="1377"/>
    </row>
    <row r="460" spans="1:3">
      <c r="A460" s="1378" t="s">
        <v>459</v>
      </c>
      <c r="B460" s="1379"/>
      <c r="C460" s="1380"/>
    </row>
    <row r="461" spans="1:3">
      <c r="A461" s="1381" t="s">
        <v>460</v>
      </c>
      <c r="B461" s="1382"/>
      <c r="C461" s="1383"/>
    </row>
    <row r="462" spans="1:3">
      <c r="A462" s="1384" t="s">
        <v>461</v>
      </c>
      <c r="B462" s="1385"/>
      <c r="C462" s="1386"/>
    </row>
    <row r="463" spans="1:3">
      <c r="A463" s="1387" t="s">
        <v>462</v>
      </c>
      <c r="B463" s="1388"/>
      <c r="C463" s="1389"/>
    </row>
    <row r="464" spans="1:3">
      <c r="A464" s="1390" t="s">
        <v>463</v>
      </c>
      <c r="B464" s="1391"/>
      <c r="C464" s="1392"/>
    </row>
    <row r="465" spans="1:3">
      <c r="A465" s="1393" t="s">
        <v>464</v>
      </c>
      <c r="B465" s="1394"/>
      <c r="C465" s="1395"/>
    </row>
    <row r="466" spans="1:3">
      <c r="A466" s="1396" t="s">
        <v>465</v>
      </c>
      <c r="B466" s="1397"/>
      <c r="C466" s="1398"/>
    </row>
    <row r="467" spans="1:3">
      <c r="A467" s="1399" t="s">
        <v>466</v>
      </c>
      <c r="B467" s="1400"/>
      <c r="C467" s="1401"/>
    </row>
    <row r="468" spans="1:3">
      <c r="A468" s="1402" t="s">
        <v>467</v>
      </c>
      <c r="B468" s="1403"/>
      <c r="C468" s="1404"/>
    </row>
    <row r="469" spans="1:3">
      <c r="A469" s="1405" t="s">
        <v>468</v>
      </c>
      <c r="B469" s="1406"/>
      <c r="C469" s="1407"/>
    </row>
    <row r="470" spans="1:3">
      <c r="A470" s="1408" t="s">
        <v>469</v>
      </c>
      <c r="B470" s="1409"/>
      <c r="C470" s="1410"/>
    </row>
    <row r="471" spans="1:3">
      <c r="A471" s="1411" t="s">
        <v>470</v>
      </c>
      <c r="B471" s="1412"/>
      <c r="C471" s="1413"/>
    </row>
    <row r="472" spans="1:3">
      <c r="A472" s="1414" t="s">
        <v>471</v>
      </c>
      <c r="B472" s="1415"/>
      <c r="C472" s="1416"/>
    </row>
    <row r="473" spans="1:3">
      <c r="A473" s="1417" t="s">
        <v>472</v>
      </c>
      <c r="B473" s="1418"/>
      <c r="C473" s="1419"/>
    </row>
    <row r="474" spans="1:3">
      <c r="A474" s="1420" t="s">
        <v>473</v>
      </c>
      <c r="B474" s="1421"/>
      <c r="C474" s="1422"/>
    </row>
    <row r="475" spans="1:3">
      <c r="A475" s="1423" t="s">
        <v>474</v>
      </c>
      <c r="B475" s="1424"/>
      <c r="C475" s="1425"/>
    </row>
    <row r="476" spans="1:3">
      <c r="A476" s="1426" t="s">
        <v>475</v>
      </c>
      <c r="B476" s="1427"/>
      <c r="C476" s="1428"/>
    </row>
    <row r="477" spans="1:3">
      <c r="A477" s="1429" t="s">
        <v>476</v>
      </c>
      <c r="B477" s="1430"/>
      <c r="C477" s="1431"/>
    </row>
    <row r="478" spans="1:3">
      <c r="A478" s="1432" t="s">
        <v>477</v>
      </c>
      <c r="B478" s="1433"/>
      <c r="C478" s="1434"/>
    </row>
    <row r="479" spans="1:3">
      <c r="A479" s="1435" t="s">
        <v>478</v>
      </c>
      <c r="B479" s="1436"/>
      <c r="C479" s="1437"/>
    </row>
    <row r="480" spans="1:3">
      <c r="A480" s="1438" t="s">
        <v>479</v>
      </c>
      <c r="B480" s="1439"/>
      <c r="C480" s="1440"/>
    </row>
    <row r="481" spans="1:3">
      <c r="A481" s="1441" t="s">
        <v>480</v>
      </c>
      <c r="B481" s="1442"/>
      <c r="C481" s="1443"/>
    </row>
    <row r="482" spans="1:3">
      <c r="A482" s="1444" t="s">
        <v>481</v>
      </c>
      <c r="B482" s="1445"/>
      <c r="C482" s="1446"/>
    </row>
    <row r="483" spans="1:3">
      <c r="A483" s="1447" t="s">
        <v>482</v>
      </c>
      <c r="B483" s="1448"/>
      <c r="C483" s="1449"/>
    </row>
    <row r="484" spans="1:3">
      <c r="A484" s="1450" t="s">
        <v>483</v>
      </c>
      <c r="B484" s="1451"/>
      <c r="C484" s="1452"/>
    </row>
    <row r="485" spans="1:3">
      <c r="A485" s="1453" t="s">
        <v>484</v>
      </c>
      <c r="B485" s="1454"/>
      <c r="C485" s="1455"/>
    </row>
    <row r="486" spans="1:3">
      <c r="A486" s="1456" t="s">
        <v>485</v>
      </c>
      <c r="B486" s="1457"/>
      <c r="C486" s="1458"/>
    </row>
    <row r="487" spans="1:3">
      <c r="A487" s="1459" t="s">
        <v>486</v>
      </c>
      <c r="B487" s="1460"/>
      <c r="C487" s="1461"/>
    </row>
    <row r="488" spans="1:3">
      <c r="A488" s="1462" t="s">
        <v>487</v>
      </c>
      <c r="B488" s="1463"/>
      <c r="C488" s="1464"/>
    </row>
    <row r="489" spans="1:3">
      <c r="A489" s="1465" t="s">
        <v>488</v>
      </c>
      <c r="B489" s="1466"/>
      <c r="C489" s="1467"/>
    </row>
    <row r="490" spans="1:3">
      <c r="A490" s="1468" t="s">
        <v>489</v>
      </c>
      <c r="B490" s="1469"/>
      <c r="C490" s="1470"/>
    </row>
    <row r="491" spans="1:3">
      <c r="A491" s="1471" t="s">
        <v>490</v>
      </c>
      <c r="B491" s="1472"/>
      <c r="C491" s="1473"/>
    </row>
    <row r="492" spans="1:3">
      <c r="A492" s="1474" t="s">
        <v>491</v>
      </c>
      <c r="B492" s="1475"/>
      <c r="C492" s="1476"/>
    </row>
    <row r="493" spans="1:3">
      <c r="A493" s="1477" t="s">
        <v>492</v>
      </c>
      <c r="B493" s="1478"/>
      <c r="C493" s="1479"/>
    </row>
    <row r="494" spans="1:3">
      <c r="A494" s="1480" t="s">
        <v>493</v>
      </c>
      <c r="B494" s="1481"/>
      <c r="C494" s="1482"/>
    </row>
    <row r="495" spans="1:3">
      <c r="A495" s="1483" t="s">
        <v>494</v>
      </c>
      <c r="B495" s="1484"/>
      <c r="C495" s="1485"/>
    </row>
    <row r="496" spans="1:3">
      <c r="A496" s="1486" t="s">
        <v>495</v>
      </c>
      <c r="B496" s="1487"/>
      <c r="C496" s="1488"/>
    </row>
    <row r="497" spans="1:3">
      <c r="A497" s="1489" t="s">
        <v>496</v>
      </c>
      <c r="B497" s="1490"/>
      <c r="C497" s="1491"/>
    </row>
    <row r="498" spans="1:3">
      <c r="A498" s="1492" t="s">
        <v>497</v>
      </c>
      <c r="B498" s="1493"/>
      <c r="C498" s="1494"/>
    </row>
    <row r="499" spans="1:3">
      <c r="A499" s="1495" t="s">
        <v>498</v>
      </c>
      <c r="B499" s="1496"/>
      <c r="C499" s="1497"/>
    </row>
    <row r="500" spans="1:3">
      <c r="A500" s="1498" t="s">
        <v>499</v>
      </c>
      <c r="B500" s="1499"/>
      <c r="C500" s="1500"/>
    </row>
    <row r="501" spans="1:3">
      <c r="A501" s="1501" t="s">
        <v>500</v>
      </c>
      <c r="B501" s="1502"/>
      <c r="C501" s="1503"/>
    </row>
    <row r="502" spans="1:3">
      <c r="A502" s="1504" t="s">
        <v>501</v>
      </c>
      <c r="B502" s="1505"/>
      <c r="C502" s="1506"/>
    </row>
    <row r="503" spans="1:3">
      <c r="A503" s="1507" t="s">
        <v>502</v>
      </c>
      <c r="B503" s="1508"/>
      <c r="C503" s="1509"/>
    </row>
    <row r="504" spans="1:3">
      <c r="A504" s="1510" t="s">
        <v>503</v>
      </c>
      <c r="B504" s="1511"/>
      <c r="C504" s="1512"/>
    </row>
    <row r="505" spans="1:3">
      <c r="A505" s="1513" t="s">
        <v>504</v>
      </c>
      <c r="B505" s="1514"/>
      <c r="C505" s="1515"/>
    </row>
    <row r="506" spans="1:3">
      <c r="A506" s="1516" t="s">
        <v>505</v>
      </c>
      <c r="B506" s="1517"/>
      <c r="C506" s="1518"/>
    </row>
    <row r="507" spans="1:3">
      <c r="A507" s="1519" t="s">
        <v>506</v>
      </c>
      <c r="B507" s="1520"/>
      <c r="C507" s="1521"/>
    </row>
    <row r="508" spans="1:3">
      <c r="A508" s="1522" t="s">
        <v>507</v>
      </c>
      <c r="B508" s="1523"/>
      <c r="C508" s="1524"/>
    </row>
    <row r="509" spans="1:3">
      <c r="A509" s="1525" t="s">
        <v>508</v>
      </c>
      <c r="B509" s="1526"/>
      <c r="C509" s="1527"/>
    </row>
    <row r="510" spans="1:3">
      <c r="A510" s="1528" t="s">
        <v>509</v>
      </c>
      <c r="B510" s="1529"/>
      <c r="C510" s="1530"/>
    </row>
    <row r="511" spans="1:3">
      <c r="A511" s="1531" t="s">
        <v>510</v>
      </c>
      <c r="B511" s="1532"/>
      <c r="C511" s="1533"/>
    </row>
    <row r="512" spans="1:3">
      <c r="A512" s="1534" t="s">
        <v>511</v>
      </c>
      <c r="B512" s="1535"/>
      <c r="C512" s="1536"/>
    </row>
    <row r="513" spans="1:3">
      <c r="A513" s="1537" t="s">
        <v>512</v>
      </c>
      <c r="B513" s="1538"/>
      <c r="C513" s="1539"/>
    </row>
    <row r="514" spans="1:3">
      <c r="A514" s="1540" t="s">
        <v>513</v>
      </c>
      <c r="B514" s="1541"/>
      <c r="C514" s="1542"/>
    </row>
    <row r="515" spans="1:3">
      <c r="A515" s="1543" t="s">
        <v>514</v>
      </c>
      <c r="B515" s="1544"/>
      <c r="C515" s="1545"/>
    </row>
    <row r="516" spans="1:3">
      <c r="A516" s="1546" t="s">
        <v>515</v>
      </c>
      <c r="B516" s="1547"/>
      <c r="C516" s="1548"/>
    </row>
    <row r="517" spans="1:3">
      <c r="A517" s="1549" t="s">
        <v>516</v>
      </c>
      <c r="B517" s="1550"/>
      <c r="C517" s="1551"/>
    </row>
    <row r="518" spans="1:3">
      <c r="A518" s="1552" t="s">
        <v>517</v>
      </c>
      <c r="B518" s="1553"/>
      <c r="C518" s="1554"/>
    </row>
    <row r="519" spans="1:3">
      <c r="A519" s="1555" t="s">
        <v>518</v>
      </c>
      <c r="B519" s="1556"/>
      <c r="C519" s="1557"/>
    </row>
    <row r="520" spans="1:3">
      <c r="A520" s="1558" t="s">
        <v>519</v>
      </c>
      <c r="B520" s="1559"/>
      <c r="C520" s="1560"/>
    </row>
    <row r="521" spans="1:3">
      <c r="A521" s="1561" t="s">
        <v>520</v>
      </c>
      <c r="B521" s="1562"/>
      <c r="C521" s="1563"/>
    </row>
    <row r="522" spans="1:3">
      <c r="A522" s="1564" t="s">
        <v>521</v>
      </c>
      <c r="B522" s="1565"/>
      <c r="C522" s="1566"/>
    </row>
    <row r="523" spans="1:3">
      <c r="A523" s="1567" t="s">
        <v>522</v>
      </c>
      <c r="B523" s="1568"/>
      <c r="C523" s="1569"/>
    </row>
    <row r="524" spans="1:3">
      <c r="A524" s="1570" t="s">
        <v>523</v>
      </c>
      <c r="B524" s="1571"/>
      <c r="C524" s="1572"/>
    </row>
    <row r="525" spans="1:3">
      <c r="A525" s="1573" t="s">
        <v>524</v>
      </c>
      <c r="B525" s="1574"/>
      <c r="C525" s="1575"/>
    </row>
    <row r="526" spans="1:3">
      <c r="A526" s="1576" t="s">
        <v>525</v>
      </c>
      <c r="B526" s="1577"/>
      <c r="C526" s="1578"/>
    </row>
    <row r="527" spans="1:3">
      <c r="A527" s="1579" t="s">
        <v>526</v>
      </c>
      <c r="B527" s="1580"/>
      <c r="C527" s="1581"/>
    </row>
    <row r="528" spans="1:3">
      <c r="A528" s="1582" t="s">
        <v>527</v>
      </c>
      <c r="B528" s="1583"/>
      <c r="C528" s="1584"/>
    </row>
    <row r="529" spans="1:3">
      <c r="A529" s="1585" t="s">
        <v>528</v>
      </c>
      <c r="B529" s="1586"/>
      <c r="C529" s="1587"/>
    </row>
    <row r="530" spans="1:3">
      <c r="A530" s="1588" t="s">
        <v>529</v>
      </c>
      <c r="B530" s="1589"/>
      <c r="C530" s="1590"/>
    </row>
    <row r="531" spans="1:3">
      <c r="A531" s="1591" t="s">
        <v>530</v>
      </c>
      <c r="B531" s="1592"/>
      <c r="C531" s="1593"/>
    </row>
    <row r="532" spans="1:3">
      <c r="A532" s="1594" t="s">
        <v>531</v>
      </c>
      <c r="B532" s="1595"/>
      <c r="C532" s="1596"/>
    </row>
    <row r="533" spans="1:3">
      <c r="A533" s="1597" t="s">
        <v>532</v>
      </c>
      <c r="B533" s="1598"/>
      <c r="C533" s="1599"/>
    </row>
    <row r="534" spans="1:3">
      <c r="A534" s="1600" t="s">
        <v>533</v>
      </c>
      <c r="B534" s="1601"/>
      <c r="C534" s="1602"/>
    </row>
    <row r="535" spans="1:3">
      <c r="A535" s="1603" t="s">
        <v>534</v>
      </c>
      <c r="B535" s="1604"/>
      <c r="C535" s="1605"/>
    </row>
    <row r="536" spans="1:3">
      <c r="A536" s="1606" t="s">
        <v>535</v>
      </c>
      <c r="B536" s="1607"/>
      <c r="C536" s="1608"/>
    </row>
    <row r="537" spans="1:3">
      <c r="A537" s="1609" t="s">
        <v>536</v>
      </c>
      <c r="B537" s="1610"/>
      <c r="C537" s="1611"/>
    </row>
    <row r="538" spans="1:3">
      <c r="A538" s="1612" t="s">
        <v>537</v>
      </c>
      <c r="B538" s="1613"/>
      <c r="C538" s="1614"/>
    </row>
    <row r="539" spans="1:3">
      <c r="A539" s="1615" t="s">
        <v>538</v>
      </c>
      <c r="B539" s="1616"/>
      <c r="C539" s="1617"/>
    </row>
    <row r="540" spans="1:3">
      <c r="A540" s="1618" t="s">
        <v>539</v>
      </c>
      <c r="B540" s="1619"/>
      <c r="C540" s="1620"/>
    </row>
    <row r="541" spans="1:3">
      <c r="A541" s="1621" t="s">
        <v>540</v>
      </c>
      <c r="B541" s="1622"/>
      <c r="C541" s="1623"/>
    </row>
    <row r="542" spans="1:3">
      <c r="A542" s="1624" t="s">
        <v>541</v>
      </c>
      <c r="B542" s="1625"/>
      <c r="C542" s="1626"/>
    </row>
    <row r="543" spans="1:3">
      <c r="A543" s="1627" t="s">
        <v>542</v>
      </c>
      <c r="B543" s="1628"/>
      <c r="C543" s="1629"/>
    </row>
    <row r="544" spans="1:3">
      <c r="A544" s="1630" t="s">
        <v>543</v>
      </c>
      <c r="B544" s="1631"/>
      <c r="C544" s="1632"/>
    </row>
    <row r="545" spans="1:3">
      <c r="A545" s="1633" t="s">
        <v>544</v>
      </c>
      <c r="B545" s="1634"/>
      <c r="C545" s="1635"/>
    </row>
    <row r="546" spans="1:3">
      <c r="A546" s="1636" t="s">
        <v>545</v>
      </c>
      <c r="B546" s="1637"/>
      <c r="C546" s="1638"/>
    </row>
    <row r="547" spans="1:3">
      <c r="A547" s="1639" t="s">
        <v>546</v>
      </c>
      <c r="B547" s="1640"/>
      <c r="C547" s="1641"/>
    </row>
    <row r="548" spans="1:3">
      <c r="A548" s="1642" t="s">
        <v>547</v>
      </c>
      <c r="B548" s="1643"/>
      <c r="C548" s="1644"/>
    </row>
    <row r="549" spans="1:3">
      <c r="A549" s="1645" t="s">
        <v>548</v>
      </c>
      <c r="B549" s="1646"/>
      <c r="C549" s="1647"/>
    </row>
    <row r="550" spans="1:3">
      <c r="A550" s="1648" t="s">
        <v>549</v>
      </c>
      <c r="B550" s="1649"/>
      <c r="C550" s="1650"/>
    </row>
    <row r="551" spans="1:3">
      <c r="A551" s="1651" t="s">
        <v>550</v>
      </c>
      <c r="B551" s="1652"/>
      <c r="C551" s="1653"/>
    </row>
    <row r="552" spans="1:3">
      <c r="A552" s="1654" t="s">
        <v>551</v>
      </c>
      <c r="B552" s="1655"/>
      <c r="C552" s="1656"/>
    </row>
    <row r="553" spans="1:3">
      <c r="A553" s="1657" t="s">
        <v>552</v>
      </c>
      <c r="B553" s="1658"/>
      <c r="C553" s="1659"/>
    </row>
    <row r="554" spans="1:3">
      <c r="A554" s="1660" t="s">
        <v>553</v>
      </c>
      <c r="B554" s="1661"/>
      <c r="C554" s="1662"/>
    </row>
    <row r="555" spans="1:3">
      <c r="A555" s="1663" t="s">
        <v>554</v>
      </c>
      <c r="B555" s="1664"/>
      <c r="C555" s="1665"/>
    </row>
    <row r="556" spans="1:3">
      <c r="A556" s="1666" t="s">
        <v>555</v>
      </c>
      <c r="B556" s="1667"/>
      <c r="C556" s="1668"/>
    </row>
    <row r="557" spans="1:3">
      <c r="A557" s="1669" t="s">
        <v>556</v>
      </c>
      <c r="B557" s="1670"/>
      <c r="C557" s="1671"/>
    </row>
    <row r="558" spans="1:3">
      <c r="A558" s="1672" t="s">
        <v>557</v>
      </c>
      <c r="B558" s="1673"/>
      <c r="C558" s="1674"/>
    </row>
    <row r="559" spans="1:3">
      <c r="A559" s="1675" t="s">
        <v>558</v>
      </c>
      <c r="B559" s="1676"/>
      <c r="C559" s="1677"/>
    </row>
    <row r="560" spans="1:3">
      <c r="A560" s="1678" t="s">
        <v>559</v>
      </c>
      <c r="B560" s="1679"/>
      <c r="C560" s="1680"/>
    </row>
    <row r="561" spans="1:3">
      <c r="A561" s="1681" t="s">
        <v>560</v>
      </c>
      <c r="B561" s="1682"/>
      <c r="C561" s="1683"/>
    </row>
    <row r="562" spans="1:3">
      <c r="A562" s="1684" t="s">
        <v>561</v>
      </c>
      <c r="B562" s="1685"/>
      <c r="C562" s="1686"/>
    </row>
    <row r="563" spans="1:3">
      <c r="A563" s="1687" t="s">
        <v>562</v>
      </c>
      <c r="B563" s="1688"/>
      <c r="C563" s="1689"/>
    </row>
    <row r="564" spans="1:3">
      <c r="A564" s="1690" t="s">
        <v>563</v>
      </c>
      <c r="B564" s="1691"/>
      <c r="C564" s="1692"/>
    </row>
    <row r="565" spans="1:3">
      <c r="A565" s="1693" t="s">
        <v>564</v>
      </c>
      <c r="B565" s="1694"/>
      <c r="C565" s="1695"/>
    </row>
    <row r="566" spans="1:3">
      <c r="A566" s="1696" t="s">
        <v>565</v>
      </c>
      <c r="B566" s="1697"/>
      <c r="C566" s="1698"/>
    </row>
    <row r="567" spans="1:3">
      <c r="A567" s="1699" t="s">
        <v>566</v>
      </c>
      <c r="B567" s="1700"/>
      <c r="C567" s="1701"/>
    </row>
    <row r="568" spans="1:3">
      <c r="A568" s="1702" t="s">
        <v>567</v>
      </c>
      <c r="B568" s="1703"/>
      <c r="C568" s="1704"/>
    </row>
    <row r="569" spans="1:3">
      <c r="A569" s="1705" t="s">
        <v>568</v>
      </c>
      <c r="B569" s="1706"/>
      <c r="C569" s="1707"/>
    </row>
    <row r="570" spans="1:3">
      <c r="A570" s="1708" t="s">
        <v>569</v>
      </c>
      <c r="B570" s="1709"/>
      <c r="C570" s="1710"/>
    </row>
    <row r="571" spans="1:3">
      <c r="A571" s="1711" t="s">
        <v>570</v>
      </c>
      <c r="B571" s="1712"/>
      <c r="C571" s="1713"/>
    </row>
    <row r="572" spans="1:3">
      <c r="A572" s="1714" t="s">
        <v>571</v>
      </c>
      <c r="B572" s="1715"/>
      <c r="C572" s="1716"/>
    </row>
    <row r="573" spans="1:3">
      <c r="A573" s="1717" t="s">
        <v>572</v>
      </c>
      <c r="B573" s="1718"/>
      <c r="C573" s="1719"/>
    </row>
    <row r="574" spans="1:3">
      <c r="A574" s="1720" t="s">
        <v>573</v>
      </c>
      <c r="B574" s="1721"/>
      <c r="C574" s="1722"/>
    </row>
    <row r="575" spans="1:3">
      <c r="A575" s="1723" t="s">
        <v>574</v>
      </c>
      <c r="B575" s="1724"/>
      <c r="C575" s="1725"/>
    </row>
    <row r="576" spans="1:3">
      <c r="A576" s="1726" t="s">
        <v>575</v>
      </c>
      <c r="B576" s="1727"/>
      <c r="C576" s="1728"/>
    </row>
    <row r="577" spans="1:3">
      <c r="A577" s="1729" t="s">
        <v>576</v>
      </c>
      <c r="B577" s="1730"/>
      <c r="C577" s="1731"/>
    </row>
    <row r="578" spans="1:3">
      <c r="A578" s="1732" t="s">
        <v>577</v>
      </c>
      <c r="B578" s="1733"/>
      <c r="C578" s="1734"/>
    </row>
    <row r="579" spans="1:3">
      <c r="A579" s="1735" t="s">
        <v>578</v>
      </c>
      <c r="B579" s="1736"/>
      <c r="C579" s="1737"/>
    </row>
    <row r="580" spans="1:3">
      <c r="A580" s="1738" t="s">
        <v>579</v>
      </c>
      <c r="B580" s="1739"/>
      <c r="C580" s="1740"/>
    </row>
    <row r="581" spans="1:3">
      <c r="A581" s="1741" t="s">
        <v>580</v>
      </c>
      <c r="B581" s="1742"/>
      <c r="C581" s="1743"/>
    </row>
    <row r="582" spans="1:3">
      <c r="A582" s="1744" t="s">
        <v>581</v>
      </c>
      <c r="B582" s="1745"/>
      <c r="C582" s="1746"/>
    </row>
    <row r="583" spans="1:3">
      <c r="A583" s="1747" t="s">
        <v>582</v>
      </c>
      <c r="B583" s="1748"/>
      <c r="C583" s="1749"/>
    </row>
    <row r="584" spans="1:3">
      <c r="A584" s="1750" t="s">
        <v>583</v>
      </c>
      <c r="B584" s="1751"/>
      <c r="C584" s="1752"/>
    </row>
    <row r="585" spans="1:3">
      <c r="A585" s="1753" t="s">
        <v>584</v>
      </c>
      <c r="B585" s="1754"/>
      <c r="C585" s="1755"/>
    </row>
    <row r="586" spans="1:3">
      <c r="A586" s="1756" t="s">
        <v>585</v>
      </c>
      <c r="B586" s="1757"/>
      <c r="C586" s="1758"/>
    </row>
    <row r="587" spans="1:3">
      <c r="A587" s="1759" t="s">
        <v>586</v>
      </c>
      <c r="B587" s="1760"/>
      <c r="C587" s="1761"/>
    </row>
    <row r="588" spans="1:3">
      <c r="A588" s="1762" t="s">
        <v>587</v>
      </c>
      <c r="B588" s="1763"/>
      <c r="C588" s="1764"/>
    </row>
    <row r="589" spans="1:3">
      <c r="A589" s="1765" t="s">
        <v>588</v>
      </c>
      <c r="B589" s="1766"/>
      <c r="C589" s="1767"/>
    </row>
    <row r="590" spans="1:3">
      <c r="A590" s="1768" t="s">
        <v>589</v>
      </c>
      <c r="B590" s="1769"/>
      <c r="C590" s="1770"/>
    </row>
    <row r="591" spans="1:3">
      <c r="A591" s="1771" t="s">
        <v>590</v>
      </c>
      <c r="B591" s="1772"/>
      <c r="C591" s="1773"/>
    </row>
    <row r="592" spans="1:3">
      <c r="A592" s="1774" t="s">
        <v>591</v>
      </c>
      <c r="B592" s="1775"/>
      <c r="C592" s="1776"/>
    </row>
    <row r="593" spans="1:3">
      <c r="A593" s="1777" t="s">
        <v>592</v>
      </c>
      <c r="B593" s="1778"/>
      <c r="C593" s="1779"/>
    </row>
    <row r="594" spans="1:3">
      <c r="A594" s="1780" t="s">
        <v>593</v>
      </c>
      <c r="B594" s="1781"/>
      <c r="C594" s="1782"/>
    </row>
    <row r="595" spans="1:3">
      <c r="A595" s="1783" t="s">
        <v>594</v>
      </c>
      <c r="B595" s="1784"/>
      <c r="C595" s="1785"/>
    </row>
    <row r="596" spans="1:3">
      <c r="A596" s="1786" t="s">
        <v>595</v>
      </c>
      <c r="B596" s="1787"/>
      <c r="C596" s="1788"/>
    </row>
    <row r="597" spans="1:3">
      <c r="A597" s="1789" t="s">
        <v>596</v>
      </c>
      <c r="B597" s="1790"/>
      <c r="C597" s="1791"/>
    </row>
    <row r="598" spans="1:3">
      <c r="A598" s="1792" t="s">
        <v>597</v>
      </c>
      <c r="B598" s="1793"/>
      <c r="C598" s="1794"/>
    </row>
    <row r="599" spans="1:3">
      <c r="A599" s="1795" t="s">
        <v>598</v>
      </c>
      <c r="B599" s="1796"/>
      <c r="C599" s="1797"/>
    </row>
    <row r="600" spans="1:3">
      <c r="A600" s="1798" t="s">
        <v>599</v>
      </c>
      <c r="B600" s="1799"/>
      <c r="C600" s="1800"/>
    </row>
    <row r="601" spans="1:3">
      <c r="A601" s="1801" t="s">
        <v>600</v>
      </c>
      <c r="B601" s="1802"/>
      <c r="C601" s="1803"/>
    </row>
    <row r="602" spans="1:3">
      <c r="A602" s="1804" t="s">
        <v>601</v>
      </c>
      <c r="B602" s="1805"/>
      <c r="C602" s="1806"/>
    </row>
    <row r="603" spans="1:3">
      <c r="A603" s="1807" t="s">
        <v>602</v>
      </c>
      <c r="B603" s="1808"/>
      <c r="C603" s="1809"/>
    </row>
    <row r="604" spans="1:3">
      <c r="A604" s="1810" t="s">
        <v>603</v>
      </c>
      <c r="B604" s="1811"/>
      <c r="C604" s="1812"/>
    </row>
    <row r="605" spans="1:3">
      <c r="A605" s="1813" t="s">
        <v>604</v>
      </c>
      <c r="B605" s="1814"/>
      <c r="C605" s="1815"/>
    </row>
    <row r="606" spans="1:3">
      <c r="A606" s="1816" t="s">
        <v>605</v>
      </c>
      <c r="B606" s="1817"/>
      <c r="C606" s="1818"/>
    </row>
    <row r="607" spans="1:3">
      <c r="A607" s="1819" t="s">
        <v>606</v>
      </c>
      <c r="B607" s="1820"/>
      <c r="C607" s="1821"/>
    </row>
    <row r="608" spans="1:3">
      <c r="A608" s="1822" t="s">
        <v>607</v>
      </c>
      <c r="B608" s="1823"/>
      <c r="C608" s="1824"/>
    </row>
    <row r="609" spans="1:3">
      <c r="A609" s="1825" t="s">
        <v>608</v>
      </c>
      <c r="B609" s="1826"/>
      <c r="C609" s="1827"/>
    </row>
    <row r="610" spans="1:3">
      <c r="A610" s="1828" t="s">
        <v>609</v>
      </c>
      <c r="B610" s="1829"/>
      <c r="C610" s="1830"/>
    </row>
    <row r="611" spans="1:3">
      <c r="A611" s="1831" t="s">
        <v>610</v>
      </c>
      <c r="B611" s="1832"/>
      <c r="C611" s="1833"/>
    </row>
    <row r="612" spans="1:3">
      <c r="A612" s="1834" t="s">
        <v>611</v>
      </c>
      <c r="B612" s="1835"/>
      <c r="C612" s="1836"/>
    </row>
    <row r="613" spans="1:3">
      <c r="A613" s="1837" t="s">
        <v>612</v>
      </c>
      <c r="B613" s="1838"/>
      <c r="C613" s="1839"/>
    </row>
    <row r="614" spans="1:3">
      <c r="A614" s="1840" t="s">
        <v>613</v>
      </c>
      <c r="B614" s="1841"/>
      <c r="C614" s="1842"/>
    </row>
    <row r="615" spans="1:3">
      <c r="A615" s="1843" t="s">
        <v>614</v>
      </c>
      <c r="B615" s="1844"/>
      <c r="C615" s="1845"/>
    </row>
    <row r="616" spans="1:3">
      <c r="A616" s="1846" t="s">
        <v>615</v>
      </c>
      <c r="B616" s="1847"/>
      <c r="C616" s="1848"/>
    </row>
    <row r="617" spans="1:3">
      <c r="A617" s="1849" t="s">
        <v>616</v>
      </c>
      <c r="B617" s="1850"/>
      <c r="C617" s="1851"/>
    </row>
    <row r="618" spans="1:3">
      <c r="A618" s="1852" t="s">
        <v>617</v>
      </c>
      <c r="B618" s="1853"/>
      <c r="C618" s="1854"/>
    </row>
    <row r="619" spans="1:3">
      <c r="A619" s="1855" t="s">
        <v>618</v>
      </c>
      <c r="B619" s="1856"/>
      <c r="C619" s="1857"/>
    </row>
    <row r="620" spans="1:3">
      <c r="A620" s="1858" t="s">
        <v>619</v>
      </c>
      <c r="B620" s="1859"/>
      <c r="C620" s="1860"/>
    </row>
    <row r="621" spans="1:3">
      <c r="A621" s="1861" t="s">
        <v>620</v>
      </c>
      <c r="B621" s="1862"/>
      <c r="C621" s="1863"/>
    </row>
    <row r="622" spans="1:3">
      <c r="A622" s="1864" t="s">
        <v>621</v>
      </c>
      <c r="B622" s="1865"/>
      <c r="C622" s="1866"/>
    </row>
    <row r="623" spans="1:3">
      <c r="A623" s="1867" t="s">
        <v>622</v>
      </c>
      <c r="B623" s="1868"/>
      <c r="C623" s="1869"/>
    </row>
    <row r="624" spans="1:3">
      <c r="A624" s="1870" t="s">
        <v>623</v>
      </c>
      <c r="B624" s="1871"/>
      <c r="C624" s="1872"/>
    </row>
    <row r="625" spans="1:3">
      <c r="A625" s="1873" t="s">
        <v>624</v>
      </c>
      <c r="B625" s="1874"/>
      <c r="C625" s="1875"/>
    </row>
    <row r="626" spans="1:3">
      <c r="A626" s="1876" t="s">
        <v>625</v>
      </c>
      <c r="B626" s="1877"/>
      <c r="C626" s="1878"/>
    </row>
    <row r="627" spans="1:3">
      <c r="A627" s="1879" t="s">
        <v>626</v>
      </c>
      <c r="B627" s="1880"/>
      <c r="C627" s="1881"/>
    </row>
    <row r="628" spans="1:3">
      <c r="A628" s="1882" t="s">
        <v>627</v>
      </c>
      <c r="B628" s="1883"/>
      <c r="C628" s="1884"/>
    </row>
    <row r="629" spans="1:3">
      <c r="A629" s="1885" t="s">
        <v>628</v>
      </c>
      <c r="B629" s="1886"/>
      <c r="C629" s="1887"/>
    </row>
    <row r="630" spans="1:3">
      <c r="A630" s="1888" t="s">
        <v>629</v>
      </c>
      <c r="B630" s="1889"/>
      <c r="C630" s="1890"/>
    </row>
    <row r="631" spans="1:3">
      <c r="A631" s="1891" t="s">
        <v>630</v>
      </c>
      <c r="B631" s="1892"/>
      <c r="C631" s="1893"/>
    </row>
    <row r="632" spans="1:3">
      <c r="A632" s="1894" t="s">
        <v>631</v>
      </c>
      <c r="B632" s="1895"/>
      <c r="C632" s="1896"/>
    </row>
    <row r="633" spans="1:3">
      <c r="A633" s="1897" t="s">
        <v>632</v>
      </c>
      <c r="B633" s="1898"/>
      <c r="C633" s="1899"/>
    </row>
    <row r="634" spans="1:3">
      <c r="A634" s="1900" t="s">
        <v>633</v>
      </c>
      <c r="B634" s="1901"/>
      <c r="C634" s="1902"/>
    </row>
    <row r="635" spans="1:3">
      <c r="A635" s="1903" t="s">
        <v>634</v>
      </c>
      <c r="B635" s="1904"/>
      <c r="C635" s="1905"/>
    </row>
    <row r="636" spans="1:3">
      <c r="A636" s="1906" t="s">
        <v>635</v>
      </c>
      <c r="B636" s="1907"/>
      <c r="C636" s="1908"/>
    </row>
    <row r="637" spans="1:3">
      <c r="A637" s="1909" t="s">
        <v>636</v>
      </c>
      <c r="B637" s="1910"/>
      <c r="C637" s="1911"/>
    </row>
    <row r="638" spans="1:3">
      <c r="A638" s="1912" t="s">
        <v>637</v>
      </c>
      <c r="B638" s="1913"/>
      <c r="C638" s="1914"/>
    </row>
    <row r="639" spans="1:3">
      <c r="A639" s="1915" t="s">
        <v>638</v>
      </c>
      <c r="B639" s="1916"/>
      <c r="C639" s="1917"/>
    </row>
    <row r="640" spans="1:3">
      <c r="A640" s="1918" t="s">
        <v>639</v>
      </c>
      <c r="B640" s="1919"/>
      <c r="C640" s="1920"/>
    </row>
    <row r="641" spans="1:3">
      <c r="A641" s="1921" t="s">
        <v>640</v>
      </c>
      <c r="B641" s="1922"/>
      <c r="C641" s="1923"/>
    </row>
    <row r="642" spans="1:3">
      <c r="A642" s="1924" t="s">
        <v>641</v>
      </c>
      <c r="B642" s="1925"/>
      <c r="C642" s="1926"/>
    </row>
    <row r="643" spans="1:3">
      <c r="A643" s="1927" t="s">
        <v>642</v>
      </c>
      <c r="B643" s="1928"/>
      <c r="C643" s="1929"/>
    </row>
    <row r="644" spans="1:3">
      <c r="A644" s="1930" t="s">
        <v>643</v>
      </c>
      <c r="B644" s="1931"/>
      <c r="C644" s="1932"/>
    </row>
    <row r="645" spans="1:3">
      <c r="A645" s="1933" t="s">
        <v>644</v>
      </c>
      <c r="B645" s="1934"/>
      <c r="C645" s="1935"/>
    </row>
    <row r="646" spans="1:3">
      <c r="A646" s="1936" t="s">
        <v>645</v>
      </c>
      <c r="B646" s="1937"/>
      <c r="C646" s="1938"/>
    </row>
    <row r="647" spans="1:3">
      <c r="A647" s="1939" t="s">
        <v>646</v>
      </c>
      <c r="B647" s="1940"/>
      <c r="C647" s="1941"/>
    </row>
    <row r="648" spans="1:3">
      <c r="A648" s="1942" t="s">
        <v>647</v>
      </c>
      <c r="B648" s="1943"/>
      <c r="C648" s="1944"/>
    </row>
    <row r="649" spans="1:3">
      <c r="A649" s="1945" t="s">
        <v>648</v>
      </c>
      <c r="B649" s="1946"/>
      <c r="C649" s="1947"/>
    </row>
    <row r="650" spans="1:3">
      <c r="A650" s="1948" t="s">
        <v>649</v>
      </c>
      <c r="B650" s="1949"/>
      <c r="C650" s="1950"/>
    </row>
    <row r="651" spans="1:3">
      <c r="A651" s="1951" t="s">
        <v>650</v>
      </c>
      <c r="B651" s="1952"/>
      <c r="C651" s="1953"/>
    </row>
    <row r="652" spans="1:3">
      <c r="A652" s="1954" t="s">
        <v>651</v>
      </c>
      <c r="B652" s="1955"/>
      <c r="C652" s="1956"/>
    </row>
    <row r="653" spans="1:3">
      <c r="A653" s="1957" t="s">
        <v>652</v>
      </c>
      <c r="B653" s="1958"/>
      <c r="C653" s="1959"/>
    </row>
    <row r="654" spans="1:3">
      <c r="A654" s="1960" t="s">
        <v>653</v>
      </c>
      <c r="B654" s="1961"/>
      <c r="C654" s="1962"/>
    </row>
    <row r="655" spans="1:3">
      <c r="A655" s="1963" t="s">
        <v>654</v>
      </c>
      <c r="B655" s="1964"/>
      <c r="C655" s="1965"/>
    </row>
    <row r="656" spans="1:3">
      <c r="A656" s="1966" t="s">
        <v>655</v>
      </c>
      <c r="B656" s="1967"/>
      <c r="C656" s="1968"/>
    </row>
    <row r="657" spans="1:3">
      <c r="A657" s="1969" t="s">
        <v>656</v>
      </c>
      <c r="B657" s="1970"/>
      <c r="C657" s="1971"/>
    </row>
    <row r="658" spans="1:3">
      <c r="A658" s="1972" t="s">
        <v>657</v>
      </c>
      <c r="B658" s="1973"/>
      <c r="C658" s="1974"/>
    </row>
    <row r="659" spans="1:3">
      <c r="A659" s="1975" t="s">
        <v>658</v>
      </c>
      <c r="B659" s="1976"/>
      <c r="C659" s="1977"/>
    </row>
    <row r="660" spans="1:3">
      <c r="A660" s="1978" t="s">
        <v>659</v>
      </c>
      <c r="B660" s="1979"/>
      <c r="C660" s="1980"/>
    </row>
    <row r="661" spans="1:3">
      <c r="A661" s="1981" t="s">
        <v>660</v>
      </c>
      <c r="B661" s="1982"/>
      <c r="C661" s="1983"/>
    </row>
    <row r="662" spans="1:3">
      <c r="A662" s="1984" t="s">
        <v>661</v>
      </c>
      <c r="B662" s="1985"/>
      <c r="C662" s="1986"/>
    </row>
    <row r="663" spans="1:3">
      <c r="A663" s="1987" t="s">
        <v>662</v>
      </c>
      <c r="B663" s="1988"/>
      <c r="C663" s="1989"/>
    </row>
    <row r="664" spans="1:3">
      <c r="A664" s="1990" t="s">
        <v>663</v>
      </c>
      <c r="B664" s="1991"/>
      <c r="C664" s="1992"/>
    </row>
    <row r="665" spans="1:3">
      <c r="A665" s="1993" t="s">
        <v>664</v>
      </c>
      <c r="B665" s="1994"/>
      <c r="C665" s="1995"/>
    </row>
    <row r="666" spans="1:3">
      <c r="A666" s="1996" t="s">
        <v>665</v>
      </c>
      <c r="B666" s="1997"/>
      <c r="C666" s="1998"/>
    </row>
    <row r="667" spans="1:3">
      <c r="A667" s="1999" t="s">
        <v>666</v>
      </c>
      <c r="B667" s="2000"/>
      <c r="C667" s="2001"/>
    </row>
    <row r="668" spans="1:3">
      <c r="A668" s="2002" t="s">
        <v>667</v>
      </c>
      <c r="B668" s="2003"/>
      <c r="C668" s="2004"/>
    </row>
    <row r="669" spans="1:3">
      <c r="A669" s="2005" t="s">
        <v>668</v>
      </c>
      <c r="B669" s="2006"/>
      <c r="C669" s="2007"/>
    </row>
    <row r="670" spans="1:3">
      <c r="A670" s="2008" t="s">
        <v>669</v>
      </c>
      <c r="B670" s="2009"/>
      <c r="C670" s="2010"/>
    </row>
    <row r="671" spans="1:3">
      <c r="A671" s="2011" t="s">
        <v>670</v>
      </c>
      <c r="B671" s="2012"/>
      <c r="C671" s="2013"/>
    </row>
    <row r="672" spans="1:3">
      <c r="A672" s="2014" t="s">
        <v>671</v>
      </c>
      <c r="B672" s="2015"/>
      <c r="C672" s="2016"/>
    </row>
    <row r="673" spans="1:3">
      <c r="A673" s="2017" t="s">
        <v>672</v>
      </c>
      <c r="B673" s="2018"/>
      <c r="C673" s="2019"/>
    </row>
    <row r="674" spans="1:3">
      <c r="A674" s="2020" t="s">
        <v>673</v>
      </c>
      <c r="B674" s="2021"/>
      <c r="C674" s="2022"/>
    </row>
    <row r="675" spans="1:3">
      <c r="A675" s="2023" t="s">
        <v>674</v>
      </c>
      <c r="B675" s="2024"/>
      <c r="C675" s="2025"/>
    </row>
    <row r="676" spans="1:3">
      <c r="A676" s="2026" t="s">
        <v>675</v>
      </c>
      <c r="B676" s="2027"/>
      <c r="C676" s="2028"/>
    </row>
    <row r="677" spans="1:3">
      <c r="A677" s="2029" t="s">
        <v>676</v>
      </c>
      <c r="B677" s="2030"/>
      <c r="C677" s="2031"/>
    </row>
    <row r="678" spans="1:3">
      <c r="A678" s="2032" t="s">
        <v>677</v>
      </c>
      <c r="B678" s="2033"/>
      <c r="C678" s="2034"/>
    </row>
    <row r="679" spans="1:3">
      <c r="A679" s="2035" t="s">
        <v>678</v>
      </c>
      <c r="B679" s="2036"/>
      <c r="C679" s="2037"/>
    </row>
    <row r="680" spans="1:3">
      <c r="A680" s="2038" t="s">
        <v>679</v>
      </c>
      <c r="B680" s="2039"/>
      <c r="C680" s="2040"/>
    </row>
    <row r="681" spans="1:3">
      <c r="A681" s="2041" t="s">
        <v>680</v>
      </c>
      <c r="B681" s="2042"/>
      <c r="C681" s="2043"/>
    </row>
    <row r="682" spans="1:3">
      <c r="A682" s="2044" t="s">
        <v>681</v>
      </c>
      <c r="B682" s="2045"/>
      <c r="C682" s="2046"/>
    </row>
    <row r="683" spans="1:3">
      <c r="A683" s="2047" t="s">
        <v>682</v>
      </c>
      <c r="B683" s="2048"/>
      <c r="C683" s="2049"/>
    </row>
    <row r="684" spans="1:3">
      <c r="A684" s="2050" t="s">
        <v>683</v>
      </c>
      <c r="B684" s="2051"/>
      <c r="C684" s="2052"/>
    </row>
    <row r="685" spans="1:3">
      <c r="A685" s="2053" t="s">
        <v>684</v>
      </c>
      <c r="B685" s="2054"/>
      <c r="C685" s="2055"/>
    </row>
    <row r="686" spans="1:3">
      <c r="A686" s="2056" t="s">
        <v>685</v>
      </c>
      <c r="B686" s="2057"/>
      <c r="C686" s="2058"/>
    </row>
    <row r="687" spans="1:3">
      <c r="A687" s="2059" t="s">
        <v>686</v>
      </c>
      <c r="B687" s="2060"/>
      <c r="C687" s="2061"/>
    </row>
    <row r="688" spans="1:3">
      <c r="A688" s="2062" t="s">
        <v>687</v>
      </c>
      <c r="B688" s="2063"/>
      <c r="C688" s="2064"/>
    </row>
    <row r="689" spans="1:3">
      <c r="A689" s="2065" t="s">
        <v>688</v>
      </c>
      <c r="B689" s="2066"/>
      <c r="C689" s="2067"/>
    </row>
    <row r="690" spans="1:3">
      <c r="A690" s="2068" t="s">
        <v>689</v>
      </c>
      <c r="B690" s="2069"/>
      <c r="C690" s="2070"/>
    </row>
    <row r="691" spans="1:3">
      <c r="A691" s="2071" t="s">
        <v>690</v>
      </c>
      <c r="B691" s="2072"/>
      <c r="C691" s="2073"/>
    </row>
    <row r="692" spans="1:3">
      <c r="A692" s="2074" t="s">
        <v>691</v>
      </c>
      <c r="B692" s="2075"/>
      <c r="C692" s="2076"/>
    </row>
    <row r="693" spans="1:3">
      <c r="A693" s="2077" t="s">
        <v>692</v>
      </c>
      <c r="B693" s="2078"/>
      <c r="C693" s="2079"/>
    </row>
    <row r="694" spans="1:3">
      <c r="A694" s="2080" t="s">
        <v>693</v>
      </c>
      <c r="B694" s="2081"/>
      <c r="C694" s="2082"/>
    </row>
    <row r="695" spans="1:3">
      <c r="A695" s="2083" t="s">
        <v>694</v>
      </c>
      <c r="B695" s="2084"/>
      <c r="C695" s="2085"/>
    </row>
    <row r="696" spans="1:3">
      <c r="A696" s="2086" t="s">
        <v>695</v>
      </c>
      <c r="B696" s="2087"/>
      <c r="C696" s="2088"/>
    </row>
    <row r="697" spans="1:3">
      <c r="A697" s="2089" t="s">
        <v>696</v>
      </c>
      <c r="B697" s="2090"/>
      <c r="C697" s="2091"/>
    </row>
    <row r="698" spans="1:3">
      <c r="A698" s="2092" t="s">
        <v>697</v>
      </c>
      <c r="B698" s="2093"/>
      <c r="C698" s="2094"/>
    </row>
    <row r="699" spans="1:3">
      <c r="A699" s="2095" t="s">
        <v>698</v>
      </c>
      <c r="B699" s="2096"/>
      <c r="C699" s="2097"/>
    </row>
    <row r="700" spans="1:3">
      <c r="A700" s="2098" t="s">
        <v>699</v>
      </c>
      <c r="B700" s="2099"/>
      <c r="C700" s="2100"/>
    </row>
    <row r="701" spans="1:3">
      <c r="A701" s="2101" t="s">
        <v>700</v>
      </c>
      <c r="B701" s="2102"/>
      <c r="C701" s="2103"/>
    </row>
    <row r="702" spans="1:3">
      <c r="A702" s="2104" t="s">
        <v>701</v>
      </c>
      <c r="B702" s="2105"/>
      <c r="C702" s="2106"/>
    </row>
    <row r="703" spans="1:3">
      <c r="A703" s="2107" t="s">
        <v>702</v>
      </c>
      <c r="B703" s="2108"/>
      <c r="C703" s="2109"/>
    </row>
    <row r="704" spans="1:3">
      <c r="A704" s="2110" t="s">
        <v>703</v>
      </c>
      <c r="B704" s="2111"/>
      <c r="C704" s="2112"/>
    </row>
    <row r="705" spans="1:3">
      <c r="A705" s="2113" t="s">
        <v>704</v>
      </c>
      <c r="B705" s="2114"/>
      <c r="C705" s="2115"/>
    </row>
    <row r="706" spans="1:3">
      <c r="A706" s="2116" t="s">
        <v>705</v>
      </c>
      <c r="B706" s="2117"/>
      <c r="C706" s="2118"/>
    </row>
    <row r="707" spans="1:3">
      <c r="A707" s="2119" t="s">
        <v>706</v>
      </c>
      <c r="B707" s="2120"/>
      <c r="C707" s="2121"/>
    </row>
    <row r="708" spans="1:3">
      <c r="A708" s="2122" t="s">
        <v>707</v>
      </c>
      <c r="B708" s="2123"/>
      <c r="C708" s="2124"/>
    </row>
    <row r="709" spans="1:3">
      <c r="A709" s="2125" t="s">
        <v>708</v>
      </c>
      <c r="B709" s="2126"/>
      <c r="C709" s="2127"/>
    </row>
    <row r="710" spans="1:3">
      <c r="A710" s="2128" t="s">
        <v>709</v>
      </c>
      <c r="B710" s="2129"/>
      <c r="C710" s="2130"/>
    </row>
    <row r="711" spans="1:3">
      <c r="A711" s="2131" t="s">
        <v>710</v>
      </c>
      <c r="B711" s="2132"/>
      <c r="C711" s="2133"/>
    </row>
    <row r="712" spans="1:3">
      <c r="A712" s="2134" t="s">
        <v>711</v>
      </c>
      <c r="B712" s="2135"/>
      <c r="C712" s="2136"/>
    </row>
    <row r="713" spans="1:3">
      <c r="A713" s="2137" t="s">
        <v>712</v>
      </c>
      <c r="B713" s="2138"/>
      <c r="C713" s="2139"/>
    </row>
    <row r="714" spans="1:3">
      <c r="A714" s="2140" t="s">
        <v>713</v>
      </c>
      <c r="B714" s="2141"/>
      <c r="C714" s="2142"/>
    </row>
    <row r="715" spans="1:3">
      <c r="A715" s="2143" t="s">
        <v>714</v>
      </c>
      <c r="B715" s="2144"/>
      <c r="C715" s="2145"/>
    </row>
    <row r="716" spans="1:3">
      <c r="A716" s="2146" t="s">
        <v>715</v>
      </c>
      <c r="B716" s="2147"/>
      <c r="C716" s="2148"/>
    </row>
    <row r="717" spans="1:3">
      <c r="A717" s="2149" t="s">
        <v>716</v>
      </c>
      <c r="B717" s="2150"/>
      <c r="C717" s="2151"/>
    </row>
    <row r="718" spans="1:3">
      <c r="A718" s="2152" t="s">
        <v>717</v>
      </c>
      <c r="B718" s="2153"/>
      <c r="C718" s="2154"/>
    </row>
    <row r="719" spans="1:3">
      <c r="A719" s="2155" t="s">
        <v>718</v>
      </c>
      <c r="B719" s="2156"/>
      <c r="C719" s="2157"/>
    </row>
    <row r="720" spans="1:3">
      <c r="A720" s="2158" t="s">
        <v>719</v>
      </c>
      <c r="B720" s="2159"/>
      <c r="C720" s="2160"/>
    </row>
    <row r="721" spans="1:3">
      <c r="A721" s="2161" t="s">
        <v>720</v>
      </c>
      <c r="B721" s="2162"/>
      <c r="C721" s="2163"/>
    </row>
    <row r="722" spans="1:3">
      <c r="A722" s="2164" t="s">
        <v>721</v>
      </c>
      <c r="B722" s="2165"/>
      <c r="C722" s="2166"/>
    </row>
    <row r="723" spans="1:3">
      <c r="A723" s="2167" t="s">
        <v>722</v>
      </c>
      <c r="B723" s="2168"/>
      <c r="C723" s="2169"/>
    </row>
    <row r="724" spans="1:3">
      <c r="A724" s="2170" t="s">
        <v>723</v>
      </c>
      <c r="B724" s="2171"/>
      <c r="C724" s="2172"/>
    </row>
    <row r="725" spans="1:3">
      <c r="A725" s="2173" t="s">
        <v>724</v>
      </c>
      <c r="B725" s="2174"/>
      <c r="C725" s="2175"/>
    </row>
    <row r="726" spans="1:3">
      <c r="A726" s="2176" t="s">
        <v>725</v>
      </c>
      <c r="B726" s="2177"/>
      <c r="C726" s="2178"/>
    </row>
    <row r="727" spans="1:3">
      <c r="A727" s="2179" t="s">
        <v>726</v>
      </c>
      <c r="B727" s="2180"/>
      <c r="C727" s="2181"/>
    </row>
    <row r="728" spans="1:3">
      <c r="A728" s="2182" t="s">
        <v>727</v>
      </c>
      <c r="B728" s="2183"/>
      <c r="C728" s="2184"/>
    </row>
    <row r="729" spans="1:3">
      <c r="A729" s="2185" t="s">
        <v>728</v>
      </c>
      <c r="B729" s="2186"/>
      <c r="C729" s="2187"/>
    </row>
    <row r="730" spans="1:3">
      <c r="A730" s="2188" t="s">
        <v>729</v>
      </c>
      <c r="B730" s="2189"/>
      <c r="C730" s="2190"/>
    </row>
    <row r="731" spans="1:3">
      <c r="A731" s="2191" t="s">
        <v>730</v>
      </c>
      <c r="B731" s="2192"/>
      <c r="C731" s="2193"/>
    </row>
    <row r="732" spans="1:3">
      <c r="A732" s="2194" t="s">
        <v>731</v>
      </c>
      <c r="B732" s="2195"/>
      <c r="C732" s="2196"/>
    </row>
    <row r="733" spans="1:3">
      <c r="A733" s="2197" t="s">
        <v>732</v>
      </c>
      <c r="B733" s="2198"/>
      <c r="C733" s="2199"/>
    </row>
    <row r="734" spans="1:3">
      <c r="A734" s="2200" t="s">
        <v>733</v>
      </c>
      <c r="B734" s="2201"/>
      <c r="C734" s="2202"/>
    </row>
    <row r="735" spans="1:3">
      <c r="A735" s="2203" t="s">
        <v>734</v>
      </c>
      <c r="B735" s="2204"/>
      <c r="C735" s="2205"/>
    </row>
    <row r="736" spans="1:3">
      <c r="A736" s="2206" t="s">
        <v>735</v>
      </c>
      <c r="B736" s="2207"/>
      <c r="C736" s="2208"/>
    </row>
    <row r="737" spans="1:3">
      <c r="A737" s="2209" t="s">
        <v>736</v>
      </c>
      <c r="B737" s="2210"/>
      <c r="C737" s="2211"/>
    </row>
    <row r="738" spans="1:3">
      <c r="A738" s="2212" t="s">
        <v>737</v>
      </c>
      <c r="B738" s="2213"/>
      <c r="C738" s="2214"/>
    </row>
    <row r="739" spans="1:3">
      <c r="A739" s="2215" t="s">
        <v>738</v>
      </c>
      <c r="B739" s="2216"/>
      <c r="C739" s="2217"/>
    </row>
    <row r="740" spans="1:3">
      <c r="A740" s="2218" t="s">
        <v>739</v>
      </c>
      <c r="B740" s="2219"/>
      <c r="C740" s="2220"/>
    </row>
    <row r="741" spans="1:3">
      <c r="A741" s="2221" t="s">
        <v>740</v>
      </c>
      <c r="B741" s="2222"/>
      <c r="C741" s="2223"/>
    </row>
    <row r="742" spans="1:3">
      <c r="A742" s="2224" t="s">
        <v>741</v>
      </c>
      <c r="B742" s="2225"/>
      <c r="C742" s="2226"/>
    </row>
    <row r="743" spans="1:3">
      <c r="A743" s="2227" t="s">
        <v>742</v>
      </c>
      <c r="B743" s="2228"/>
      <c r="C743" s="2229"/>
    </row>
    <row r="744" spans="1:3">
      <c r="A744" s="2230" t="s">
        <v>743</v>
      </c>
      <c r="B744" s="2231"/>
      <c r="C744" s="2232"/>
    </row>
    <row r="745" spans="1:3">
      <c r="A745" s="2233" t="s">
        <v>744</v>
      </c>
      <c r="B745" s="2234"/>
      <c r="C745" s="2235"/>
    </row>
    <row r="746" spans="1:3">
      <c r="A746" s="2236" t="s">
        <v>745</v>
      </c>
      <c r="B746" s="2237"/>
      <c r="C746" s="2238"/>
    </row>
    <row r="747" spans="1:3">
      <c r="A747" s="2239" t="s">
        <v>746</v>
      </c>
      <c r="B747" s="2240"/>
      <c r="C747" s="2241"/>
    </row>
    <row r="748" spans="1:3">
      <c r="A748" s="2242" t="s">
        <v>747</v>
      </c>
      <c r="B748" s="2243"/>
      <c r="C748" s="2244"/>
    </row>
    <row r="749" spans="1:3">
      <c r="A749" s="2245" t="s">
        <v>748</v>
      </c>
      <c r="B749" s="2246"/>
      <c r="C749" s="2247"/>
    </row>
    <row r="750" spans="1:3">
      <c r="A750" s="2248" t="s">
        <v>749</v>
      </c>
      <c r="B750" s="2249"/>
      <c r="C750" s="2250"/>
    </row>
    <row r="751" spans="1:3">
      <c r="A751" s="2251" t="s">
        <v>750</v>
      </c>
      <c r="B751" s="2252"/>
      <c r="C751" s="2253"/>
    </row>
    <row r="752" spans="1:3">
      <c r="A752" s="2254" t="s">
        <v>751</v>
      </c>
      <c r="B752" s="2255"/>
      <c r="C752" s="2256"/>
    </row>
    <row r="753" spans="1:3">
      <c r="A753" s="2257" t="s">
        <v>752</v>
      </c>
      <c r="B753" s="2258"/>
      <c r="C753" s="2259"/>
    </row>
    <row r="754" spans="1:3">
      <c r="A754" s="2260" t="s">
        <v>753</v>
      </c>
      <c r="B754" s="2261"/>
      <c r="C754" s="2262"/>
    </row>
    <row r="755" spans="1:3">
      <c r="A755" s="2263" t="s">
        <v>754</v>
      </c>
      <c r="B755" s="2264"/>
      <c r="C755" s="2265"/>
    </row>
    <row r="756" spans="1:3">
      <c r="A756" s="2266" t="s">
        <v>755</v>
      </c>
      <c r="B756" s="2267"/>
      <c r="C756" s="2268"/>
    </row>
    <row r="757" spans="1:3">
      <c r="A757" s="2269" t="s">
        <v>756</v>
      </c>
      <c r="B757" s="2270"/>
      <c r="C757" s="2271"/>
    </row>
    <row r="758" spans="1:3">
      <c r="A758" s="2272" t="s">
        <v>757</v>
      </c>
      <c r="B758" s="2273"/>
      <c r="C758" s="2274"/>
    </row>
    <row r="759" spans="1:3">
      <c r="A759" s="2275" t="s">
        <v>758</v>
      </c>
      <c r="B759" s="2276"/>
      <c r="C759" s="2277"/>
    </row>
    <row r="760" spans="1:3">
      <c r="A760" s="2278" t="s">
        <v>759</v>
      </c>
      <c r="B760" s="2279"/>
      <c r="C760" s="2280"/>
    </row>
    <row r="761" spans="1:3">
      <c r="A761" s="2281" t="s">
        <v>760</v>
      </c>
      <c r="B761" s="2282"/>
      <c r="C761" s="2283"/>
    </row>
    <row r="762" spans="1:3">
      <c r="A762" s="2284" t="s">
        <v>761</v>
      </c>
      <c r="B762" s="2285"/>
      <c r="C762" s="2286"/>
    </row>
    <row r="763" spans="1:3">
      <c r="A763" s="2287" t="s">
        <v>762</v>
      </c>
      <c r="B763" s="2288"/>
      <c r="C763" s="2289"/>
    </row>
    <row r="764" spans="1:3">
      <c r="A764" s="2290" t="s">
        <v>763</v>
      </c>
      <c r="B764" s="2291"/>
      <c r="C764" s="2292"/>
    </row>
    <row r="765" spans="1:3">
      <c r="A765" s="2293" t="s">
        <v>764</v>
      </c>
      <c r="B765" s="2294"/>
      <c r="C765" s="2295"/>
    </row>
    <row r="766" spans="1:3">
      <c r="A766" s="2296" t="s">
        <v>765</v>
      </c>
      <c r="B766" s="2297"/>
      <c r="C766" s="2298"/>
    </row>
    <row r="767" spans="1:3">
      <c r="A767" s="2299" t="s">
        <v>766</v>
      </c>
      <c r="B767" s="2300"/>
      <c r="C767" s="2301"/>
    </row>
    <row r="768" spans="1:3">
      <c r="A768" s="2302" t="s">
        <v>767</v>
      </c>
      <c r="B768" s="2303"/>
      <c r="C768" s="2304"/>
    </row>
    <row r="769" spans="1:3">
      <c r="A769" s="2305" t="s">
        <v>768</v>
      </c>
      <c r="B769" s="2306"/>
      <c r="C769" s="2307"/>
    </row>
    <row r="770" spans="1:3">
      <c r="A770" s="2308" t="s">
        <v>769</v>
      </c>
      <c r="B770" s="2309"/>
      <c r="C770" s="2310"/>
    </row>
    <row r="771" spans="1:3">
      <c r="A771" s="2311" t="s">
        <v>770</v>
      </c>
      <c r="B771" s="2312"/>
      <c r="C771" s="2313"/>
    </row>
    <row r="772" spans="1:3">
      <c r="A772" s="2314" t="s">
        <v>771</v>
      </c>
      <c r="B772" s="2315"/>
      <c r="C772" s="2316"/>
    </row>
    <row r="773" spans="1:3">
      <c r="A773" s="2317" t="s">
        <v>772</v>
      </c>
      <c r="B773" s="2318"/>
      <c r="C773" s="2319"/>
    </row>
    <row r="774" spans="1:3">
      <c r="A774" s="2320" t="s">
        <v>773</v>
      </c>
      <c r="B774" s="2321"/>
      <c r="C774" s="2322"/>
    </row>
    <row r="775" spans="1:3">
      <c r="A775" s="2323" t="s">
        <v>774</v>
      </c>
      <c r="B775" s="2324"/>
      <c r="C775" s="2325"/>
    </row>
    <row r="776" spans="1:3">
      <c r="A776" s="2326" t="s">
        <v>775</v>
      </c>
      <c r="B776" s="2327"/>
      <c r="C776" s="2328"/>
    </row>
    <row r="777" spans="1:3">
      <c r="A777" s="2329" t="s">
        <v>776</v>
      </c>
      <c r="B777" s="2330"/>
      <c r="C777" s="2331"/>
    </row>
    <row r="778" spans="1:3">
      <c r="A778" s="2332" t="s">
        <v>777</v>
      </c>
      <c r="B778" s="2333"/>
      <c r="C778" s="2334"/>
    </row>
    <row r="779" spans="1:3">
      <c r="A779" s="2335" t="s">
        <v>778</v>
      </c>
      <c r="B779" s="2336"/>
      <c r="C779" s="2337"/>
    </row>
    <row r="780" spans="1:3">
      <c r="A780" s="2338" t="s">
        <v>779</v>
      </c>
      <c r="B780" s="2339"/>
      <c r="C780" s="2340"/>
    </row>
    <row r="781" spans="1:3">
      <c r="A781" s="2341" t="s">
        <v>780</v>
      </c>
      <c r="B781" s="2342"/>
      <c r="C781" s="2343"/>
    </row>
    <row r="782" spans="1:3">
      <c r="A782" s="2344" t="s">
        <v>781</v>
      </c>
      <c r="B782" s="2345"/>
      <c r="C782" s="2346"/>
    </row>
    <row r="783" spans="1:3">
      <c r="A783" s="2347" t="s">
        <v>782</v>
      </c>
      <c r="B783" s="2348"/>
      <c r="C783" s="2349"/>
    </row>
    <row r="784" spans="1:3">
      <c r="A784" s="2350" t="s">
        <v>783</v>
      </c>
      <c r="B784" s="2351"/>
      <c r="C784" s="2352"/>
    </row>
    <row r="785" spans="1:3">
      <c r="A785" s="2353" t="s">
        <v>784</v>
      </c>
      <c r="B785" s="2354"/>
      <c r="C785" s="2355"/>
    </row>
    <row r="786" spans="1:3">
      <c r="A786" s="2356" t="s">
        <v>785</v>
      </c>
      <c r="B786" s="2357"/>
      <c r="C786" s="2358"/>
    </row>
    <row r="787" spans="1:3">
      <c r="A787" s="2359" t="s">
        <v>786</v>
      </c>
      <c r="B787" s="2360"/>
      <c r="C787" s="2361"/>
    </row>
    <row r="788" spans="1:3">
      <c r="A788" s="2362" t="s">
        <v>787</v>
      </c>
      <c r="B788" s="2363"/>
      <c r="C788" s="2364"/>
    </row>
    <row r="789" spans="1:3">
      <c r="A789" s="2365" t="s">
        <v>788</v>
      </c>
      <c r="B789" s="2366"/>
      <c r="C789" s="2367"/>
    </row>
    <row r="790" spans="1:3">
      <c r="A790" s="2368" t="s">
        <v>789</v>
      </c>
      <c r="B790" s="2369"/>
      <c r="C790" s="2370"/>
    </row>
    <row r="791" spans="1:3">
      <c r="A791" s="2371" t="s">
        <v>790</v>
      </c>
      <c r="B791" s="2372"/>
      <c r="C791" s="2373"/>
    </row>
    <row r="792" spans="1:3">
      <c r="A792" s="2374" t="s">
        <v>791</v>
      </c>
      <c r="B792" s="2375"/>
      <c r="C792" s="2376"/>
    </row>
    <row r="793" spans="1:3">
      <c r="A793" s="2377" t="s">
        <v>792</v>
      </c>
      <c r="B793" s="2378"/>
      <c r="C793" s="2379"/>
    </row>
    <row r="794" spans="1:3">
      <c r="A794" s="2380" t="s">
        <v>793</v>
      </c>
      <c r="B794" s="2381"/>
      <c r="C794" s="2382"/>
    </row>
    <row r="795" spans="1:3">
      <c r="A795" s="2383" t="s">
        <v>794</v>
      </c>
      <c r="B795" s="2384"/>
      <c r="C795" s="2385"/>
    </row>
    <row r="796" spans="1:3">
      <c r="A796" s="2386" t="s">
        <v>795</v>
      </c>
      <c r="B796" s="2387"/>
      <c r="C796" s="2388"/>
    </row>
    <row r="797" spans="1:3">
      <c r="A797" s="2389" t="s">
        <v>796</v>
      </c>
      <c r="B797" s="2390"/>
      <c r="C797" s="2391"/>
    </row>
    <row r="798" spans="1:3">
      <c r="A798" s="2392" t="s">
        <v>797</v>
      </c>
      <c r="B798" s="2393"/>
      <c r="C798" s="2394"/>
    </row>
    <row r="799" spans="1:3">
      <c r="A799" s="2395" t="s">
        <v>798</v>
      </c>
      <c r="B799" s="2396"/>
      <c r="C799" s="2397"/>
    </row>
    <row r="800" spans="1:3">
      <c r="A800" s="2398" t="s">
        <v>799</v>
      </c>
      <c r="B800" s="2399"/>
      <c r="C800" s="2400"/>
    </row>
    <row r="801" spans="1:3">
      <c r="A801" s="2401" t="s">
        <v>800</v>
      </c>
      <c r="B801" s="2402"/>
      <c r="C801" s="2403"/>
    </row>
    <row r="802" spans="1:3">
      <c r="A802" s="2404" t="s">
        <v>801</v>
      </c>
      <c r="B802" s="2405"/>
      <c r="C802" s="2406"/>
    </row>
    <row r="803" spans="1:3">
      <c r="A803" s="2407" t="s">
        <v>802</v>
      </c>
      <c r="B803" s="2408"/>
      <c r="C803" s="2409"/>
    </row>
    <row r="804" spans="1:3">
      <c r="A804" s="2410" t="s">
        <v>803</v>
      </c>
      <c r="B804" s="2411"/>
      <c r="C804" s="2412"/>
    </row>
    <row r="805" spans="1:3">
      <c r="A805" s="2413" t="s">
        <v>804</v>
      </c>
      <c r="B805" s="2414"/>
      <c r="C805" s="2415"/>
    </row>
    <row r="806" spans="1:3">
      <c r="A806" s="2416" t="s">
        <v>805</v>
      </c>
      <c r="B806" s="2417"/>
      <c r="C806" s="2418"/>
    </row>
    <row r="807" spans="1:3">
      <c r="A807" s="2419" t="s">
        <v>806</v>
      </c>
      <c r="B807" s="2420"/>
      <c r="C807" s="2421"/>
    </row>
    <row r="808" spans="1:3">
      <c r="A808" s="2422" t="s">
        <v>807</v>
      </c>
      <c r="B808" s="2423"/>
      <c r="C808" s="2424"/>
    </row>
    <row r="809" spans="1:3">
      <c r="A809" s="2425" t="s">
        <v>808</v>
      </c>
      <c r="B809" s="2426"/>
      <c r="C809" s="2427"/>
    </row>
    <row r="810" spans="1:3">
      <c r="A810" s="2428" t="s">
        <v>809</v>
      </c>
      <c r="B810" s="2429"/>
      <c r="C810" s="2430"/>
    </row>
    <row r="811" spans="1:3">
      <c r="A811" s="2431" t="s">
        <v>810</v>
      </c>
      <c r="B811" s="2432"/>
      <c r="C811" s="2433"/>
    </row>
    <row r="812" spans="1:3">
      <c r="A812" s="2434" t="s">
        <v>811</v>
      </c>
      <c r="B812" s="2435"/>
      <c r="C812" s="2436"/>
    </row>
    <row r="813" spans="1:3">
      <c r="A813" s="2437" t="s">
        <v>812</v>
      </c>
      <c r="B813" s="2438"/>
      <c r="C813" s="2439"/>
    </row>
    <row r="814" spans="1:3">
      <c r="A814" s="2440" t="s">
        <v>813</v>
      </c>
      <c r="B814" s="2441"/>
      <c r="C814" s="2442"/>
    </row>
    <row r="815" spans="1:3">
      <c r="A815" s="2443" t="s">
        <v>814</v>
      </c>
      <c r="B815" s="2444"/>
      <c r="C815" s="2445"/>
    </row>
    <row r="816" spans="1:3">
      <c r="A816" s="2446" t="s">
        <v>815</v>
      </c>
      <c r="B816" s="2447"/>
      <c r="C816" s="2448"/>
    </row>
    <row r="817" spans="1:3">
      <c r="A817" s="2449" t="s">
        <v>816</v>
      </c>
      <c r="B817" s="2450"/>
      <c r="C817" s="2451"/>
    </row>
    <row r="818" spans="1:3">
      <c r="A818" s="2452" t="s">
        <v>817</v>
      </c>
      <c r="B818" s="2453"/>
      <c r="C818" s="2454"/>
    </row>
    <row r="819" spans="1:3">
      <c r="A819" s="2455" t="s">
        <v>818</v>
      </c>
      <c r="B819" s="2456"/>
      <c r="C819" s="2457"/>
    </row>
    <row r="820" spans="1:3">
      <c r="A820" s="2458" t="s">
        <v>819</v>
      </c>
      <c r="B820" s="2459"/>
      <c r="C820" s="2460"/>
    </row>
    <row r="821" spans="1:3">
      <c r="A821" s="2461" t="s">
        <v>820</v>
      </c>
      <c r="B821" s="2462"/>
      <c r="C821" s="2463"/>
    </row>
    <row r="822" spans="1:3">
      <c r="A822" s="2464" t="s">
        <v>821</v>
      </c>
      <c r="B822" s="2465"/>
      <c r="C822" s="2466"/>
    </row>
    <row r="823" spans="1:3">
      <c r="A823" s="2467" t="s">
        <v>822</v>
      </c>
      <c r="B823" s="2468"/>
      <c r="C823" s="2469"/>
    </row>
    <row r="824" spans="1:3">
      <c r="A824" s="2470" t="s">
        <v>823</v>
      </c>
      <c r="B824" s="2471"/>
      <c r="C824" s="2472"/>
    </row>
    <row r="825" spans="1:3">
      <c r="A825" s="2473" t="s">
        <v>824</v>
      </c>
      <c r="B825" s="2474"/>
      <c r="C825" s="2475"/>
    </row>
    <row r="826" spans="1:3">
      <c r="A826" s="2476" t="s">
        <v>825</v>
      </c>
      <c r="B826" s="2477"/>
      <c r="C826" s="2478"/>
    </row>
    <row r="827" spans="1:3">
      <c r="A827" s="2479" t="s">
        <v>826</v>
      </c>
      <c r="B827" s="2480"/>
      <c r="C827" s="2481"/>
    </row>
    <row r="828" spans="1:3">
      <c r="A828" s="2482" t="s">
        <v>827</v>
      </c>
      <c r="B828" s="2483"/>
      <c r="C828" s="2484"/>
    </row>
    <row r="829" spans="1:3">
      <c r="A829" s="2485" t="s">
        <v>828</v>
      </c>
      <c r="B829" s="2486"/>
      <c r="C829" s="2487"/>
    </row>
    <row r="830" spans="1:3">
      <c r="A830" s="2488" t="s">
        <v>829</v>
      </c>
      <c r="B830" s="2489"/>
      <c r="C830" s="2490"/>
    </row>
    <row r="831" spans="1:3">
      <c r="A831" s="2491" t="s">
        <v>830</v>
      </c>
      <c r="B831" s="2492"/>
      <c r="C831" s="2493"/>
    </row>
    <row r="832" spans="1:3">
      <c r="A832" s="2494" t="s">
        <v>831</v>
      </c>
      <c r="B832" s="2495"/>
      <c r="C832" s="2496"/>
    </row>
    <row r="833" spans="1:3">
      <c r="A833" s="2497" t="s">
        <v>832</v>
      </c>
      <c r="B833" s="2498"/>
      <c r="C833" s="2499"/>
    </row>
    <row r="834" spans="1:3">
      <c r="A834" s="2500" t="s">
        <v>833</v>
      </c>
      <c r="B834" s="2501"/>
      <c r="C834" s="2502"/>
    </row>
    <row r="835" spans="1:3">
      <c r="A835" s="2503" t="s">
        <v>834</v>
      </c>
      <c r="B835" s="2504"/>
      <c r="C835" s="2505"/>
    </row>
    <row r="836" spans="1:3">
      <c r="A836" s="2506" t="s">
        <v>835</v>
      </c>
      <c r="B836" s="2507"/>
      <c r="C836" s="2508"/>
    </row>
    <row r="837" spans="1:3">
      <c r="A837" s="2509" t="s">
        <v>836</v>
      </c>
      <c r="B837" s="2510"/>
      <c r="C837" s="2511"/>
    </row>
    <row r="838" spans="1:3">
      <c r="A838" s="2512" t="s">
        <v>837</v>
      </c>
      <c r="B838" s="2513"/>
      <c r="C838" s="2514"/>
    </row>
    <row r="839" spans="1:3">
      <c r="A839" s="2515" t="s">
        <v>838</v>
      </c>
      <c r="B839" s="2516"/>
      <c r="C839" s="2517"/>
    </row>
    <row r="840" spans="1:3">
      <c r="A840" s="2518" t="s">
        <v>839</v>
      </c>
      <c r="B840" s="2519"/>
      <c r="C840" s="2520"/>
    </row>
    <row r="841" spans="1:3">
      <c r="A841" s="2521" t="s">
        <v>840</v>
      </c>
      <c r="B841" s="2522"/>
      <c r="C841" s="2523"/>
    </row>
    <row r="842" spans="1:3">
      <c r="A842" s="2524" t="s">
        <v>841</v>
      </c>
      <c r="B842" s="2525"/>
      <c r="C842" s="2526"/>
    </row>
    <row r="843" spans="1:3">
      <c r="A843" s="2527" t="s">
        <v>842</v>
      </c>
      <c r="B843" s="2528"/>
      <c r="C843" s="2529"/>
    </row>
    <row r="844" spans="1:3">
      <c r="A844" s="2530" t="s">
        <v>843</v>
      </c>
      <c r="B844" s="2531"/>
      <c r="C844" s="2532"/>
    </row>
    <row r="845" spans="1:3">
      <c r="A845" s="2533" t="s">
        <v>844</v>
      </c>
      <c r="B845" s="2534"/>
      <c r="C845" s="2535"/>
    </row>
    <row r="846" spans="1:3">
      <c r="A846" s="2536" t="s">
        <v>845</v>
      </c>
      <c r="B846" s="2537"/>
      <c r="C846" s="2538"/>
    </row>
    <row r="847" spans="1:3">
      <c r="A847" s="2539" t="s">
        <v>846</v>
      </c>
      <c r="B847" s="2540"/>
      <c r="C847" s="2541"/>
    </row>
    <row r="848" spans="1:3">
      <c r="A848" s="2542" t="s">
        <v>847</v>
      </c>
      <c r="B848" s="2543"/>
      <c r="C848" s="2544"/>
    </row>
    <row r="849" spans="1:3">
      <c r="A849" s="2545" t="s">
        <v>848</v>
      </c>
      <c r="B849" s="2546"/>
      <c r="C849" s="2547"/>
    </row>
    <row r="850" spans="1:3">
      <c r="A850" s="2548" t="s">
        <v>849</v>
      </c>
      <c r="B850" s="2549"/>
      <c r="C850" s="2550"/>
    </row>
    <row r="851" spans="1:3">
      <c r="A851" s="2551" t="s">
        <v>850</v>
      </c>
      <c r="B851" s="2552"/>
      <c r="C851" s="2553"/>
    </row>
    <row r="852" spans="1:3">
      <c r="A852" s="2554" t="s">
        <v>851</v>
      </c>
      <c r="B852" s="2555"/>
      <c r="C852" s="2556"/>
    </row>
    <row r="853" spans="1:3">
      <c r="A853" s="2557" t="s">
        <v>852</v>
      </c>
      <c r="B853" s="2558"/>
      <c r="C853" s="2559"/>
    </row>
    <row r="854" spans="1:3">
      <c r="A854" s="2560" t="s">
        <v>853</v>
      </c>
      <c r="B854" s="2561"/>
      <c r="C854" s="2562"/>
    </row>
    <row r="855" spans="1:3">
      <c r="A855" s="2563" t="s">
        <v>854</v>
      </c>
      <c r="B855" s="2564"/>
      <c r="C855" s="2565"/>
    </row>
    <row r="856" spans="1:3">
      <c r="A856" s="2566" t="s">
        <v>855</v>
      </c>
      <c r="B856" s="2567"/>
      <c r="C856" s="2568"/>
    </row>
    <row r="857" spans="1:3">
      <c r="A857" s="2569" t="s">
        <v>856</v>
      </c>
      <c r="B857" s="2570"/>
      <c r="C857" s="2571"/>
    </row>
    <row r="858" spans="1:3">
      <c r="A858" s="2572" t="s">
        <v>857</v>
      </c>
      <c r="B858" s="2573"/>
      <c r="C858" s="2574"/>
    </row>
    <row r="859" spans="1:3">
      <c r="A859" s="2575" t="s">
        <v>858</v>
      </c>
      <c r="B859" s="2576"/>
      <c r="C859" s="2577"/>
    </row>
    <row r="860" spans="1:3">
      <c r="A860" s="2578" t="s">
        <v>859</v>
      </c>
      <c r="B860" s="2579"/>
      <c r="C860" s="2580"/>
    </row>
    <row r="861" spans="1:3">
      <c r="A861" s="2581" t="s">
        <v>860</v>
      </c>
      <c r="B861" s="2582"/>
      <c r="C861" s="2583"/>
    </row>
    <row r="862" spans="1:3">
      <c r="A862" s="2584" t="s">
        <v>861</v>
      </c>
      <c r="B862" s="2585"/>
      <c r="C862" s="2586"/>
    </row>
    <row r="863" spans="1:3">
      <c r="A863" s="2587" t="s">
        <v>862</v>
      </c>
      <c r="B863" s="2588"/>
      <c r="C863" s="2589"/>
    </row>
    <row r="864" spans="1:3">
      <c r="A864" s="2590" t="s">
        <v>863</v>
      </c>
      <c r="B864" s="2591"/>
      <c r="C864" s="2592"/>
    </row>
    <row r="865" spans="1:3">
      <c r="A865" s="2593" t="s">
        <v>864</v>
      </c>
      <c r="B865" s="2594"/>
      <c r="C865" s="2595"/>
    </row>
    <row r="866" spans="1:3">
      <c r="A866" s="2596" t="s">
        <v>865</v>
      </c>
      <c r="B866" s="2597"/>
      <c r="C866" s="2598"/>
    </row>
    <row r="867" spans="1:3">
      <c r="A867" s="2599" t="s">
        <v>866</v>
      </c>
      <c r="B867" s="2600"/>
      <c r="C867" s="2601"/>
    </row>
    <row r="868" spans="1:3">
      <c r="A868" s="2602" t="s">
        <v>867</v>
      </c>
      <c r="B868" s="2603"/>
      <c r="C868" s="2604"/>
    </row>
    <row r="869" spans="1:3">
      <c r="A869" s="2605" t="s">
        <v>868</v>
      </c>
      <c r="B869" s="2606"/>
      <c r="C869" s="2607"/>
    </row>
    <row r="870" spans="1:3">
      <c r="A870" s="2608" t="s">
        <v>869</v>
      </c>
      <c r="B870" s="2609"/>
      <c r="C870" s="2610"/>
    </row>
    <row r="871" spans="1:3">
      <c r="A871" s="2611" t="s">
        <v>870</v>
      </c>
      <c r="B871" s="2612"/>
      <c r="C871" s="2613"/>
    </row>
    <row r="872" spans="1:3">
      <c r="A872" s="2614" t="s">
        <v>871</v>
      </c>
      <c r="B872" s="2615"/>
      <c r="C872" s="2616"/>
    </row>
    <row r="873" spans="1:3">
      <c r="A873" s="2617" t="s">
        <v>872</v>
      </c>
      <c r="B873" s="2618"/>
      <c r="C873" s="2619"/>
    </row>
    <row r="874" spans="1:3">
      <c r="A874" s="2620" t="s">
        <v>873</v>
      </c>
      <c r="B874" s="2621"/>
      <c r="C874" s="2622"/>
    </row>
    <row r="875" spans="1:3">
      <c r="A875" s="2623" t="s">
        <v>874</v>
      </c>
      <c r="B875" s="2624"/>
      <c r="C875" s="2625"/>
    </row>
    <row r="876" spans="1:3">
      <c r="A876" s="2626" t="s">
        <v>875</v>
      </c>
      <c r="B876" s="2627"/>
      <c r="C876" s="2628"/>
    </row>
    <row r="877" spans="1:3">
      <c r="A877" s="2629" t="s">
        <v>876</v>
      </c>
      <c r="B877" s="2630"/>
      <c r="C877" s="2631"/>
    </row>
    <row r="878" spans="1:3">
      <c r="A878" s="2632" t="s">
        <v>877</v>
      </c>
      <c r="B878" s="2633"/>
      <c r="C878" s="2634"/>
    </row>
    <row r="879" spans="1:3">
      <c r="A879" s="2635" t="s">
        <v>878</v>
      </c>
      <c r="B879" s="2636"/>
      <c r="C879" s="2637"/>
    </row>
    <row r="880" spans="1:3">
      <c r="A880" s="2638" t="s">
        <v>879</v>
      </c>
      <c r="B880" s="2639"/>
      <c r="C880" s="2640"/>
    </row>
    <row r="881" spans="1:3">
      <c r="A881" s="2641" t="s">
        <v>880</v>
      </c>
      <c r="B881" s="2642"/>
      <c r="C881" s="2643"/>
    </row>
    <row r="882" spans="1:3">
      <c r="A882" s="2644" t="s">
        <v>881</v>
      </c>
      <c r="B882" s="2645"/>
      <c r="C882" s="2646"/>
    </row>
    <row r="883" spans="1:3">
      <c r="A883" s="2647" t="s">
        <v>882</v>
      </c>
      <c r="B883" s="2648"/>
      <c r="C883" s="2649"/>
    </row>
    <row r="884" spans="1:3">
      <c r="A884" s="2650" t="s">
        <v>883</v>
      </c>
      <c r="B884" s="2651"/>
      <c r="C884" s="2652"/>
    </row>
    <row r="885" spans="1:3">
      <c r="A885" s="2653" t="s">
        <v>884</v>
      </c>
      <c r="B885" s="2654"/>
      <c r="C885" s="2655"/>
    </row>
    <row r="886" spans="1:3">
      <c r="A886" s="2656" t="s">
        <v>885</v>
      </c>
      <c r="B886" s="2657"/>
      <c r="C886" s="2658"/>
    </row>
    <row r="887" spans="1:3">
      <c r="A887" s="2659" t="s">
        <v>886</v>
      </c>
      <c r="B887" s="2660"/>
      <c r="C887" s="2661"/>
    </row>
    <row r="888" spans="1:3">
      <c r="A888" s="2662" t="s">
        <v>887</v>
      </c>
      <c r="B888" s="2663"/>
      <c r="C888" s="2664"/>
    </row>
    <row r="889" spans="1:3">
      <c r="A889" s="2665" t="s">
        <v>888</v>
      </c>
      <c r="B889" s="2666"/>
      <c r="C889" s="2667"/>
    </row>
    <row r="890" spans="1:3">
      <c r="A890" s="2668" t="s">
        <v>889</v>
      </c>
      <c r="B890" s="2669"/>
      <c r="C890" s="2670"/>
    </row>
    <row r="891" spans="1:3">
      <c r="A891" s="2671" t="s">
        <v>890</v>
      </c>
      <c r="B891" s="2672"/>
      <c r="C891" s="2673"/>
    </row>
    <row r="892" spans="1:3">
      <c r="A892" s="2674" t="s">
        <v>891</v>
      </c>
      <c r="B892" s="2675"/>
      <c r="C892" s="2676"/>
    </row>
    <row r="893" spans="1:3">
      <c r="A893" s="2677" t="s">
        <v>892</v>
      </c>
      <c r="B893" s="2678"/>
      <c r="C893" s="2679"/>
    </row>
    <row r="894" spans="1:3">
      <c r="A894" s="2680" t="s">
        <v>893</v>
      </c>
      <c r="B894" s="2681"/>
      <c r="C894" s="2682"/>
    </row>
    <row r="895" spans="1:3">
      <c r="A895" s="2683" t="s">
        <v>894</v>
      </c>
      <c r="B895" s="2684"/>
      <c r="C895" s="2685"/>
    </row>
    <row r="896" spans="1:3">
      <c r="A896" s="2686" t="s">
        <v>895</v>
      </c>
      <c r="B896" s="2687"/>
      <c r="C896" s="2688"/>
    </row>
    <row r="897" spans="1:3">
      <c r="A897" s="2689" t="s">
        <v>896</v>
      </c>
      <c r="B897" s="2690"/>
      <c r="C897" s="2691"/>
    </row>
    <row r="898" spans="1:3">
      <c r="A898" s="2692" t="s">
        <v>897</v>
      </c>
      <c r="B898" s="2693"/>
      <c r="C898" s="2694"/>
    </row>
    <row r="899" spans="1:3">
      <c r="A899" s="2695" t="s">
        <v>898</v>
      </c>
      <c r="B899" s="2696"/>
      <c r="C899" s="2697"/>
    </row>
    <row r="900" spans="1:3">
      <c r="A900" s="2698" t="s">
        <v>899</v>
      </c>
      <c r="B900" s="2699"/>
      <c r="C900" s="2700"/>
    </row>
    <row r="901" spans="1:3">
      <c r="A901" s="2701" t="s">
        <v>900</v>
      </c>
      <c r="B901" s="2702"/>
      <c r="C901" s="2703"/>
    </row>
    <row r="902" spans="1:3">
      <c r="A902" s="2704" t="s">
        <v>901</v>
      </c>
      <c r="B902" s="2705"/>
      <c r="C902" s="2706"/>
    </row>
    <row r="903" spans="1:3">
      <c r="A903" s="2707" t="s">
        <v>902</v>
      </c>
      <c r="B903" s="2708"/>
      <c r="C903" s="2709"/>
    </row>
    <row r="904" spans="1:3">
      <c r="A904" s="2710" t="s">
        <v>903</v>
      </c>
      <c r="B904" s="2711"/>
      <c r="C904" s="2712"/>
    </row>
    <row r="905" spans="1:3">
      <c r="A905" s="2713" t="s">
        <v>904</v>
      </c>
      <c r="B905" s="2714"/>
      <c r="C905" s="2715"/>
    </row>
    <row r="906" spans="1:3">
      <c r="A906" s="2716" t="s">
        <v>905</v>
      </c>
      <c r="B906" s="2717"/>
      <c r="C906" s="2718"/>
    </row>
    <row r="907" spans="1:3">
      <c r="A907" s="2719" t="s">
        <v>906</v>
      </c>
      <c r="B907" s="2720"/>
      <c r="C907" s="2721"/>
    </row>
    <row r="908" spans="1:3">
      <c r="A908" s="2722" t="s">
        <v>907</v>
      </c>
      <c r="B908" s="2723"/>
      <c r="C908" s="2724"/>
    </row>
    <row r="909" spans="1:3">
      <c r="A909" s="2725" t="s">
        <v>908</v>
      </c>
      <c r="B909" s="2726"/>
      <c r="C909" s="2727"/>
    </row>
    <row r="910" spans="1:3">
      <c r="A910" s="2728" t="s">
        <v>909</v>
      </c>
      <c r="B910" s="2729"/>
      <c r="C910" s="2730"/>
    </row>
    <row r="911" spans="1:3">
      <c r="A911" s="2731" t="s">
        <v>910</v>
      </c>
      <c r="B911" s="2732"/>
      <c r="C911" s="2733"/>
    </row>
    <row r="912" spans="1:3">
      <c r="A912" s="2734" t="s">
        <v>911</v>
      </c>
      <c r="B912" s="2735"/>
      <c r="C912" s="2736"/>
    </row>
    <row r="913" spans="1:3">
      <c r="A913" s="2737" t="s">
        <v>912</v>
      </c>
      <c r="B913" s="2738"/>
      <c r="C913" s="2739"/>
    </row>
    <row r="914" spans="1:3">
      <c r="A914" s="2740" t="s">
        <v>913</v>
      </c>
      <c r="B914" s="2741"/>
      <c r="C914" s="2742"/>
    </row>
    <row r="915" spans="1:3">
      <c r="A915" s="2743" t="s">
        <v>914</v>
      </c>
      <c r="B915" s="2744"/>
      <c r="C915" s="2745"/>
    </row>
    <row r="916" spans="1:3">
      <c r="A916" s="2746" t="s">
        <v>915</v>
      </c>
      <c r="B916" s="2747"/>
      <c r="C916" s="2748"/>
    </row>
    <row r="917" spans="1:3">
      <c r="A917" s="2749" t="s">
        <v>916</v>
      </c>
      <c r="B917" s="2750"/>
      <c r="C917" s="2751"/>
    </row>
    <row r="918" spans="1:3">
      <c r="A918" s="2752" t="s">
        <v>917</v>
      </c>
      <c r="B918" s="2753"/>
      <c r="C918" s="2754"/>
    </row>
    <row r="919" spans="1:3">
      <c r="A919" s="2755" t="s">
        <v>918</v>
      </c>
      <c r="B919" s="2756"/>
      <c r="C919" s="2757"/>
    </row>
    <row r="920" spans="1:3">
      <c r="A920" s="2758" t="s">
        <v>919</v>
      </c>
      <c r="B920" s="2759"/>
      <c r="C920" s="2760"/>
    </row>
    <row r="921" spans="1:3">
      <c r="A921" s="2761" t="s">
        <v>920</v>
      </c>
      <c r="B921" s="2762"/>
      <c r="C921" s="2763"/>
    </row>
    <row r="922" spans="1:3">
      <c r="A922" s="2764" t="s">
        <v>921</v>
      </c>
      <c r="B922" s="2765"/>
      <c r="C922" s="2766"/>
    </row>
    <row r="923" spans="1:3">
      <c r="A923" s="2767" t="s">
        <v>922</v>
      </c>
      <c r="B923" s="2768"/>
      <c r="C923" s="2769"/>
    </row>
    <row r="924" spans="1:3">
      <c r="A924" s="2770" t="s">
        <v>923</v>
      </c>
      <c r="B924" s="2771"/>
      <c r="C924" s="2772"/>
    </row>
    <row r="925" spans="1:3">
      <c r="A925" s="2773" t="s">
        <v>924</v>
      </c>
      <c r="B925" s="2774"/>
      <c r="C925" s="2775"/>
    </row>
    <row r="926" spans="1:3">
      <c r="A926" s="2776" t="s">
        <v>925</v>
      </c>
      <c r="B926" s="2777"/>
      <c r="C926" s="2778"/>
    </row>
    <row r="927" spans="1:3">
      <c r="A927" s="2779" t="s">
        <v>926</v>
      </c>
      <c r="B927" s="2780"/>
      <c r="C927" s="2781"/>
    </row>
    <row r="928" spans="1:3">
      <c r="A928" s="2782" t="s">
        <v>927</v>
      </c>
      <c r="B928" s="2783"/>
      <c r="C928" s="2784"/>
    </row>
    <row r="929" spans="1:3">
      <c r="A929" s="2785" t="s">
        <v>928</v>
      </c>
      <c r="B929" s="2786"/>
      <c r="C929" s="2787"/>
    </row>
    <row r="930" spans="1:3">
      <c r="A930" s="2788" t="s">
        <v>929</v>
      </c>
      <c r="B930" s="2789"/>
      <c r="C930" s="2790"/>
    </row>
    <row r="931" spans="1:3">
      <c r="A931" s="2791" t="s">
        <v>930</v>
      </c>
      <c r="B931" s="2792"/>
      <c r="C931" s="2793"/>
    </row>
    <row r="932" spans="1:3">
      <c r="A932" s="2794" t="s">
        <v>931</v>
      </c>
      <c r="B932" s="2795"/>
      <c r="C932" s="2796"/>
    </row>
    <row r="933" spans="1:3">
      <c r="A933" s="2797" t="s">
        <v>932</v>
      </c>
      <c r="B933" s="2798"/>
      <c r="C933" s="2799"/>
    </row>
    <row r="934" spans="1:3">
      <c r="A934" s="2800" t="s">
        <v>933</v>
      </c>
      <c r="B934" s="2801"/>
      <c r="C934" s="2802"/>
    </row>
    <row r="935" spans="1:3">
      <c r="A935" s="2803" t="s">
        <v>934</v>
      </c>
      <c r="B935" s="2804"/>
      <c r="C935" s="2805"/>
    </row>
    <row r="936" spans="1:3">
      <c r="A936" s="2806" t="s">
        <v>935</v>
      </c>
      <c r="B936" s="2807"/>
      <c r="C936" s="2808"/>
    </row>
    <row r="937" spans="1:3">
      <c r="A937" s="2809" t="s">
        <v>936</v>
      </c>
      <c r="B937" s="2810"/>
      <c r="C937" s="2811"/>
    </row>
    <row r="938" spans="1:3">
      <c r="A938" s="2812" t="s">
        <v>937</v>
      </c>
      <c r="B938" s="2813"/>
      <c r="C938" s="2814"/>
    </row>
    <row r="939" spans="1:3">
      <c r="A939" s="2815" t="s">
        <v>938</v>
      </c>
      <c r="B939" s="2816"/>
      <c r="C939" s="2817"/>
    </row>
    <row r="940" spans="1:3">
      <c r="A940" s="2818" t="s">
        <v>939</v>
      </c>
      <c r="B940" s="2819"/>
      <c r="C940" s="2820"/>
    </row>
    <row r="941" spans="1:3">
      <c r="A941" s="2821" t="s">
        <v>940</v>
      </c>
      <c r="B941" s="2822"/>
      <c r="C941" s="2823"/>
    </row>
    <row r="942" spans="1:3">
      <c r="A942" s="2824" t="s">
        <v>941</v>
      </c>
      <c r="B942" s="2825"/>
      <c r="C942" s="2826"/>
    </row>
    <row r="943" spans="1:3">
      <c r="A943" s="2827" t="s">
        <v>942</v>
      </c>
      <c r="B943" s="2828"/>
      <c r="C943" s="2829"/>
    </row>
    <row r="944" spans="1:3">
      <c r="A944" s="2830" t="s">
        <v>943</v>
      </c>
      <c r="B944" s="2831"/>
      <c r="C944" s="2832"/>
    </row>
    <row r="945" spans="1:3">
      <c r="A945" s="2833" t="s">
        <v>944</v>
      </c>
      <c r="B945" s="2834"/>
      <c r="C945" s="2835"/>
    </row>
    <row r="946" spans="1:3">
      <c r="A946" s="2836" t="s">
        <v>945</v>
      </c>
      <c r="B946" s="2837"/>
      <c r="C946" s="2838"/>
    </row>
    <row r="947" spans="1:3">
      <c r="A947" s="2839" t="s">
        <v>946</v>
      </c>
      <c r="B947" s="2840"/>
      <c r="C947" s="2841"/>
    </row>
    <row r="948" spans="1:3">
      <c r="A948" s="2842" t="s">
        <v>947</v>
      </c>
      <c r="B948" s="2843"/>
      <c r="C948" s="2844"/>
    </row>
    <row r="949" spans="1:3">
      <c r="A949" s="2845" t="s">
        <v>948</v>
      </c>
      <c r="B949" s="2846"/>
      <c r="C949" s="2847"/>
    </row>
    <row r="950" spans="1:3">
      <c r="A950" s="2848" t="s">
        <v>949</v>
      </c>
      <c r="B950" s="2849"/>
      <c r="C950" s="2850"/>
    </row>
    <row r="951" spans="1:3">
      <c r="A951" s="2851" t="s">
        <v>950</v>
      </c>
      <c r="B951" s="2852"/>
      <c r="C951" s="2853"/>
    </row>
    <row r="952" spans="1:3">
      <c r="A952" s="2854" t="s">
        <v>951</v>
      </c>
      <c r="B952" s="2855"/>
      <c r="C952" s="2856"/>
    </row>
    <row r="953" spans="1:3">
      <c r="A953" s="2857" t="s">
        <v>952</v>
      </c>
      <c r="B953" s="2858"/>
      <c r="C953" s="2859"/>
    </row>
    <row r="954" spans="1:3">
      <c r="A954" s="2860" t="s">
        <v>953</v>
      </c>
      <c r="B954" s="2861"/>
      <c r="C954" s="2862"/>
    </row>
    <row r="955" spans="1:3">
      <c r="A955" s="2863" t="s">
        <v>954</v>
      </c>
      <c r="B955" s="2864"/>
      <c r="C955" s="2865"/>
    </row>
    <row r="956" spans="1:3">
      <c r="A956" s="2866" t="s">
        <v>955</v>
      </c>
      <c r="B956" s="2867"/>
      <c r="C956" s="2868"/>
    </row>
    <row r="957" spans="1:3">
      <c r="A957" s="2869" t="s">
        <v>956</v>
      </c>
      <c r="B957" s="2870"/>
      <c r="C957" s="2871"/>
    </row>
    <row r="958" spans="1:3">
      <c r="A958" s="2872" t="s">
        <v>957</v>
      </c>
      <c r="B958" s="2873"/>
      <c r="C958" s="2874"/>
    </row>
    <row r="959" spans="1:3">
      <c r="A959" s="2875" t="s">
        <v>958</v>
      </c>
      <c r="B959" s="2876"/>
      <c r="C959" s="2877"/>
    </row>
    <row r="960" spans="1:3">
      <c r="A960" s="2878" t="s">
        <v>959</v>
      </c>
      <c r="B960" s="2879"/>
      <c r="C960" s="2880"/>
    </row>
    <row r="961" spans="1:3">
      <c r="A961" s="2881" t="s">
        <v>960</v>
      </c>
      <c r="B961" s="2882"/>
      <c r="C961" s="2883"/>
    </row>
    <row r="962" spans="1:3">
      <c r="A962" s="2884" t="s">
        <v>961</v>
      </c>
      <c r="B962" s="2885"/>
      <c r="C962" s="2886"/>
    </row>
    <row r="963" spans="1:3">
      <c r="A963" s="2887" t="s">
        <v>962</v>
      </c>
      <c r="B963" s="2888"/>
      <c r="C963" s="2889"/>
    </row>
    <row r="964" spans="1:3">
      <c r="A964" s="2890" t="s">
        <v>963</v>
      </c>
      <c r="B964" s="2891"/>
      <c r="C964" s="2892"/>
    </row>
    <row r="965" spans="1:3">
      <c r="A965" s="2893" t="s">
        <v>964</v>
      </c>
      <c r="B965" s="2894"/>
      <c r="C965" s="2895"/>
    </row>
    <row r="966" spans="1:3">
      <c r="A966" s="2896" t="s">
        <v>965</v>
      </c>
      <c r="B966" s="2897"/>
      <c r="C966" s="2898"/>
    </row>
    <row r="967" spans="1:3">
      <c r="A967" s="2899" t="s">
        <v>966</v>
      </c>
      <c r="B967" s="2900"/>
      <c r="C967" s="2901"/>
    </row>
    <row r="968" spans="1:3">
      <c r="A968" s="2902" t="s">
        <v>967</v>
      </c>
      <c r="B968" s="2903"/>
      <c r="C968" s="2904"/>
    </row>
    <row r="969" spans="1:3">
      <c r="A969" s="2905" t="s">
        <v>968</v>
      </c>
      <c r="B969" s="2906"/>
      <c r="C969" s="2907"/>
    </row>
    <row r="970" spans="1:3">
      <c r="A970" s="2908" t="s">
        <v>969</v>
      </c>
      <c r="B970" s="2909"/>
      <c r="C970" s="2910"/>
    </row>
    <row r="971" spans="1:3">
      <c r="A971" s="2911" t="s">
        <v>970</v>
      </c>
      <c r="B971" s="2912"/>
      <c r="C971" s="2913"/>
    </row>
    <row r="972" spans="1:3">
      <c r="A972" s="2914" t="s">
        <v>971</v>
      </c>
      <c r="B972" s="2915"/>
      <c r="C972" s="2916"/>
    </row>
    <row r="973" spans="1:3">
      <c r="A973" s="2917" t="s">
        <v>972</v>
      </c>
      <c r="B973" s="2918"/>
      <c r="C973" s="2919"/>
    </row>
    <row r="974" spans="1:3">
      <c r="A974" s="2920" t="s">
        <v>973</v>
      </c>
      <c r="B974" s="2921"/>
      <c r="C974" s="2922"/>
    </row>
    <row r="975" spans="1:3">
      <c r="A975" s="2923" t="s">
        <v>974</v>
      </c>
      <c r="B975" s="2924"/>
      <c r="C975" s="2925"/>
    </row>
    <row r="976" spans="1:3">
      <c r="A976" s="2926" t="s">
        <v>975</v>
      </c>
      <c r="B976" s="2927"/>
      <c r="C976" s="2928"/>
    </row>
    <row r="977" spans="1:3">
      <c r="A977" s="2929" t="s">
        <v>976</v>
      </c>
      <c r="B977" s="2930"/>
      <c r="C977" s="2931"/>
    </row>
    <row r="978" spans="1:3">
      <c r="A978" s="2932" t="s">
        <v>977</v>
      </c>
      <c r="B978" s="2933"/>
      <c r="C978" s="2934"/>
    </row>
    <row r="979" spans="1:3">
      <c r="A979" s="2935" t="s">
        <v>978</v>
      </c>
      <c r="B979" s="2936"/>
      <c r="C979" s="2937"/>
    </row>
    <row r="980" spans="1:3">
      <c r="A980" s="2938" t="s">
        <v>979</v>
      </c>
      <c r="B980" s="2939"/>
      <c r="C980" s="2940"/>
    </row>
    <row r="981" spans="1:3">
      <c r="A981" s="2941" t="s">
        <v>980</v>
      </c>
      <c r="B981" s="2942"/>
      <c r="C981" s="2943"/>
    </row>
    <row r="982" spans="1:3">
      <c r="A982" s="2944" t="s">
        <v>981</v>
      </c>
      <c r="B982" s="2945"/>
      <c r="C982" s="2946"/>
    </row>
    <row r="983" spans="1:3">
      <c r="A983" s="2947" t="s">
        <v>982</v>
      </c>
      <c r="B983" s="2948"/>
      <c r="C983" s="2949"/>
    </row>
    <row r="984" spans="1:3">
      <c r="A984" s="2950" t="s">
        <v>983</v>
      </c>
      <c r="B984" s="2951"/>
      <c r="C984" s="2952"/>
    </row>
    <row r="985" spans="1:3">
      <c r="A985" s="2953" t="s">
        <v>984</v>
      </c>
      <c r="B985" s="2954"/>
      <c r="C985" s="2955"/>
    </row>
    <row r="986" spans="1:3">
      <c r="A986" s="2956" t="s">
        <v>985</v>
      </c>
      <c r="B986" s="2957"/>
      <c r="C986" s="2958"/>
    </row>
    <row r="987" spans="1:3">
      <c r="A987" s="2959" t="s">
        <v>986</v>
      </c>
      <c r="B987" s="2960"/>
      <c r="C987" s="2961"/>
    </row>
    <row r="988" spans="1:3">
      <c r="A988" s="2962" t="s">
        <v>987</v>
      </c>
      <c r="B988" s="2963"/>
      <c r="C988" s="2964"/>
    </row>
    <row r="989" spans="1:3">
      <c r="A989" s="2965" t="s">
        <v>988</v>
      </c>
      <c r="B989" s="2966"/>
      <c r="C989" s="2967"/>
    </row>
    <row r="990" spans="1:3">
      <c r="A990" s="2968" t="s">
        <v>989</v>
      </c>
      <c r="B990" s="2969"/>
      <c r="C990" s="2970"/>
    </row>
    <row r="991" spans="1:3">
      <c r="A991" s="2971" t="s">
        <v>990</v>
      </c>
      <c r="B991" s="2972"/>
      <c r="C991" s="2973"/>
    </row>
    <row r="992" spans="1:3">
      <c r="A992" s="2974" t="s">
        <v>991</v>
      </c>
      <c r="B992" s="2975"/>
      <c r="C992" s="2976"/>
    </row>
    <row r="993" spans="1:3">
      <c r="A993" s="2977" t="s">
        <v>992</v>
      </c>
      <c r="B993" s="2978"/>
      <c r="C993" s="2979"/>
    </row>
    <row r="994" spans="1:3">
      <c r="A994" s="2980" t="s">
        <v>993</v>
      </c>
      <c r="B994" s="2981"/>
      <c r="C994" s="2982"/>
    </row>
    <row r="995" spans="1:3">
      <c r="A995" s="2983" t="s">
        <v>994</v>
      </c>
      <c r="B995" s="2984"/>
      <c r="C995" s="2985"/>
    </row>
    <row r="996" spans="1:3">
      <c r="A996" s="2986" t="s">
        <v>995</v>
      </c>
      <c r="B996" s="2987"/>
      <c r="C996" s="2988"/>
    </row>
    <row r="997" spans="1:3">
      <c r="A997" s="2989" t="s">
        <v>996</v>
      </c>
      <c r="B997" s="2990"/>
      <c r="C997" s="2991"/>
    </row>
    <row r="998" spans="1:3">
      <c r="A998" s="2992" t="s">
        <v>997</v>
      </c>
      <c r="B998" s="2993"/>
      <c r="C998" s="2994"/>
    </row>
    <row r="999" spans="1:3">
      <c r="A999" s="2995" t="s">
        <v>998</v>
      </c>
      <c r="B999" s="2996"/>
      <c r="C999" s="2997"/>
    </row>
    <row r="1000" spans="1:3">
      <c r="A1000" s="2998" t="s">
        <v>999</v>
      </c>
      <c r="B1000" s="2999"/>
      <c r="C1000" s="3000"/>
    </row>
    <row r="1001" spans="1:3">
      <c r="A1001" s="3001" t="s">
        <v>1000</v>
      </c>
      <c r="B1001" s="3002"/>
      <c r="C1001" s="3003"/>
    </row>
    <row r="1002" spans="1:3">
      <c r="A1002" s="3004" t="s">
        <v>1001</v>
      </c>
      <c r="B1002" s="3005"/>
      <c r="C1002" s="3006"/>
    </row>
    <row r="1003" spans="1:3">
      <c r="A1003" s="3007" t="s">
        <v>1002</v>
      </c>
      <c r="B1003" s="3008"/>
      <c r="C1003" s="3009"/>
    </row>
    <row r="1004" spans="1:3">
      <c r="A1004" s="3010" t="s">
        <v>1003</v>
      </c>
      <c r="B1004" s="3011"/>
      <c r="C1004" s="3012"/>
    </row>
    <row r="1005" spans="1:3">
      <c r="A1005" s="3013" t="s">
        <v>1004</v>
      </c>
      <c r="B1005" s="3014"/>
      <c r="C1005" s="3015"/>
    </row>
    <row r="1006" spans="1:3">
      <c r="A1006" s="3016" t="s">
        <v>1005</v>
      </c>
      <c r="B1006" s="3017"/>
      <c r="C1006" s="3018"/>
    </row>
    <row r="1007" spans="1:3">
      <c r="A1007" s="3019" t="s">
        <v>1006</v>
      </c>
      <c r="B1007" s="3020"/>
      <c r="C1007" s="3021"/>
    </row>
    <row r="1008" spans="1:3">
      <c r="A1008" s="3022" t="s">
        <v>1007</v>
      </c>
      <c r="B1008" s="3023"/>
      <c r="C1008" s="3024"/>
    </row>
    <row r="1009" spans="1:3">
      <c r="A1009" s="3025" t="s">
        <v>1008</v>
      </c>
      <c r="B1009" s="3026"/>
      <c r="C1009" s="3027"/>
    </row>
    <row r="1010" spans="1:3">
      <c r="A1010" s="3028" t="s">
        <v>1009</v>
      </c>
      <c r="B1010" s="3029"/>
      <c r="C1010" s="3030"/>
    </row>
    <row r="1011" spans="1:3">
      <c r="A1011" s="3031" t="s">
        <v>1010</v>
      </c>
      <c r="B1011" s="3032"/>
      <c r="C1011" s="3033"/>
    </row>
    <row r="1012" spans="1:3">
      <c r="A1012" s="3034" t="s">
        <v>1011</v>
      </c>
      <c r="B1012" s="3035"/>
      <c r="C1012" s="3036"/>
    </row>
    <row r="1013" spans="1:3">
      <c r="A1013" s="3037" t="s">
        <v>1012</v>
      </c>
      <c r="B1013" s="3038"/>
      <c r="C1013" s="3039"/>
    </row>
    <row r="1014" spans="1:3">
      <c r="A1014" s="3040" t="s">
        <v>1013</v>
      </c>
      <c r="B1014" s="3041"/>
      <c r="C1014" s="3042"/>
    </row>
    <row r="1015" spans="1:3">
      <c r="A1015" s="3043" t="s">
        <v>1014</v>
      </c>
      <c r="B1015" s="3044"/>
      <c r="C1015" s="3045"/>
    </row>
    <row r="1016" spans="1:3">
      <c r="A1016" s="3046" t="s">
        <v>1015</v>
      </c>
      <c r="B1016" s="3047"/>
      <c r="C1016" s="3048"/>
    </row>
    <row r="1017" spans="1:3">
      <c r="A1017" s="3049" t="s">
        <v>1016</v>
      </c>
      <c r="B1017" s="3050"/>
      <c r="C1017" s="3051"/>
    </row>
    <row r="1018" spans="1:3">
      <c r="A1018" s="3052" t="s">
        <v>1017</v>
      </c>
      <c r="B1018" s="3053"/>
      <c r="C1018" s="3054"/>
    </row>
    <row r="1019" spans="1:3">
      <c r="A1019" s="3055" t="s">
        <v>1018</v>
      </c>
      <c r="B1019" s="3056"/>
      <c r="C1019" s="3057"/>
    </row>
    <row r="1020" spans="1:3">
      <c r="A1020" s="3058" t="s">
        <v>1019</v>
      </c>
      <c r="B1020" s="3059"/>
      <c r="C1020" s="3060"/>
    </row>
    <row r="1021" spans="1:3">
      <c r="A1021" s="3061" t="s">
        <v>1020</v>
      </c>
      <c r="B1021" s="3062"/>
      <c r="C1021" s="3063"/>
    </row>
    <row r="1022" spans="1:3">
      <c r="A1022" s="3064" t="s">
        <v>1021</v>
      </c>
      <c r="B1022" s="3065"/>
      <c r="C1022" s="3066"/>
    </row>
    <row r="1023" spans="1:3">
      <c r="A1023" s="3067" t="s">
        <v>1022</v>
      </c>
      <c r="B1023" s="3068"/>
      <c r="C1023" s="3069"/>
    </row>
    <row r="1024" spans="1:3" ht="15.75">
      <c r="A1024" s="3070" t="s">
        <v>1023</v>
      </c>
      <c r="B1024" s="3071"/>
      <c r="C1024" s="3072"/>
    </row>
    <row r="1025" spans="1:3">
      <c r="A1025" s="3073" t="s">
        <v>1024</v>
      </c>
      <c r="B1025" s="3074"/>
      <c r="C1025" s="3075"/>
    </row>
    <row r="1026" spans="1:3">
      <c r="A1026" s="3076" t="s">
        <v>1025</v>
      </c>
      <c r="B1026" s="3077"/>
      <c r="C1026" s="3078"/>
    </row>
    <row r="1027" spans="1:3">
      <c r="A1027" s="3079" t="s">
        <v>1026</v>
      </c>
      <c r="B1027" s="3080"/>
      <c r="C1027" s="3081"/>
    </row>
    <row r="1028" spans="1:3">
      <c r="A1028" s="3082" t="s">
        <v>1027</v>
      </c>
      <c r="B1028" s="3083"/>
      <c r="C1028" s="3084"/>
    </row>
    <row r="1029" spans="1:3">
      <c r="A1029" s="3085" t="s">
        <v>1028</v>
      </c>
      <c r="B1029" s="3086"/>
      <c r="C1029" s="3087"/>
    </row>
    <row r="1030" spans="1:3">
      <c r="A1030" s="3088" t="s">
        <v>1029</v>
      </c>
      <c r="B1030" s="3089"/>
      <c r="C1030" s="3090"/>
    </row>
    <row r="1031" spans="1:3">
      <c r="A1031" s="3091" t="s">
        <v>1030</v>
      </c>
      <c r="B1031" s="3092"/>
      <c r="C1031" s="3093"/>
    </row>
    <row r="1032" spans="1:3">
      <c r="A1032" s="3094" t="s">
        <v>1031</v>
      </c>
      <c r="B1032" s="3095"/>
      <c r="C1032" s="3096"/>
    </row>
    <row r="1033" spans="1:3">
      <c r="A1033" s="3097" t="s">
        <v>1032</v>
      </c>
      <c r="B1033" s="3098"/>
      <c r="C1033" s="3099"/>
    </row>
    <row r="1034" spans="1:3">
      <c r="A1034" s="3100" t="s">
        <v>1033</v>
      </c>
      <c r="B1034" s="3101"/>
      <c r="C1034" s="3102"/>
    </row>
    <row r="1035" spans="1:3">
      <c r="A1035" s="3103" t="s">
        <v>1034</v>
      </c>
      <c r="B1035" s="3104"/>
      <c r="C1035" s="3105"/>
    </row>
    <row r="1036" spans="1:3">
      <c r="A1036" s="3106" t="s">
        <v>1035</v>
      </c>
      <c r="B1036" s="3107"/>
      <c r="C1036" s="3108"/>
    </row>
    <row r="1037" spans="1:3">
      <c r="A1037" s="3109" t="s">
        <v>1036</v>
      </c>
      <c r="B1037" s="3110"/>
      <c r="C1037" s="3111"/>
    </row>
    <row r="1038" spans="1:3">
      <c r="A1038" s="3112" t="s">
        <v>1037</v>
      </c>
      <c r="B1038" s="3113"/>
      <c r="C1038" s="3114"/>
    </row>
    <row r="1039" spans="1:3">
      <c r="A1039" s="3115" t="s">
        <v>1038</v>
      </c>
      <c r="B1039" s="3116"/>
      <c r="C1039" s="3117"/>
    </row>
    <row r="1040" spans="1:3">
      <c r="A1040" s="3118" t="s">
        <v>1039</v>
      </c>
      <c r="B1040" s="3119"/>
      <c r="C1040" s="3120"/>
    </row>
    <row r="1041" spans="1:3">
      <c r="A1041" s="3121" t="s">
        <v>1040</v>
      </c>
      <c r="B1041" s="3122"/>
      <c r="C1041" s="3123"/>
    </row>
    <row r="1042" spans="1:3">
      <c r="A1042" s="3124" t="s">
        <v>1041</v>
      </c>
      <c r="B1042" s="3125"/>
      <c r="C1042" s="3126"/>
    </row>
    <row r="1043" spans="1:3">
      <c r="A1043" s="3127" t="s">
        <v>1042</v>
      </c>
      <c r="B1043" s="3128"/>
      <c r="C1043" s="3129"/>
    </row>
    <row r="1044" spans="1:3">
      <c r="A1044" s="3130" t="s">
        <v>1043</v>
      </c>
      <c r="B1044" s="3131"/>
      <c r="C1044" s="3132"/>
    </row>
    <row r="1045" spans="1:3">
      <c r="A1045" s="3133" t="s">
        <v>1044</v>
      </c>
      <c r="B1045" s="3134"/>
      <c r="C1045" s="3135"/>
    </row>
    <row r="1046" spans="1:3">
      <c r="A1046" s="3136" t="s">
        <v>1045</v>
      </c>
      <c r="B1046" s="3137"/>
      <c r="C1046" s="3138"/>
    </row>
    <row r="1047" spans="1:3">
      <c r="A1047" s="3139" t="s">
        <v>1046</v>
      </c>
      <c r="B1047" s="3140"/>
      <c r="C1047" s="3141"/>
    </row>
    <row r="1048" spans="1:3">
      <c r="A1048" s="3142" t="s">
        <v>1047</v>
      </c>
      <c r="B1048" s="3143"/>
      <c r="C1048" s="3144"/>
    </row>
    <row r="1049" spans="1:3">
      <c r="A1049" s="3145" t="s">
        <v>1048</v>
      </c>
      <c r="B1049" s="3146"/>
      <c r="C1049" s="3147"/>
    </row>
    <row r="1050" spans="1:3">
      <c r="A1050" s="3148" t="s">
        <v>1049</v>
      </c>
      <c r="B1050" s="3149"/>
      <c r="C1050" s="3150"/>
    </row>
    <row r="1051" spans="1:3">
      <c r="A1051" s="3151" t="s">
        <v>1050</v>
      </c>
      <c r="B1051" s="3152"/>
      <c r="C1051" s="3153"/>
    </row>
    <row r="1052" spans="1:3">
      <c r="A1052" s="3154" t="s">
        <v>1051</v>
      </c>
      <c r="B1052" s="3155"/>
      <c r="C1052" s="3156"/>
    </row>
    <row r="1053" spans="1:3">
      <c r="A1053" s="3157" t="s">
        <v>1052</v>
      </c>
      <c r="B1053" s="3158"/>
      <c r="C1053" s="3159"/>
    </row>
    <row r="1054" spans="1:3">
      <c r="A1054" s="3160" t="s">
        <v>1053</v>
      </c>
      <c r="B1054" s="3161"/>
      <c r="C1054" s="3162"/>
    </row>
    <row r="1055" spans="1:3">
      <c r="A1055" s="3163" t="s">
        <v>1054</v>
      </c>
      <c r="B1055" s="3164"/>
      <c r="C1055" s="3165"/>
    </row>
    <row r="1056" spans="1:3">
      <c r="A1056" s="3166" t="s">
        <v>1055</v>
      </c>
      <c r="B1056" s="3167"/>
      <c r="C1056" s="3168"/>
    </row>
    <row r="1057" spans="1:3">
      <c r="A1057" s="3169" t="s">
        <v>1056</v>
      </c>
      <c r="B1057" s="3170"/>
      <c r="C1057" s="3171"/>
    </row>
    <row r="1058" spans="1:3">
      <c r="A1058" s="3172" t="s">
        <v>1057</v>
      </c>
      <c r="B1058" s="3173"/>
      <c r="C1058" s="3174"/>
    </row>
    <row r="1059" spans="1:3">
      <c r="A1059" s="3175" t="s">
        <v>1058</v>
      </c>
      <c r="B1059" s="3176"/>
      <c r="C1059" s="3177"/>
    </row>
    <row r="1060" spans="1:3">
      <c r="A1060" s="3178" t="s">
        <v>1059</v>
      </c>
      <c r="B1060" s="3179"/>
      <c r="C1060" s="3180"/>
    </row>
    <row r="1061" spans="1:3">
      <c r="A1061" s="3181" t="s">
        <v>1060</v>
      </c>
      <c r="B1061" s="3182"/>
      <c r="C1061" s="3183"/>
    </row>
    <row r="1062" spans="1:3">
      <c r="A1062" s="3184" t="s">
        <v>1061</v>
      </c>
      <c r="B1062" s="3185"/>
      <c r="C1062" s="3186"/>
    </row>
    <row r="1063" spans="1:3">
      <c r="A1063" s="3187" t="s">
        <v>1062</v>
      </c>
      <c r="B1063" s="3188"/>
      <c r="C1063" s="3189"/>
    </row>
    <row r="1064" spans="1:3">
      <c r="A1064" s="3190" t="s">
        <v>1063</v>
      </c>
      <c r="B1064" s="3191"/>
      <c r="C1064" s="3192"/>
    </row>
    <row r="1065" spans="1:3">
      <c r="A1065" s="3193" t="s">
        <v>1064</v>
      </c>
      <c r="B1065" s="3194"/>
      <c r="C1065" s="3195"/>
    </row>
    <row r="1066" spans="1:3">
      <c r="A1066" s="3196" t="s">
        <v>1065</v>
      </c>
      <c r="B1066" s="3197"/>
      <c r="C1066" s="3198"/>
    </row>
    <row r="1067" spans="1:3">
      <c r="A1067" s="3199" t="s">
        <v>1066</v>
      </c>
      <c r="B1067" s="3200"/>
      <c r="C1067" s="3201"/>
    </row>
    <row r="1068" spans="1:3">
      <c r="A1068" s="3202" t="s">
        <v>1067</v>
      </c>
      <c r="B1068" s="3203"/>
      <c r="C1068" s="3204"/>
    </row>
    <row r="1069" spans="1:3">
      <c r="A1069" s="3205" t="s">
        <v>1068</v>
      </c>
      <c r="B1069" s="3206"/>
      <c r="C1069" s="3207"/>
    </row>
    <row r="1070" spans="1:3">
      <c r="A1070" s="3208" t="s">
        <v>1069</v>
      </c>
      <c r="B1070" s="3209"/>
      <c r="C1070" s="3210"/>
    </row>
    <row r="1071" spans="1:3">
      <c r="A1071" s="3211" t="s">
        <v>1070</v>
      </c>
      <c r="B1071" s="3212"/>
      <c r="C1071" s="3213"/>
    </row>
    <row r="1072" spans="1:3">
      <c r="A1072" s="3214" t="s">
        <v>1071</v>
      </c>
      <c r="B1072" s="3215"/>
      <c r="C1072" s="3216"/>
    </row>
    <row r="1073" spans="1:3">
      <c r="A1073" s="3217" t="s">
        <v>1072</v>
      </c>
      <c r="B1073" s="3218"/>
      <c r="C1073" s="3219"/>
    </row>
    <row r="1074" spans="1:3">
      <c r="A1074" s="3220" t="s">
        <v>1073</v>
      </c>
      <c r="B1074" s="3221"/>
      <c r="C1074" s="3222"/>
    </row>
    <row r="1075" spans="1:3">
      <c r="A1075" s="3223" t="s">
        <v>1074</v>
      </c>
      <c r="B1075" s="3224"/>
      <c r="C1075" s="3225"/>
    </row>
    <row r="1076" spans="1:3">
      <c r="A1076" s="3226" t="s">
        <v>1075</v>
      </c>
      <c r="B1076" s="3227"/>
      <c r="C1076" s="3228"/>
    </row>
    <row r="1077" spans="1:3">
      <c r="A1077" s="3229" t="s">
        <v>1076</v>
      </c>
      <c r="B1077" s="3230"/>
      <c r="C1077" s="3231"/>
    </row>
    <row r="1078" spans="1:3">
      <c r="A1078" s="3232" t="s">
        <v>1077</v>
      </c>
      <c r="B1078" s="3233"/>
      <c r="C1078" s="3234"/>
    </row>
    <row r="1079" spans="1:3">
      <c r="A1079" s="3235" t="s">
        <v>1078</v>
      </c>
      <c r="B1079" s="3236"/>
      <c r="C1079" s="3237"/>
    </row>
    <row r="1080" spans="1:3">
      <c r="A1080" s="3238" t="s">
        <v>1079</v>
      </c>
      <c r="B1080" s="3239"/>
      <c r="C1080" s="3240"/>
    </row>
    <row r="1081" spans="1:3">
      <c r="A1081" s="3241" t="s">
        <v>1080</v>
      </c>
      <c r="B1081" s="3242"/>
      <c r="C1081" s="3243"/>
    </row>
    <row r="1082" spans="1:3">
      <c r="A1082" s="3244" t="s">
        <v>1081</v>
      </c>
      <c r="B1082" s="3245"/>
      <c r="C1082" s="3246"/>
    </row>
    <row r="1083" spans="1:3">
      <c r="A1083" s="3247" t="s">
        <v>1082</v>
      </c>
      <c r="B1083" s="3248"/>
      <c r="C1083" s="3249"/>
    </row>
    <row r="1084" spans="1:3">
      <c r="A1084" s="3250" t="s">
        <v>1083</v>
      </c>
      <c r="B1084" s="3251"/>
      <c r="C1084" s="3252"/>
    </row>
    <row r="1085" spans="1:3">
      <c r="A1085" s="3253" t="s">
        <v>1084</v>
      </c>
      <c r="B1085" s="3254"/>
      <c r="C1085" s="3255"/>
    </row>
    <row r="1086" spans="1:3">
      <c r="A1086" s="3256" t="s">
        <v>1085</v>
      </c>
      <c r="B1086" s="3257"/>
      <c r="C1086" s="3258"/>
    </row>
    <row r="1087" spans="1:3">
      <c r="A1087" s="3259" t="s">
        <v>1086</v>
      </c>
      <c r="B1087" s="3260"/>
      <c r="C1087" s="3261"/>
    </row>
    <row r="1088" spans="1:3">
      <c r="A1088" s="3262" t="s">
        <v>1087</v>
      </c>
      <c r="B1088" s="3263"/>
      <c r="C1088" s="3264"/>
    </row>
    <row r="1089" spans="1:3">
      <c r="A1089" s="3265" t="s">
        <v>1088</v>
      </c>
      <c r="B1089" s="3266"/>
      <c r="C1089" s="3267"/>
    </row>
    <row r="1090" spans="1:3">
      <c r="A1090" s="3268" t="s">
        <v>1089</v>
      </c>
      <c r="B1090" s="3269"/>
      <c r="C1090" s="3270"/>
    </row>
    <row r="1091" spans="1:3">
      <c r="A1091" s="3271" t="s">
        <v>1090</v>
      </c>
      <c r="B1091" s="3272"/>
      <c r="C1091" s="3273"/>
    </row>
    <row r="1092" spans="1:3">
      <c r="A1092" s="3274" t="s">
        <v>1091</v>
      </c>
      <c r="B1092" s="3275"/>
      <c r="C1092" s="3276"/>
    </row>
    <row r="1093" spans="1:3">
      <c r="A1093" s="3277" t="s">
        <v>1092</v>
      </c>
      <c r="B1093" s="3278"/>
      <c r="C1093" s="3279"/>
    </row>
    <row r="1094" spans="1:3">
      <c r="A1094" s="3280" t="s">
        <v>1093</v>
      </c>
      <c r="B1094" s="3281"/>
      <c r="C1094" s="3282"/>
    </row>
    <row r="1095" spans="1:3">
      <c r="A1095" s="3283" t="s">
        <v>1094</v>
      </c>
      <c r="B1095" s="3284"/>
      <c r="C1095" s="3285"/>
    </row>
    <row r="1096" spans="1:3">
      <c r="A1096" s="3286" t="s">
        <v>1095</v>
      </c>
      <c r="B1096" s="3287"/>
      <c r="C1096" s="3288"/>
    </row>
    <row r="1097" spans="1:3">
      <c r="A1097" s="3289" t="s">
        <v>1096</v>
      </c>
      <c r="B1097" s="3290"/>
      <c r="C1097" s="3291"/>
    </row>
    <row r="1098" spans="1:3">
      <c r="A1098" s="3292" t="s">
        <v>1097</v>
      </c>
      <c r="B1098" s="3293"/>
      <c r="C1098" s="3294"/>
    </row>
    <row r="1099" spans="1:3">
      <c r="A1099" s="3295" t="s">
        <v>1098</v>
      </c>
      <c r="B1099" s="3296"/>
      <c r="C1099" s="3297"/>
    </row>
    <row r="1100" spans="1:3">
      <c r="A1100" s="3298" t="s">
        <v>1099</v>
      </c>
      <c r="B1100" s="3299"/>
      <c r="C1100" s="3300"/>
    </row>
    <row r="1101" spans="1:3">
      <c r="A1101" s="3301" t="s">
        <v>1100</v>
      </c>
      <c r="B1101" s="3302"/>
      <c r="C1101" s="3303"/>
    </row>
    <row r="1102" spans="1:3">
      <c r="A1102" s="3304" t="s">
        <v>1101</v>
      </c>
      <c r="B1102" s="3305"/>
      <c r="C1102" s="3306"/>
    </row>
    <row r="1103" spans="1:3">
      <c r="A1103" s="3307" t="s">
        <v>1102</v>
      </c>
      <c r="B1103" s="3308"/>
      <c r="C1103" s="3309"/>
    </row>
    <row r="1104" spans="1:3">
      <c r="A1104" s="3310" t="s">
        <v>1103</v>
      </c>
      <c r="B1104" s="3311"/>
      <c r="C1104" s="3312"/>
    </row>
    <row r="1105" spans="1:3">
      <c r="A1105" s="3313" t="s">
        <v>1104</v>
      </c>
      <c r="B1105" s="3314"/>
      <c r="C1105" s="3315"/>
    </row>
    <row r="1106" spans="1:3">
      <c r="A1106" s="3316" t="s">
        <v>1105</v>
      </c>
      <c r="B1106" s="3317"/>
      <c r="C1106" s="3318"/>
    </row>
    <row r="1107" spans="1:3">
      <c r="A1107" s="3319" t="s">
        <v>1106</v>
      </c>
      <c r="B1107" s="3320"/>
      <c r="C1107" s="3321"/>
    </row>
    <row r="1108" spans="1:3">
      <c r="A1108" s="3322" t="s">
        <v>1107</v>
      </c>
      <c r="B1108" s="3323"/>
      <c r="C1108" s="3324"/>
    </row>
    <row r="1109" spans="1:3">
      <c r="A1109" s="3325" t="s">
        <v>1108</v>
      </c>
      <c r="B1109" s="3326"/>
      <c r="C1109" s="3327"/>
    </row>
    <row r="1110" spans="1:3">
      <c r="A1110" s="3328" t="s">
        <v>1109</v>
      </c>
      <c r="B1110" s="3329"/>
      <c r="C1110" s="3330"/>
    </row>
    <row r="1111" spans="1:3">
      <c r="A1111" s="3331" t="s">
        <v>1110</v>
      </c>
      <c r="B1111" s="3332"/>
      <c r="C1111" s="3333"/>
    </row>
    <row r="1112" spans="1:3">
      <c r="A1112" s="3334" t="s">
        <v>1111</v>
      </c>
      <c r="B1112" s="3335"/>
      <c r="C1112" s="3336"/>
    </row>
    <row r="1113" spans="1:3">
      <c r="A1113" s="3337" t="s">
        <v>1112</v>
      </c>
      <c r="B1113" s="3338"/>
      <c r="C1113" s="3339"/>
    </row>
    <row r="1114" spans="1:3">
      <c r="A1114" s="3340" t="s">
        <v>1113</v>
      </c>
      <c r="B1114" s="3341"/>
      <c r="C1114" s="3342"/>
    </row>
    <row r="1115" spans="1:3">
      <c r="A1115" s="3343" t="s">
        <v>1114</v>
      </c>
      <c r="B1115" s="3344"/>
      <c r="C1115" s="3345"/>
    </row>
    <row r="1116" spans="1:3">
      <c r="A1116" s="3346" t="s">
        <v>1115</v>
      </c>
      <c r="B1116" s="3347"/>
      <c r="C1116" s="3348"/>
    </row>
    <row r="1117" spans="1:3">
      <c r="A1117" s="3349" t="s">
        <v>1116</v>
      </c>
      <c r="B1117" s="3350"/>
      <c r="C1117" s="3351"/>
    </row>
    <row r="1118" spans="1:3">
      <c r="A1118" s="3352" t="s">
        <v>1117</v>
      </c>
      <c r="B1118" s="3353"/>
      <c r="C1118" s="3354"/>
    </row>
    <row r="1119" spans="1:3">
      <c r="A1119" s="3355" t="s">
        <v>1118</v>
      </c>
      <c r="B1119" s="3356"/>
      <c r="C1119" s="3357"/>
    </row>
    <row r="1120" spans="1:3">
      <c r="A1120" s="3358" t="s">
        <v>1119</v>
      </c>
      <c r="B1120" s="3359"/>
      <c r="C1120" s="3360"/>
    </row>
    <row r="1121" spans="1:3">
      <c r="A1121" s="3361" t="s">
        <v>1120</v>
      </c>
      <c r="B1121" s="3362"/>
      <c r="C1121" s="3363"/>
    </row>
    <row r="1122" spans="1:3">
      <c r="A1122" s="3364" t="s">
        <v>1121</v>
      </c>
      <c r="B1122" s="3365"/>
      <c r="C1122" s="3366"/>
    </row>
    <row r="1123" spans="1:3">
      <c r="A1123" s="3367" t="s">
        <v>1122</v>
      </c>
      <c r="B1123" s="3368"/>
      <c r="C1123" s="3369"/>
    </row>
    <row r="1124" spans="1:3">
      <c r="A1124" s="3370" t="s">
        <v>1123</v>
      </c>
      <c r="B1124" s="3371"/>
      <c r="C1124" s="3372"/>
    </row>
    <row r="1125" spans="1:3">
      <c r="A1125" s="3373" t="s">
        <v>1124</v>
      </c>
      <c r="B1125" s="3374"/>
      <c r="C1125" s="3375"/>
    </row>
    <row r="1126" spans="1:3">
      <c r="A1126" s="3376" t="s">
        <v>1125</v>
      </c>
      <c r="B1126" s="3377"/>
      <c r="C1126" s="3378"/>
    </row>
    <row r="1127" spans="1:3">
      <c r="A1127" s="3379" t="s">
        <v>1126</v>
      </c>
      <c r="B1127" s="3380"/>
      <c r="C1127" s="3381"/>
    </row>
    <row r="1128" spans="1:3">
      <c r="A1128" s="3382" t="s">
        <v>1127</v>
      </c>
      <c r="B1128" s="3383"/>
      <c r="C1128" s="3384"/>
    </row>
    <row r="1129" spans="1:3">
      <c r="A1129" s="3385" t="s">
        <v>1128</v>
      </c>
      <c r="B1129" s="3386"/>
      <c r="C1129" s="3387"/>
    </row>
    <row r="1130" spans="1:3">
      <c r="A1130" s="3388" t="s">
        <v>1129</v>
      </c>
      <c r="B1130" s="3389"/>
      <c r="C1130" s="3390"/>
    </row>
    <row r="1131" spans="1:3">
      <c r="A1131" s="3391" t="s">
        <v>1130</v>
      </c>
      <c r="B1131" s="3392"/>
      <c r="C1131" s="3393"/>
    </row>
    <row r="1132" spans="1:3">
      <c r="A1132" s="3394" t="s">
        <v>1131</v>
      </c>
      <c r="B1132" s="3395"/>
      <c r="C1132" s="3396"/>
    </row>
    <row r="1133" spans="1:3">
      <c r="A1133" s="3397" t="s">
        <v>1132</v>
      </c>
      <c r="B1133" s="3398"/>
      <c r="C1133" s="3399"/>
    </row>
    <row r="1134" spans="1:3">
      <c r="A1134" s="3400" t="s">
        <v>1133</v>
      </c>
      <c r="B1134" s="3401"/>
      <c r="C1134" s="3402"/>
    </row>
    <row r="1135" spans="1:3">
      <c r="A1135" s="3403" t="s">
        <v>1134</v>
      </c>
      <c r="B1135" s="3404"/>
      <c r="C1135" s="3405"/>
    </row>
    <row r="1136" spans="1:3">
      <c r="A1136" s="3406" t="s">
        <v>1135</v>
      </c>
      <c r="B1136" s="3407"/>
      <c r="C1136" s="3408"/>
    </row>
    <row r="1137" spans="1:3">
      <c r="A1137" s="3409" t="s">
        <v>1136</v>
      </c>
      <c r="B1137" s="3410"/>
      <c r="C1137" s="3411"/>
    </row>
    <row r="1138" spans="1:3">
      <c r="A1138" s="3412" t="s">
        <v>1137</v>
      </c>
      <c r="B1138" s="3413"/>
      <c r="C1138" s="3414"/>
    </row>
    <row r="1139" spans="1:3">
      <c r="A1139" s="3415" t="s">
        <v>1138</v>
      </c>
      <c r="B1139" s="3416"/>
      <c r="C1139" s="3417"/>
    </row>
    <row r="1140" spans="1:3">
      <c r="A1140" s="3418" t="s">
        <v>1139</v>
      </c>
      <c r="B1140" s="3419"/>
      <c r="C1140" s="3420"/>
    </row>
    <row r="1141" spans="1:3">
      <c r="A1141" s="3421" t="s">
        <v>1140</v>
      </c>
      <c r="B1141" s="3422"/>
      <c r="C1141" s="3423"/>
    </row>
    <row r="1142" spans="1:3">
      <c r="A1142" s="3424" t="s">
        <v>1141</v>
      </c>
      <c r="B1142" s="3425"/>
      <c r="C1142" s="3426"/>
    </row>
    <row r="1143" spans="1:3">
      <c r="A1143" s="3427" t="s">
        <v>1142</v>
      </c>
      <c r="B1143" s="3428"/>
      <c r="C1143" s="3429"/>
    </row>
    <row r="1144" spans="1:3">
      <c r="A1144" s="3430" t="s">
        <v>1143</v>
      </c>
      <c r="B1144" s="3431"/>
      <c r="C1144" s="3432"/>
    </row>
    <row r="1145" spans="1:3">
      <c r="A1145" s="3433" t="s">
        <v>1144</v>
      </c>
      <c r="B1145" s="3434"/>
      <c r="C1145" s="3435"/>
    </row>
    <row r="1146" spans="1:3">
      <c r="A1146" s="3436" t="s">
        <v>1145</v>
      </c>
      <c r="B1146" s="3437"/>
      <c r="C1146" s="3438"/>
    </row>
    <row r="1147" spans="1:3">
      <c r="A1147" s="3439" t="s">
        <v>1146</v>
      </c>
      <c r="B1147" s="3440"/>
      <c r="C1147" s="3441"/>
    </row>
    <row r="1148" spans="1:3">
      <c r="A1148" s="3442" t="s">
        <v>1147</v>
      </c>
      <c r="B1148" s="3443"/>
      <c r="C1148" s="3444"/>
    </row>
    <row r="1149" spans="1:3">
      <c r="A1149" s="3445" t="s">
        <v>1148</v>
      </c>
      <c r="B1149" s="3446"/>
      <c r="C1149" s="3447"/>
    </row>
    <row r="1150" spans="1:3">
      <c r="A1150" s="3448" t="s">
        <v>1149</v>
      </c>
      <c r="B1150" s="3449"/>
      <c r="C1150" s="3450"/>
    </row>
    <row r="1151" spans="1:3">
      <c r="A1151" s="3451" t="s">
        <v>1150</v>
      </c>
      <c r="B1151" s="3452"/>
      <c r="C1151" s="3453"/>
    </row>
    <row r="1152" spans="1:3">
      <c r="A1152" s="3454" t="s">
        <v>1151</v>
      </c>
      <c r="B1152" s="3455"/>
      <c r="C1152" s="3456"/>
    </row>
    <row r="1153" spans="1:3">
      <c r="A1153" s="3457" t="s">
        <v>1152</v>
      </c>
      <c r="B1153" s="3458"/>
      <c r="C1153" s="3459"/>
    </row>
    <row r="1154" spans="1:3">
      <c r="A1154" s="3460" t="s">
        <v>1153</v>
      </c>
      <c r="B1154" s="3461"/>
      <c r="C1154" s="3462"/>
    </row>
    <row r="1155" spans="1:3">
      <c r="A1155" s="3463" t="s">
        <v>1154</v>
      </c>
      <c r="B1155" s="3464"/>
      <c r="C1155" s="3465"/>
    </row>
    <row r="1156" spans="1:3">
      <c r="A1156" s="3466" t="s">
        <v>1155</v>
      </c>
      <c r="B1156" s="3467"/>
      <c r="C1156" s="3468"/>
    </row>
    <row r="1157" spans="1:3">
      <c r="A1157" s="3469" t="s">
        <v>1156</v>
      </c>
      <c r="B1157" s="3470"/>
      <c r="C1157" s="3471"/>
    </row>
    <row r="1158" spans="1:3">
      <c r="A1158" s="3472" t="s">
        <v>1157</v>
      </c>
      <c r="B1158" s="3473"/>
      <c r="C1158" s="3474"/>
    </row>
    <row r="1159" spans="1:3">
      <c r="A1159" s="3475" t="s">
        <v>1158</v>
      </c>
      <c r="B1159" s="3476"/>
      <c r="C1159" s="3477"/>
    </row>
    <row r="1160" spans="1:3">
      <c r="A1160" s="3478" t="s">
        <v>1159</v>
      </c>
      <c r="B1160" s="3479"/>
      <c r="C1160" s="3480"/>
    </row>
    <row r="1161" spans="1:3">
      <c r="A1161" s="3481" t="s">
        <v>1160</v>
      </c>
      <c r="B1161" s="3482"/>
      <c r="C1161" s="3483"/>
    </row>
    <row r="1162" spans="1:3">
      <c r="A1162" s="3484" t="s">
        <v>1161</v>
      </c>
      <c r="B1162" s="3485"/>
      <c r="C1162" s="3486"/>
    </row>
    <row r="1163" spans="1:3">
      <c r="A1163" s="3487" t="s">
        <v>1162</v>
      </c>
      <c r="B1163" s="3488"/>
      <c r="C1163" s="3489"/>
    </row>
    <row r="1164" spans="1:3">
      <c r="A1164" s="3490" t="s">
        <v>1163</v>
      </c>
      <c r="B1164" s="3491"/>
      <c r="C1164" s="3492"/>
    </row>
    <row r="1165" spans="1:3">
      <c r="A1165" s="3493" t="s">
        <v>1164</v>
      </c>
      <c r="B1165" s="3494"/>
      <c r="C1165" s="3495"/>
    </row>
    <row r="1166" spans="1:3">
      <c r="A1166" s="3496" t="s">
        <v>1165</v>
      </c>
      <c r="B1166" s="3497"/>
      <c r="C1166" s="3498"/>
    </row>
    <row r="1167" spans="1:3">
      <c r="A1167" s="3499" t="s">
        <v>1166</v>
      </c>
      <c r="B1167" s="3500"/>
      <c r="C1167" s="3501"/>
    </row>
    <row r="1168" spans="1:3">
      <c r="A1168" s="3502" t="s">
        <v>1167</v>
      </c>
      <c r="B1168" s="3503"/>
      <c r="C1168" s="3504"/>
    </row>
    <row r="1169" spans="1:3">
      <c r="A1169" s="3505" t="s">
        <v>1168</v>
      </c>
      <c r="B1169" s="3506"/>
      <c r="C1169" s="3507"/>
    </row>
    <row r="1170" spans="1:3">
      <c r="A1170" s="3508" t="s">
        <v>1169</v>
      </c>
      <c r="B1170" s="3509"/>
      <c r="C1170" s="3510"/>
    </row>
    <row r="1171" spans="1:3">
      <c r="A1171" s="3511" t="s">
        <v>1170</v>
      </c>
      <c r="B1171" s="3512"/>
      <c r="C1171" s="3513"/>
    </row>
    <row r="1172" spans="1:3">
      <c r="A1172" s="3514" t="s">
        <v>1171</v>
      </c>
      <c r="B1172" s="3515"/>
      <c r="C1172" s="3516"/>
    </row>
    <row r="1173" spans="1:3">
      <c r="A1173" s="3517" t="s">
        <v>1172</v>
      </c>
      <c r="B1173" s="3518"/>
      <c r="C1173" s="3519"/>
    </row>
    <row r="1174" spans="1:3">
      <c r="A1174" s="3520" t="s">
        <v>1173</v>
      </c>
      <c r="B1174" s="3521"/>
      <c r="C1174" s="3522"/>
    </row>
    <row r="1175" spans="1:3">
      <c r="A1175" s="3523" t="s">
        <v>1174</v>
      </c>
      <c r="B1175" s="3524"/>
      <c r="C1175" s="3525"/>
    </row>
    <row r="1176" spans="1:3">
      <c r="A1176" s="3526" t="s">
        <v>1175</v>
      </c>
      <c r="B1176" s="3527"/>
      <c r="C1176" s="3528"/>
    </row>
    <row r="1177" spans="1:3">
      <c r="A1177" s="3529" t="s">
        <v>1176</v>
      </c>
      <c r="B1177" s="3530"/>
      <c r="C1177" s="3531"/>
    </row>
    <row r="1178" spans="1:3">
      <c r="A1178" s="3532" t="s">
        <v>1177</v>
      </c>
      <c r="B1178" s="3533"/>
      <c r="C1178" s="3534"/>
    </row>
    <row r="1179" spans="1:3">
      <c r="A1179" s="3535" t="s">
        <v>1178</v>
      </c>
      <c r="B1179" s="3536"/>
      <c r="C1179" s="3537"/>
    </row>
    <row r="1180" spans="1:3">
      <c r="A1180" s="3538" t="s">
        <v>1179</v>
      </c>
      <c r="B1180" s="3539"/>
      <c r="C1180" s="3540"/>
    </row>
    <row r="1181" spans="1:3">
      <c r="A1181" s="3541" t="s">
        <v>1180</v>
      </c>
      <c r="B1181" s="3542"/>
      <c r="C1181" s="3543"/>
    </row>
    <row r="1182" spans="1:3">
      <c r="A1182" s="3544" t="s">
        <v>1181</v>
      </c>
      <c r="B1182" s="3545"/>
      <c r="C1182" s="3546"/>
    </row>
    <row r="1183" spans="1:3">
      <c r="A1183" s="3547" t="s">
        <v>1182</v>
      </c>
      <c r="B1183" s="3548"/>
      <c r="C1183" s="3549"/>
    </row>
    <row r="1184" spans="1:3">
      <c r="A1184" s="3550" t="s">
        <v>1183</v>
      </c>
      <c r="B1184" s="3551"/>
      <c r="C1184" s="3552"/>
    </row>
    <row r="1185" spans="1:3">
      <c r="A1185" s="3553" t="s">
        <v>1184</v>
      </c>
      <c r="B1185" s="3554"/>
      <c r="C1185" s="3555"/>
    </row>
    <row r="1186" spans="1:3">
      <c r="A1186" s="3556" t="s">
        <v>1185</v>
      </c>
      <c r="B1186" s="3557"/>
      <c r="C1186" s="3558"/>
    </row>
    <row r="1187" spans="1:3">
      <c r="A1187" s="3559" t="s">
        <v>1186</v>
      </c>
      <c r="B1187" s="3560"/>
      <c r="C1187" s="3561"/>
    </row>
    <row r="1188" spans="1:3">
      <c r="A1188" s="3562" t="s">
        <v>1187</v>
      </c>
      <c r="B1188" s="3563"/>
      <c r="C1188" s="3564"/>
    </row>
    <row r="1189" spans="1:3">
      <c r="A1189" s="3565" t="s">
        <v>1188</v>
      </c>
      <c r="B1189" s="3566"/>
      <c r="C1189" s="3567"/>
    </row>
    <row r="1190" spans="1:3">
      <c r="A1190" s="3568" t="s">
        <v>1189</v>
      </c>
      <c r="B1190" s="3569"/>
      <c r="C1190" s="3570"/>
    </row>
    <row r="1191" spans="1:3">
      <c r="A1191" s="3571" t="s">
        <v>1190</v>
      </c>
      <c r="B1191" s="3572"/>
      <c r="C1191" s="3573"/>
    </row>
    <row r="1192" spans="1:3">
      <c r="A1192" s="3574" t="s">
        <v>1191</v>
      </c>
      <c r="B1192" s="3575"/>
      <c r="C1192" s="3576"/>
    </row>
    <row r="1193" spans="1:3">
      <c r="A1193" s="3577" t="s">
        <v>1192</v>
      </c>
      <c r="B1193" s="3578"/>
      <c r="C1193" s="3579"/>
    </row>
    <row r="1194" spans="1:3">
      <c r="A1194" s="3580" t="s">
        <v>1193</v>
      </c>
      <c r="B1194" s="3581"/>
      <c r="C1194" s="3582"/>
    </row>
    <row r="1195" spans="1:3">
      <c r="A1195" s="3583" t="s">
        <v>1194</v>
      </c>
      <c r="B1195" s="3584"/>
      <c r="C1195" s="3585"/>
    </row>
    <row r="1196" spans="1:3">
      <c r="A1196" s="3586" t="s">
        <v>1195</v>
      </c>
      <c r="B1196" s="3587"/>
      <c r="C1196" s="3588"/>
    </row>
    <row r="1197" spans="1:3">
      <c r="A1197" s="3589" t="s">
        <v>1196</v>
      </c>
      <c r="B1197" s="3590"/>
      <c r="C1197" s="3591"/>
    </row>
    <row r="1198" spans="1:3">
      <c r="A1198" s="3592" t="s">
        <v>1197</v>
      </c>
      <c r="B1198" s="3593"/>
      <c r="C1198" s="3594"/>
    </row>
    <row r="1199" spans="1:3">
      <c r="A1199" s="3595" t="s">
        <v>1198</v>
      </c>
      <c r="B1199" s="3596"/>
      <c r="C1199" s="3597"/>
    </row>
    <row r="1200" spans="1:3">
      <c r="A1200" s="3598" t="s">
        <v>1199</v>
      </c>
      <c r="B1200" s="3599"/>
      <c r="C1200" s="3600"/>
    </row>
    <row r="1201" spans="1:3">
      <c r="A1201" s="3601" t="s">
        <v>1200</v>
      </c>
      <c r="B1201" s="3602"/>
      <c r="C1201" s="3603"/>
    </row>
    <row r="1202" spans="1:3">
      <c r="A1202" s="3604" t="s">
        <v>1201</v>
      </c>
      <c r="B1202" s="3605"/>
      <c r="C1202" s="3606"/>
    </row>
    <row r="1203" spans="1:3">
      <c r="A1203" s="3607" t="s">
        <v>1202</v>
      </c>
      <c r="B1203" s="3608"/>
      <c r="C1203" s="3609"/>
    </row>
    <row r="1204" spans="1:3">
      <c r="A1204" s="3610" t="s">
        <v>1203</v>
      </c>
      <c r="B1204" s="3611"/>
      <c r="C1204" s="3612"/>
    </row>
    <row r="1205" spans="1:3">
      <c r="A1205" s="3613" t="s">
        <v>1204</v>
      </c>
      <c r="B1205" s="3614"/>
      <c r="C1205" s="3615"/>
    </row>
    <row r="1206" spans="1:3">
      <c r="A1206" s="3616" t="s">
        <v>1205</v>
      </c>
      <c r="B1206" s="3617"/>
      <c r="C1206" s="3618"/>
    </row>
    <row r="1207" spans="1:3">
      <c r="A1207" s="3619" t="s">
        <v>1206</v>
      </c>
      <c r="B1207" s="3620"/>
      <c r="C1207" s="3621"/>
    </row>
    <row r="1208" spans="1:3">
      <c r="A1208" s="3622" t="s">
        <v>1207</v>
      </c>
      <c r="B1208" s="3623"/>
      <c r="C1208" s="3624"/>
    </row>
    <row r="1209" spans="1:3">
      <c r="A1209" s="3625" t="s">
        <v>1208</v>
      </c>
      <c r="B1209" s="3626"/>
      <c r="C1209" s="3627"/>
    </row>
    <row r="1210" spans="1:3">
      <c r="A1210" s="3628" t="s">
        <v>1209</v>
      </c>
      <c r="B1210" s="3629"/>
      <c r="C1210" s="3630"/>
    </row>
    <row r="1211" spans="1:3">
      <c r="A1211" s="3631" t="s">
        <v>1210</v>
      </c>
      <c r="B1211" s="3632"/>
      <c r="C1211" s="3633"/>
    </row>
    <row r="1212" spans="1:3">
      <c r="A1212" s="3634" t="s">
        <v>1211</v>
      </c>
      <c r="B1212" s="3635"/>
      <c r="C1212" s="3636"/>
    </row>
    <row r="1213" spans="1:3">
      <c r="A1213" s="3637" t="s">
        <v>1212</v>
      </c>
      <c r="B1213" s="3638"/>
      <c r="C1213" s="3639"/>
    </row>
    <row r="1214" spans="1:3">
      <c r="A1214" s="3640" t="s">
        <v>1213</v>
      </c>
      <c r="B1214" s="3641"/>
      <c r="C1214" s="3642"/>
    </row>
    <row r="1215" spans="1:3">
      <c r="A1215" s="3643" t="s">
        <v>1214</v>
      </c>
      <c r="B1215" s="3644"/>
      <c r="C1215" s="3645"/>
    </row>
    <row r="1216" spans="1:3">
      <c r="A1216" s="3646" t="s">
        <v>1215</v>
      </c>
      <c r="B1216" s="3647"/>
      <c r="C1216" s="3648"/>
    </row>
    <row r="1217" spans="1:3">
      <c r="A1217" s="3649" t="s">
        <v>1216</v>
      </c>
      <c r="B1217" s="3650"/>
      <c r="C1217" s="3651"/>
    </row>
    <row r="1218" spans="1:3">
      <c r="A1218" s="3652" t="s">
        <v>1217</v>
      </c>
      <c r="B1218" s="3653"/>
      <c r="C1218" s="3654"/>
    </row>
    <row r="1219" spans="1:3">
      <c r="A1219" s="3655" t="s">
        <v>1218</v>
      </c>
      <c r="B1219" s="3656"/>
      <c r="C1219" s="3657"/>
    </row>
    <row r="1220" spans="1:3">
      <c r="A1220" s="3658" t="s">
        <v>1219</v>
      </c>
      <c r="B1220" s="3659"/>
      <c r="C1220" s="3660"/>
    </row>
    <row r="1221" spans="1:3">
      <c r="A1221" s="3661" t="s">
        <v>1220</v>
      </c>
      <c r="B1221" s="3662"/>
      <c r="C1221" s="3663"/>
    </row>
    <row r="1222" spans="1:3">
      <c r="A1222" s="3664" t="s">
        <v>1221</v>
      </c>
      <c r="B1222" s="3665"/>
      <c r="C1222" s="3666"/>
    </row>
    <row r="1223" spans="1:3">
      <c r="A1223" s="3667" t="s">
        <v>1222</v>
      </c>
      <c r="B1223" s="3668"/>
      <c r="C1223" s="3669"/>
    </row>
    <row r="1224" spans="1:3">
      <c r="A1224" s="3670" t="s">
        <v>1223</v>
      </c>
      <c r="B1224" s="3671"/>
      <c r="C1224" s="3672"/>
    </row>
    <row r="1225" spans="1:3">
      <c r="A1225" s="3673" t="s">
        <v>1224</v>
      </c>
      <c r="B1225" s="3674"/>
      <c r="C1225" s="3675"/>
    </row>
    <row r="1226" spans="1:3">
      <c r="A1226" s="3676" t="s">
        <v>1225</v>
      </c>
      <c r="B1226" s="3677"/>
      <c r="C1226" s="3678"/>
    </row>
    <row r="1227" spans="1:3">
      <c r="A1227" s="3679" t="s">
        <v>1226</v>
      </c>
      <c r="B1227" s="3680"/>
      <c r="C1227" s="3681"/>
    </row>
    <row r="1228" spans="1:3">
      <c r="A1228" s="3682" t="s">
        <v>1227</v>
      </c>
      <c r="B1228" s="3683"/>
      <c r="C1228" s="3684"/>
    </row>
    <row r="1229" spans="1:3">
      <c r="A1229" s="3685" t="s">
        <v>1228</v>
      </c>
      <c r="B1229" s="3686"/>
      <c r="C1229" s="3687"/>
    </row>
    <row r="1230" spans="1:3">
      <c r="A1230" s="3688" t="s">
        <v>1229</v>
      </c>
      <c r="B1230" s="3689"/>
      <c r="C1230" s="3690"/>
    </row>
    <row r="1231" spans="1:3">
      <c r="A1231" s="3691" t="s">
        <v>1230</v>
      </c>
      <c r="B1231" s="3692"/>
      <c r="C1231" s="3693"/>
    </row>
    <row r="1232" spans="1:3">
      <c r="A1232" s="3694" t="s">
        <v>1231</v>
      </c>
      <c r="B1232" s="3695"/>
      <c r="C1232" s="3696"/>
    </row>
    <row r="1233" spans="1:3">
      <c r="A1233" s="3697" t="s">
        <v>1232</v>
      </c>
      <c r="B1233" s="3698"/>
      <c r="C1233" s="3699"/>
    </row>
    <row r="1234" spans="1:3">
      <c r="A1234" s="3700" t="s">
        <v>1233</v>
      </c>
      <c r="B1234" s="3701"/>
      <c r="C1234" s="3702"/>
    </row>
    <row r="1235" spans="1:3">
      <c r="A1235" s="3703" t="s">
        <v>1234</v>
      </c>
      <c r="B1235" s="3704"/>
      <c r="C1235" s="3705"/>
    </row>
    <row r="1236" spans="1:3">
      <c r="A1236" s="3706" t="s">
        <v>1235</v>
      </c>
      <c r="B1236" s="3707"/>
      <c r="C1236" s="3708"/>
    </row>
    <row r="1237" spans="1:3">
      <c r="A1237" s="3709" t="s">
        <v>1236</v>
      </c>
      <c r="B1237" s="3710"/>
      <c r="C1237" s="3711"/>
    </row>
    <row r="1238" spans="1:3">
      <c r="A1238" s="3712" t="s">
        <v>1237</v>
      </c>
      <c r="B1238" s="3713"/>
      <c r="C1238" s="3714"/>
    </row>
    <row r="1239" spans="1:3">
      <c r="A1239" s="3715" t="s">
        <v>1238</v>
      </c>
      <c r="B1239" s="3716"/>
      <c r="C1239" s="3717"/>
    </row>
    <row r="1240" spans="1:3">
      <c r="A1240" s="3718" t="s">
        <v>1239</v>
      </c>
      <c r="B1240" s="3719"/>
      <c r="C1240" s="3720"/>
    </row>
    <row r="1241" spans="1:3">
      <c r="A1241" s="3721" t="s">
        <v>1240</v>
      </c>
      <c r="B1241" s="3722"/>
      <c r="C1241" s="3723"/>
    </row>
    <row r="1242" spans="1:3">
      <c r="A1242" s="3724" t="s">
        <v>1241</v>
      </c>
      <c r="B1242" s="3725"/>
      <c r="C1242" s="3726"/>
    </row>
    <row r="1243" spans="1:3">
      <c r="A1243" s="3727" t="s">
        <v>1242</v>
      </c>
      <c r="B1243" s="3728"/>
      <c r="C1243" s="3729"/>
    </row>
    <row r="1244" spans="1:3">
      <c r="A1244" s="3730" t="s">
        <v>1243</v>
      </c>
      <c r="B1244" s="3731"/>
      <c r="C1244" s="3732"/>
    </row>
    <row r="1245" spans="1:3">
      <c r="A1245" s="3733" t="s">
        <v>1244</v>
      </c>
      <c r="B1245" s="3734"/>
      <c r="C1245" s="3735"/>
    </row>
    <row r="1246" spans="1:3">
      <c r="A1246" s="3736" t="s">
        <v>1245</v>
      </c>
      <c r="B1246" s="3737"/>
      <c r="C1246" s="3738"/>
    </row>
    <row r="1247" spans="1:3">
      <c r="A1247" s="3739" t="s">
        <v>1246</v>
      </c>
      <c r="B1247" s="3740"/>
      <c r="C1247" s="3741"/>
    </row>
    <row r="1248" spans="1:3">
      <c r="A1248" s="3742" t="s">
        <v>1247</v>
      </c>
      <c r="B1248" s="3743"/>
      <c r="C1248" s="3744"/>
    </row>
    <row r="1249" spans="1:3">
      <c r="A1249" s="3745" t="s">
        <v>1248</v>
      </c>
      <c r="B1249" s="3746"/>
      <c r="C1249" s="3747"/>
    </row>
    <row r="1250" spans="1:3">
      <c r="A1250" s="3748" t="s">
        <v>1249</v>
      </c>
      <c r="B1250" s="3749"/>
      <c r="C1250" s="3750"/>
    </row>
    <row r="1251" spans="1:3">
      <c r="A1251" s="3751" t="s">
        <v>1250</v>
      </c>
      <c r="B1251" s="3752"/>
      <c r="C1251" s="3753"/>
    </row>
    <row r="1252" spans="1:3">
      <c r="A1252" s="3754" t="s">
        <v>1251</v>
      </c>
      <c r="B1252" s="3755"/>
      <c r="C1252" s="3756"/>
    </row>
    <row r="1253" spans="1:3">
      <c r="A1253" s="3757" t="s">
        <v>1252</v>
      </c>
      <c r="B1253" s="3758"/>
      <c r="C1253" s="3759"/>
    </row>
    <row r="1254" spans="1:3">
      <c r="A1254" s="3760" t="s">
        <v>1253</v>
      </c>
      <c r="B1254" s="3761"/>
      <c r="C1254" s="3762"/>
    </row>
    <row r="1255" spans="1:3">
      <c r="A1255" s="3763" t="s">
        <v>1254</v>
      </c>
      <c r="B1255" s="3764"/>
      <c r="C1255" s="3765"/>
    </row>
    <row r="1256" spans="1:3">
      <c r="A1256" s="3766" t="s">
        <v>1255</v>
      </c>
      <c r="B1256" s="3767"/>
      <c r="C1256" s="3768"/>
    </row>
    <row r="1257" spans="1:3">
      <c r="A1257" s="3769" t="s">
        <v>1256</v>
      </c>
      <c r="B1257" s="3770"/>
      <c r="C1257" s="3771"/>
    </row>
    <row r="1258" spans="1:3">
      <c r="A1258" s="3772" t="s">
        <v>1257</v>
      </c>
      <c r="B1258" s="3773"/>
      <c r="C1258" s="3774"/>
    </row>
    <row r="1259" spans="1:3">
      <c r="A1259" s="3775" t="s">
        <v>1258</v>
      </c>
      <c r="B1259" s="3776"/>
      <c r="C1259" s="3777"/>
    </row>
    <row r="1260" spans="1:3">
      <c r="A1260" s="3778" t="s">
        <v>1259</v>
      </c>
      <c r="B1260" s="3779"/>
      <c r="C1260" s="3780"/>
    </row>
    <row r="1261" spans="1:3">
      <c r="A1261" s="3781" t="s">
        <v>1260</v>
      </c>
      <c r="B1261" s="3782"/>
      <c r="C1261" s="3783"/>
    </row>
    <row r="1262" spans="1:3">
      <c r="A1262" s="3784" t="s">
        <v>1261</v>
      </c>
      <c r="B1262" s="3785"/>
      <c r="C1262" s="3786"/>
    </row>
    <row r="1263" spans="1:3">
      <c r="A1263" s="3787" t="s">
        <v>1262</v>
      </c>
      <c r="B1263" s="3788"/>
      <c r="C1263" s="3789"/>
    </row>
    <row r="1264" spans="1:3">
      <c r="A1264" s="3790" t="s">
        <v>1263</v>
      </c>
      <c r="B1264" s="3791"/>
      <c r="C1264" s="3792"/>
    </row>
    <row r="1265" spans="1:3">
      <c r="A1265" s="3793" t="s">
        <v>1264</v>
      </c>
      <c r="B1265" s="3794"/>
      <c r="C1265" s="3795"/>
    </row>
    <row r="1266" spans="1:3">
      <c r="A1266" s="3796" t="s">
        <v>1265</v>
      </c>
      <c r="B1266" s="3797"/>
      <c r="C1266" s="3798"/>
    </row>
    <row r="1267" spans="1:3">
      <c r="A1267" s="3799" t="s">
        <v>1266</v>
      </c>
      <c r="B1267" s="3800"/>
      <c r="C1267" s="3801"/>
    </row>
    <row r="1268" spans="1:3">
      <c r="A1268" s="3802" t="s">
        <v>1267</v>
      </c>
      <c r="B1268" s="3803"/>
      <c r="C1268" s="3804"/>
    </row>
    <row r="1269" spans="1:3">
      <c r="A1269" s="3805" t="s">
        <v>1268</v>
      </c>
      <c r="B1269" s="3806"/>
      <c r="C1269" s="3807"/>
    </row>
    <row r="1270" spans="1:3">
      <c r="A1270" s="3808" t="s">
        <v>1269</v>
      </c>
      <c r="B1270" s="3809"/>
      <c r="C1270" s="3810"/>
    </row>
    <row r="1271" spans="1:3">
      <c r="A1271" s="3811" t="s">
        <v>1270</v>
      </c>
      <c r="B1271" s="3812"/>
      <c r="C1271" s="3813"/>
    </row>
    <row r="1272" spans="1:3">
      <c r="A1272" s="3814" t="s">
        <v>1271</v>
      </c>
      <c r="B1272" s="3815"/>
      <c r="C1272" s="3816"/>
    </row>
    <row r="1273" spans="1:3">
      <c r="A1273" s="3817" t="s">
        <v>1272</v>
      </c>
      <c r="B1273" s="3818"/>
      <c r="C1273" s="3819"/>
    </row>
    <row r="1274" spans="1:3">
      <c r="A1274" s="3820" t="s">
        <v>1273</v>
      </c>
      <c r="B1274" s="3821"/>
      <c r="C1274" s="3822"/>
    </row>
    <row r="1275" spans="1:3">
      <c r="A1275" s="3823" t="s">
        <v>1274</v>
      </c>
      <c r="B1275" s="3824"/>
      <c r="C1275" s="3825"/>
    </row>
    <row r="1276" spans="1:3">
      <c r="A1276" s="3826" t="s">
        <v>1275</v>
      </c>
      <c r="B1276" s="3827"/>
      <c r="C1276" s="3828"/>
    </row>
    <row r="1277" spans="1:3">
      <c r="A1277" s="3829" t="s">
        <v>1276</v>
      </c>
      <c r="B1277" s="3830"/>
      <c r="C1277" s="3831"/>
    </row>
    <row r="1278" spans="1:3">
      <c r="A1278" s="3832" t="s">
        <v>1277</v>
      </c>
      <c r="B1278" s="3833"/>
      <c r="C1278" s="3834"/>
    </row>
    <row r="1279" spans="1:3">
      <c r="A1279" s="3835" t="s">
        <v>1278</v>
      </c>
      <c r="B1279" s="3836"/>
      <c r="C1279" s="3837"/>
    </row>
    <row r="1280" spans="1:3">
      <c r="A1280" s="3838" t="s">
        <v>1279</v>
      </c>
      <c r="B1280" s="3839"/>
      <c r="C1280" s="3840"/>
    </row>
    <row r="1281" spans="1:3">
      <c r="A1281" s="3841" t="s">
        <v>1280</v>
      </c>
      <c r="B1281" s="3842"/>
      <c r="C1281" s="3843"/>
    </row>
    <row r="1282" spans="1:3">
      <c r="A1282" s="3844" t="s">
        <v>1281</v>
      </c>
      <c r="B1282" s="3845"/>
      <c r="C1282" s="3846"/>
    </row>
    <row r="1283" spans="1:3">
      <c r="A1283" s="3847" t="s">
        <v>1282</v>
      </c>
      <c r="B1283" s="3848"/>
      <c r="C1283" s="3849"/>
    </row>
    <row r="1284" spans="1:3">
      <c r="A1284" s="3850" t="s">
        <v>1283</v>
      </c>
      <c r="B1284" s="3851"/>
      <c r="C1284" s="3852"/>
    </row>
    <row r="1285" spans="1:3">
      <c r="A1285" s="3853" t="s">
        <v>1284</v>
      </c>
      <c r="B1285" s="3854"/>
      <c r="C1285" s="3855"/>
    </row>
    <row r="1286" spans="1:3">
      <c r="A1286" s="3856" t="s">
        <v>1285</v>
      </c>
      <c r="B1286" s="3857"/>
      <c r="C1286" s="3858"/>
    </row>
    <row r="1287" spans="1:3">
      <c r="A1287" s="3859" t="s">
        <v>1286</v>
      </c>
      <c r="B1287" s="3860"/>
      <c r="C1287" s="3861"/>
    </row>
    <row r="1288" spans="1:3">
      <c r="A1288" s="3862" t="s">
        <v>1287</v>
      </c>
      <c r="B1288" s="3863"/>
      <c r="C1288" s="3864"/>
    </row>
    <row r="1289" spans="1:3">
      <c r="A1289" s="3865" t="s">
        <v>1288</v>
      </c>
      <c r="B1289" s="3866"/>
      <c r="C1289" s="3867"/>
    </row>
    <row r="1290" spans="1:3">
      <c r="A1290" s="3868" t="s">
        <v>1289</v>
      </c>
      <c r="B1290" s="3869"/>
      <c r="C1290" s="3870"/>
    </row>
    <row r="1291" spans="1:3">
      <c r="A1291" s="3871" t="s">
        <v>1290</v>
      </c>
      <c r="B1291" s="3872"/>
      <c r="C1291" s="3873"/>
    </row>
    <row r="1292" spans="1:3">
      <c r="A1292" s="3874" t="s">
        <v>1291</v>
      </c>
      <c r="B1292" s="3875"/>
      <c r="C1292" s="3876"/>
    </row>
    <row r="1293" spans="1:3">
      <c r="A1293" s="3877" t="s">
        <v>1292</v>
      </c>
      <c r="B1293" s="3878"/>
      <c r="C1293" s="3879"/>
    </row>
    <row r="1294" spans="1:3">
      <c r="A1294" s="3880" t="s">
        <v>1293</v>
      </c>
      <c r="B1294" s="3881"/>
      <c r="C1294" s="3882"/>
    </row>
    <row r="1295" spans="1:3">
      <c r="A1295" s="3883" t="s">
        <v>1294</v>
      </c>
      <c r="B1295" s="3884"/>
      <c r="C1295" s="3885"/>
    </row>
    <row r="1296" spans="1:3">
      <c r="A1296" s="3886" t="s">
        <v>1295</v>
      </c>
      <c r="B1296" s="3887"/>
      <c r="C1296" s="3888"/>
    </row>
    <row r="1297" spans="1:3">
      <c r="A1297" s="3889" t="s">
        <v>1296</v>
      </c>
      <c r="B1297" s="3890"/>
      <c r="C1297" s="3891"/>
    </row>
    <row r="1298" spans="1:3">
      <c r="A1298" s="3892" t="s">
        <v>1297</v>
      </c>
      <c r="B1298" s="3893"/>
      <c r="C1298" s="3894"/>
    </row>
    <row r="1299" spans="1:3">
      <c r="A1299" s="3895" t="s">
        <v>1298</v>
      </c>
      <c r="B1299" s="3896"/>
      <c r="C1299" s="3897"/>
    </row>
    <row r="1300" spans="1:3">
      <c r="A1300" s="3898" t="s">
        <v>1299</v>
      </c>
      <c r="B1300" s="3899"/>
      <c r="C1300" s="3900"/>
    </row>
    <row r="1301" spans="1:3">
      <c r="A1301" s="3901" t="s">
        <v>1300</v>
      </c>
      <c r="B1301" s="3902"/>
      <c r="C1301" s="3903"/>
    </row>
    <row r="1302" spans="1:3">
      <c r="A1302" s="3904" t="s">
        <v>1301</v>
      </c>
      <c r="B1302" s="3905"/>
      <c r="C1302" s="3906"/>
    </row>
    <row r="1303" spans="1:3">
      <c r="A1303" s="3907" t="s">
        <v>1302</v>
      </c>
      <c r="B1303" s="3908"/>
      <c r="C1303" s="3909"/>
    </row>
    <row r="1304" spans="1:3">
      <c r="A1304" s="3910" t="s">
        <v>1303</v>
      </c>
      <c r="B1304" s="3911"/>
      <c r="C1304" s="3912"/>
    </row>
    <row r="1305" spans="1:3">
      <c r="A1305" s="3913" t="s">
        <v>1304</v>
      </c>
      <c r="B1305" s="3914"/>
      <c r="C1305" s="3915"/>
    </row>
    <row r="1306" spans="1:3">
      <c r="A1306" s="3916" t="s">
        <v>1305</v>
      </c>
      <c r="B1306" s="3917"/>
      <c r="C1306" s="3918"/>
    </row>
    <row r="1307" spans="1:3">
      <c r="A1307" s="3919" t="s">
        <v>1306</v>
      </c>
      <c r="B1307" s="3920"/>
      <c r="C1307" s="3921"/>
    </row>
    <row r="1308" spans="1:3">
      <c r="A1308" s="3922" t="s">
        <v>1307</v>
      </c>
      <c r="B1308" s="3923"/>
      <c r="C1308" s="3924"/>
    </row>
    <row r="1309" spans="1:3">
      <c r="A1309" s="3925" t="s">
        <v>1308</v>
      </c>
      <c r="B1309" s="3926"/>
      <c r="C1309" s="3927"/>
    </row>
    <row r="1310" spans="1:3">
      <c r="A1310" s="3928" t="s">
        <v>1309</v>
      </c>
      <c r="B1310" s="3929"/>
      <c r="C1310" s="3930"/>
    </row>
    <row r="1311" spans="1:3">
      <c r="A1311" s="3931" t="s">
        <v>1310</v>
      </c>
      <c r="B1311" s="3932"/>
      <c r="C1311" s="3933"/>
    </row>
    <row r="1312" spans="1:3">
      <c r="A1312" s="3934" t="s">
        <v>1311</v>
      </c>
      <c r="B1312" s="3935"/>
      <c r="C1312" s="3936"/>
    </row>
    <row r="1313" spans="1:3">
      <c r="A1313" s="3937" t="s">
        <v>1312</v>
      </c>
      <c r="B1313" s="3938"/>
      <c r="C1313" s="3939"/>
    </row>
    <row r="1314" spans="1:3">
      <c r="A1314" s="3940" t="s">
        <v>1313</v>
      </c>
      <c r="B1314" s="3941"/>
      <c r="C1314" s="3942"/>
    </row>
    <row r="1315" spans="1:3">
      <c r="A1315" s="3943" t="s">
        <v>1314</v>
      </c>
      <c r="B1315" s="3944"/>
      <c r="C1315" s="3945"/>
    </row>
    <row r="1316" spans="1:3">
      <c r="A1316" s="3946" t="s">
        <v>1315</v>
      </c>
      <c r="B1316" s="3947"/>
      <c r="C1316" s="3948"/>
    </row>
    <row r="1317" spans="1:3">
      <c r="A1317" s="3949" t="s">
        <v>1316</v>
      </c>
      <c r="B1317" s="3950"/>
      <c r="C1317" s="3951"/>
    </row>
    <row r="1318" spans="1:3">
      <c r="A1318" s="3952" t="s">
        <v>1317</v>
      </c>
      <c r="B1318" s="3953"/>
      <c r="C1318" s="3954"/>
    </row>
    <row r="1319" spans="1:3">
      <c r="A1319" s="3955" t="s">
        <v>1318</v>
      </c>
      <c r="B1319" s="3956"/>
      <c r="C1319" s="3957"/>
    </row>
    <row r="1320" spans="1:3">
      <c r="A1320" s="3958" t="s">
        <v>1319</v>
      </c>
      <c r="B1320" s="3959"/>
      <c r="C1320" s="3960"/>
    </row>
    <row r="1321" spans="1:3">
      <c r="A1321" s="3961" t="s">
        <v>1320</v>
      </c>
      <c r="B1321" s="3962"/>
      <c r="C1321" s="3963"/>
    </row>
    <row r="1322" spans="1:3">
      <c r="A1322" s="3964" t="s">
        <v>1321</v>
      </c>
      <c r="B1322" s="3965"/>
      <c r="C1322" s="3966"/>
    </row>
    <row r="1323" spans="1:3">
      <c r="A1323" s="3967" t="s">
        <v>1322</v>
      </c>
      <c r="B1323" s="3968"/>
      <c r="C1323" s="3969"/>
    </row>
    <row r="1324" spans="1:3">
      <c r="A1324" s="3970" t="s">
        <v>1323</v>
      </c>
      <c r="B1324" s="3971"/>
      <c r="C1324" s="3972"/>
    </row>
    <row r="1325" spans="1:3">
      <c r="A1325" s="3973" t="s">
        <v>1324</v>
      </c>
      <c r="B1325" s="3974"/>
      <c r="C1325" s="3975"/>
    </row>
    <row r="1326" spans="1:3">
      <c r="A1326" s="3976" t="s">
        <v>1325</v>
      </c>
      <c r="B1326" s="3977"/>
      <c r="C1326" s="3978"/>
    </row>
    <row r="1327" spans="1:3">
      <c r="A1327" s="3979" t="s">
        <v>1326</v>
      </c>
      <c r="B1327" s="3980"/>
      <c r="C1327" s="3981"/>
    </row>
    <row r="1328" spans="1:3">
      <c r="A1328" s="3982" t="s">
        <v>1327</v>
      </c>
      <c r="B1328" s="3983"/>
      <c r="C1328" s="3984"/>
    </row>
    <row r="1329" spans="1:3">
      <c r="A1329" s="3985" t="s">
        <v>1328</v>
      </c>
      <c r="B1329" s="3986"/>
      <c r="C1329" s="3987"/>
    </row>
    <row r="1330" spans="1:3">
      <c r="A1330" s="3988" t="s">
        <v>1329</v>
      </c>
      <c r="B1330" s="3989"/>
      <c r="C1330" s="3990"/>
    </row>
    <row r="1331" spans="1:3">
      <c r="A1331" s="3991" t="s">
        <v>1330</v>
      </c>
      <c r="B1331" s="3992"/>
      <c r="C1331" s="3993"/>
    </row>
    <row r="1332" spans="1:3">
      <c r="A1332" s="3994" t="s">
        <v>1331</v>
      </c>
      <c r="B1332" s="3995"/>
      <c r="C1332" s="3996"/>
    </row>
    <row r="1333" spans="1:3">
      <c r="A1333" s="3997" t="s">
        <v>1332</v>
      </c>
      <c r="B1333" s="3998"/>
      <c r="C1333" s="3999"/>
    </row>
    <row r="1334" spans="1:3">
      <c r="A1334" s="4000" t="s">
        <v>1333</v>
      </c>
      <c r="B1334" s="4001"/>
      <c r="C1334" s="4002"/>
    </row>
    <row r="1335" spans="1:3">
      <c r="A1335" s="4003" t="s">
        <v>1334</v>
      </c>
      <c r="B1335" s="4004"/>
      <c r="C1335" s="4005"/>
    </row>
    <row r="1336" spans="1:3">
      <c r="A1336" s="4006" t="s">
        <v>1335</v>
      </c>
      <c r="B1336" s="4007"/>
      <c r="C1336" s="4008"/>
    </row>
    <row r="1337" spans="1:3">
      <c r="A1337" s="4009" t="s">
        <v>1336</v>
      </c>
      <c r="B1337" s="4010"/>
      <c r="C1337" s="4011"/>
    </row>
    <row r="1338" spans="1:3">
      <c r="A1338" s="4012" t="s">
        <v>1337</v>
      </c>
      <c r="B1338" s="4013"/>
      <c r="C1338" s="4014"/>
    </row>
    <row r="1339" spans="1:3">
      <c r="A1339" s="4015" t="s">
        <v>1338</v>
      </c>
      <c r="B1339" s="4016"/>
      <c r="C1339" s="4017"/>
    </row>
    <row r="1340" spans="1:3">
      <c r="A1340" s="4018" t="s">
        <v>1339</v>
      </c>
      <c r="B1340" s="4019"/>
      <c r="C1340" s="4020"/>
    </row>
    <row r="1341" spans="1:3">
      <c r="A1341" s="4021" t="s">
        <v>1340</v>
      </c>
      <c r="B1341" s="4022"/>
      <c r="C1341" s="4023"/>
    </row>
    <row r="1342" spans="1:3">
      <c r="A1342" s="4024" t="s">
        <v>1341</v>
      </c>
      <c r="B1342" s="4025"/>
      <c r="C1342" s="4026"/>
    </row>
    <row r="1343" spans="1:3">
      <c r="A1343" s="4027" t="s">
        <v>1342</v>
      </c>
      <c r="B1343" s="4028"/>
      <c r="C1343" s="4029"/>
    </row>
    <row r="1344" spans="1:3">
      <c r="A1344" s="4030" t="s">
        <v>1343</v>
      </c>
      <c r="B1344" s="4031"/>
      <c r="C1344" s="4032"/>
    </row>
    <row r="1345" spans="1:3">
      <c r="A1345" s="4033" t="s">
        <v>1344</v>
      </c>
      <c r="B1345" s="4034"/>
      <c r="C1345" s="4035"/>
    </row>
    <row r="1346" spans="1:3">
      <c r="A1346" s="4036" t="s">
        <v>1345</v>
      </c>
      <c r="B1346" s="4037"/>
      <c r="C1346" s="4038"/>
    </row>
    <row r="1347" spans="1:3">
      <c r="A1347" s="4039" t="s">
        <v>1346</v>
      </c>
      <c r="B1347" s="4040"/>
      <c r="C1347" s="4041"/>
    </row>
    <row r="1348" spans="1:3">
      <c r="A1348" s="4042" t="s">
        <v>1347</v>
      </c>
      <c r="B1348" s="4043"/>
      <c r="C1348" s="4044"/>
    </row>
    <row r="1349" spans="1:3">
      <c r="A1349" s="4045" t="s">
        <v>1348</v>
      </c>
      <c r="B1349" s="4046"/>
      <c r="C1349" s="4047"/>
    </row>
    <row r="1350" spans="1:3">
      <c r="A1350" s="4048" t="s">
        <v>1349</v>
      </c>
      <c r="B1350" s="4049"/>
      <c r="C1350" s="4050"/>
    </row>
    <row r="1351" spans="1:3">
      <c r="A1351" s="4051" t="s">
        <v>1350</v>
      </c>
      <c r="B1351" s="4052"/>
      <c r="C1351" s="4053"/>
    </row>
    <row r="1352" spans="1:3">
      <c r="A1352" s="4054" t="s">
        <v>1351</v>
      </c>
      <c r="B1352" s="4055"/>
      <c r="C1352" s="4056"/>
    </row>
    <row r="1353" spans="1:3">
      <c r="A1353" s="4057" t="s">
        <v>1352</v>
      </c>
      <c r="B1353" s="4058"/>
      <c r="C1353" s="4059"/>
    </row>
    <row r="1354" spans="1:3">
      <c r="A1354" s="4060" t="s">
        <v>1353</v>
      </c>
      <c r="B1354" s="4061"/>
      <c r="C1354" s="4062"/>
    </row>
    <row r="1355" spans="1:3">
      <c r="A1355" s="4063" t="s">
        <v>1354</v>
      </c>
      <c r="B1355" s="4064"/>
      <c r="C1355" s="4065"/>
    </row>
    <row r="1356" spans="1:3">
      <c r="A1356" s="4066" t="s">
        <v>1355</v>
      </c>
      <c r="B1356" s="4067"/>
      <c r="C1356" s="4068"/>
    </row>
    <row r="1357" spans="1:3">
      <c r="A1357" s="4069" t="s">
        <v>1356</v>
      </c>
      <c r="B1357" s="4070"/>
      <c r="C1357" s="4071"/>
    </row>
    <row r="1358" spans="1:3">
      <c r="A1358" s="4072" t="s">
        <v>1357</v>
      </c>
      <c r="B1358" s="4073"/>
      <c r="C1358" s="4074"/>
    </row>
    <row r="1359" spans="1:3">
      <c r="A1359" s="4075" t="s">
        <v>1358</v>
      </c>
      <c r="B1359" s="4076"/>
      <c r="C1359" s="4077"/>
    </row>
    <row r="1360" spans="1:3">
      <c r="A1360" s="4078" t="s">
        <v>1359</v>
      </c>
      <c r="B1360" s="4079"/>
      <c r="C1360" s="4080"/>
    </row>
    <row r="1361" spans="1:3">
      <c r="A1361" s="4081" t="s">
        <v>1360</v>
      </c>
      <c r="B1361" s="4082"/>
      <c r="C1361" s="4083"/>
    </row>
    <row r="1362" spans="1:3">
      <c r="A1362" s="4084" t="s">
        <v>1361</v>
      </c>
      <c r="B1362" s="4085"/>
      <c r="C1362" s="4086"/>
    </row>
    <row r="1363" spans="1:3">
      <c r="A1363" s="4087" t="s">
        <v>1362</v>
      </c>
      <c r="B1363" s="4088"/>
      <c r="C1363" s="4089"/>
    </row>
    <row r="1364" spans="1:3">
      <c r="A1364" s="4090" t="s">
        <v>1363</v>
      </c>
      <c r="B1364" s="4091"/>
      <c r="C1364" s="4092"/>
    </row>
    <row r="1365" spans="1:3">
      <c r="A1365" s="4093" t="s">
        <v>1364</v>
      </c>
      <c r="B1365" s="4094"/>
      <c r="C1365" s="4095"/>
    </row>
    <row r="1366" spans="1:3">
      <c r="A1366" s="4096" t="s">
        <v>1365</v>
      </c>
      <c r="B1366" s="4097"/>
      <c r="C1366" s="4098"/>
    </row>
    <row r="1367" spans="1:3">
      <c r="A1367" s="4099" t="s">
        <v>1366</v>
      </c>
      <c r="B1367" s="4100"/>
      <c r="C1367" s="4101"/>
    </row>
    <row r="1368" spans="1:3">
      <c r="A1368" s="4102" t="s">
        <v>1367</v>
      </c>
      <c r="B1368" s="4103"/>
      <c r="C1368" s="4104"/>
    </row>
    <row r="1369" spans="1:3">
      <c r="A1369" s="4105" t="s">
        <v>1368</v>
      </c>
      <c r="B1369" s="4106"/>
      <c r="C1369" s="4107"/>
    </row>
    <row r="1370" spans="1:3">
      <c r="A1370" s="4108" t="s">
        <v>1369</v>
      </c>
      <c r="B1370" s="4109"/>
      <c r="C1370" s="4110"/>
    </row>
    <row r="1371" spans="1:3">
      <c r="A1371" s="4111" t="s">
        <v>1370</v>
      </c>
      <c r="B1371" s="4112"/>
      <c r="C1371" s="4113"/>
    </row>
    <row r="1372" spans="1:3">
      <c r="A1372" s="4114" t="s">
        <v>1371</v>
      </c>
      <c r="B1372" s="4115"/>
      <c r="C1372" s="4116"/>
    </row>
    <row r="1373" spans="1:3">
      <c r="A1373" s="4117" t="s">
        <v>1372</v>
      </c>
      <c r="B1373" s="4118"/>
      <c r="C1373" s="4119"/>
    </row>
    <row r="1374" spans="1:3">
      <c r="A1374" s="4120" t="s">
        <v>1373</v>
      </c>
      <c r="B1374" s="4121"/>
      <c r="C1374" s="4122"/>
    </row>
    <row r="1375" spans="1:3">
      <c r="A1375" s="4123" t="s">
        <v>1374</v>
      </c>
      <c r="B1375" s="4124"/>
      <c r="C1375" s="4125"/>
    </row>
    <row r="1376" spans="1:3">
      <c r="A1376" s="4126" t="s">
        <v>1375</v>
      </c>
      <c r="B1376" s="4127"/>
      <c r="C1376" s="4128"/>
    </row>
    <row r="1377" spans="1:3">
      <c r="A1377" s="4129" t="s">
        <v>1376</v>
      </c>
      <c r="B1377" s="4130"/>
      <c r="C1377" s="4131"/>
    </row>
    <row r="1378" spans="1:3">
      <c r="A1378" s="4132" t="s">
        <v>1377</v>
      </c>
      <c r="B1378" s="4133"/>
      <c r="C1378" s="4134"/>
    </row>
    <row r="1379" spans="1:3">
      <c r="A1379" s="4135" t="s">
        <v>1378</v>
      </c>
      <c r="B1379" s="4136"/>
      <c r="C1379" s="4137"/>
    </row>
    <row r="1380" spans="1:3">
      <c r="A1380" s="4138" t="s">
        <v>1379</v>
      </c>
      <c r="B1380" s="4139"/>
      <c r="C1380" s="4140"/>
    </row>
    <row r="1381" spans="1:3">
      <c r="A1381" s="4141" t="s">
        <v>1380</v>
      </c>
      <c r="B1381" s="4142"/>
      <c r="C1381" s="4143"/>
    </row>
    <row r="1382" spans="1:3">
      <c r="A1382" s="4144" t="s">
        <v>1381</v>
      </c>
      <c r="B1382" s="4145"/>
      <c r="C1382" s="4146"/>
    </row>
    <row r="1383" spans="1:3">
      <c r="A1383" s="4147" t="s">
        <v>1382</v>
      </c>
      <c r="B1383" s="4148"/>
      <c r="C1383" s="4149"/>
    </row>
    <row r="1384" spans="1:3">
      <c r="A1384" s="4150" t="s">
        <v>1383</v>
      </c>
      <c r="B1384" s="4151"/>
      <c r="C1384" s="4152"/>
    </row>
    <row r="1385" spans="1:3">
      <c r="A1385" s="4153" t="s">
        <v>1384</v>
      </c>
      <c r="B1385" s="4154"/>
      <c r="C1385" s="4155"/>
    </row>
    <row r="1386" spans="1:3">
      <c r="A1386" s="4156" t="s">
        <v>1385</v>
      </c>
      <c r="B1386" s="4157"/>
      <c r="C1386" s="4158"/>
    </row>
    <row r="1387" spans="1:3">
      <c r="A1387" s="4159" t="s">
        <v>1386</v>
      </c>
      <c r="B1387" s="4160"/>
      <c r="C1387" s="4161"/>
    </row>
    <row r="1388" spans="1:3">
      <c r="A1388" s="4162" t="s">
        <v>1387</v>
      </c>
      <c r="B1388" s="4163"/>
      <c r="C1388" s="4164"/>
    </row>
    <row r="1389" spans="1:3">
      <c r="A1389" s="4165" t="s">
        <v>1388</v>
      </c>
      <c r="B1389" s="4166"/>
      <c r="C1389" s="4167"/>
    </row>
    <row r="1390" spans="1:3">
      <c r="A1390" s="4168" t="s">
        <v>1389</v>
      </c>
      <c r="B1390" s="4169"/>
      <c r="C1390" s="4170"/>
    </row>
    <row r="1391" spans="1:3">
      <c r="A1391" s="4171" t="s">
        <v>1390</v>
      </c>
      <c r="B1391" s="4172"/>
      <c r="C1391" s="4173"/>
    </row>
    <row r="1392" spans="1:3">
      <c r="A1392" s="4174" t="s">
        <v>1391</v>
      </c>
      <c r="B1392" s="4175"/>
      <c r="C1392" s="4176"/>
    </row>
    <row r="1393" spans="1:3">
      <c r="A1393" s="4177" t="s">
        <v>1392</v>
      </c>
      <c r="B1393" s="4178"/>
      <c r="C1393" s="4179"/>
    </row>
    <row r="1394" spans="1:3">
      <c r="A1394" s="4180" t="s">
        <v>1393</v>
      </c>
      <c r="B1394" s="4181"/>
      <c r="C1394" s="4182"/>
    </row>
    <row r="1395" spans="1:3">
      <c r="A1395" s="4183" t="s">
        <v>1394</v>
      </c>
      <c r="B1395" s="4184"/>
      <c r="C1395" s="4185"/>
    </row>
    <row r="1396" spans="1:3">
      <c r="A1396" s="4186" t="s">
        <v>1395</v>
      </c>
      <c r="B1396" s="4187"/>
      <c r="C1396" s="4188"/>
    </row>
    <row r="1397" spans="1:3">
      <c r="A1397" s="4189" t="s">
        <v>1396</v>
      </c>
      <c r="B1397" s="4190"/>
      <c r="C1397" s="4191"/>
    </row>
    <row r="1398" spans="1:3">
      <c r="A1398" s="4192" t="s">
        <v>1397</v>
      </c>
      <c r="B1398" s="4193"/>
      <c r="C1398" s="4194"/>
    </row>
    <row r="1399" spans="1:3">
      <c r="A1399" s="4195" t="s">
        <v>1398</v>
      </c>
      <c r="B1399" s="4196"/>
      <c r="C1399" s="4197"/>
    </row>
    <row r="1400" spans="1:3">
      <c r="A1400" s="4198" t="s">
        <v>1399</v>
      </c>
      <c r="B1400" s="4199"/>
      <c r="C1400" s="4200"/>
    </row>
    <row r="1401" spans="1:3">
      <c r="A1401" s="4201" t="s">
        <v>1400</v>
      </c>
      <c r="B1401" s="4202"/>
      <c r="C1401" s="4203"/>
    </row>
    <row r="1402" spans="1:3">
      <c r="A1402" s="4204" t="s">
        <v>1401</v>
      </c>
      <c r="B1402" s="4205"/>
      <c r="C1402" s="4206"/>
    </row>
    <row r="1403" spans="1:3">
      <c r="A1403" s="4207" t="s">
        <v>1402</v>
      </c>
      <c r="B1403" s="4208"/>
      <c r="C1403" s="4209"/>
    </row>
    <row r="1404" spans="1:3">
      <c r="A1404" s="4210" t="s">
        <v>1403</v>
      </c>
      <c r="B1404" s="4211"/>
      <c r="C1404" s="4212"/>
    </row>
    <row r="1405" spans="1:3">
      <c r="A1405" s="4213" t="s">
        <v>1404</v>
      </c>
      <c r="B1405" s="4214"/>
      <c r="C1405" s="4215"/>
    </row>
    <row r="1406" spans="1:3">
      <c r="A1406" s="4216" t="s">
        <v>1405</v>
      </c>
      <c r="B1406" s="4217"/>
      <c r="C1406" s="4218"/>
    </row>
    <row r="1407" spans="1:3">
      <c r="A1407" s="4219" t="s">
        <v>1406</v>
      </c>
      <c r="B1407" s="4220"/>
      <c r="C1407" s="4221"/>
    </row>
    <row r="1408" spans="1:3">
      <c r="A1408" s="4222" t="s">
        <v>1407</v>
      </c>
      <c r="B1408" s="4223"/>
      <c r="C1408" s="4224"/>
    </row>
    <row r="1409" spans="1:3">
      <c r="A1409" s="4225" t="s">
        <v>1408</v>
      </c>
      <c r="B1409" s="4226"/>
      <c r="C1409" s="4227"/>
    </row>
    <row r="1410" spans="1:3">
      <c r="A1410" s="4228" t="s">
        <v>1409</v>
      </c>
      <c r="B1410" s="4229"/>
      <c r="C1410" s="4230"/>
    </row>
    <row r="1411" spans="1:3">
      <c r="A1411" s="4231" t="s">
        <v>1410</v>
      </c>
      <c r="B1411" s="4232"/>
      <c r="C1411" s="4233"/>
    </row>
    <row r="1412" spans="1:3">
      <c r="A1412" s="4234" t="s">
        <v>1411</v>
      </c>
      <c r="B1412" s="4235"/>
      <c r="C1412" s="4236"/>
    </row>
    <row r="1413" spans="1:3">
      <c r="A1413" s="4237" t="s">
        <v>1412</v>
      </c>
      <c r="B1413" s="4238"/>
      <c r="C1413" s="4239"/>
    </row>
    <row r="1414" spans="1:3">
      <c r="A1414" s="4240" t="s">
        <v>1413</v>
      </c>
      <c r="B1414" s="4241"/>
      <c r="C1414" s="4242"/>
    </row>
    <row r="1415" spans="1:3">
      <c r="A1415" s="4243" t="s">
        <v>1414</v>
      </c>
      <c r="B1415" s="4244"/>
      <c r="C1415" s="4245"/>
    </row>
    <row r="1416" spans="1:3">
      <c r="A1416" s="4246" t="s">
        <v>1415</v>
      </c>
      <c r="B1416" s="4247"/>
      <c r="C1416" s="4248"/>
    </row>
    <row r="1417" spans="1:3">
      <c r="A1417" s="4249" t="s">
        <v>1416</v>
      </c>
      <c r="B1417" s="4250"/>
      <c r="C1417" s="4251"/>
    </row>
    <row r="1418" spans="1:3">
      <c r="A1418" s="4252" t="s">
        <v>1417</v>
      </c>
      <c r="B1418" s="4253"/>
      <c r="C1418" s="4254"/>
    </row>
    <row r="1419" spans="1:3">
      <c r="A1419" s="4255" t="s">
        <v>1418</v>
      </c>
      <c r="B1419" s="4256"/>
      <c r="C1419" s="4257"/>
    </row>
    <row r="1420" spans="1:3">
      <c r="A1420" s="4258" t="s">
        <v>1419</v>
      </c>
      <c r="B1420" s="4259"/>
      <c r="C1420" s="4260"/>
    </row>
    <row r="1421" spans="1:3">
      <c r="A1421" s="4261" t="s">
        <v>1420</v>
      </c>
      <c r="B1421" s="4262"/>
      <c r="C1421" s="4263"/>
    </row>
    <row r="1422" spans="1:3">
      <c r="A1422" s="4264" t="s">
        <v>1421</v>
      </c>
      <c r="B1422" s="4265"/>
      <c r="C1422" s="4266"/>
    </row>
    <row r="1423" spans="1:3">
      <c r="A1423" s="4267" t="s">
        <v>1422</v>
      </c>
      <c r="B1423" s="4268"/>
      <c r="C1423" s="4269"/>
    </row>
    <row r="1424" spans="1:3">
      <c r="A1424" s="4270" t="s">
        <v>1423</v>
      </c>
      <c r="B1424" s="4271"/>
      <c r="C1424" s="4272"/>
    </row>
    <row r="1425" spans="1:3">
      <c r="A1425" s="4273" t="s">
        <v>1424</v>
      </c>
      <c r="B1425" s="4274"/>
      <c r="C1425" s="4275"/>
    </row>
    <row r="1426" spans="1:3">
      <c r="A1426" s="4276" t="s">
        <v>1425</v>
      </c>
      <c r="B1426" s="4277"/>
      <c r="C1426" s="4278"/>
    </row>
    <row r="1427" spans="1:3">
      <c r="A1427" s="4279" t="s">
        <v>1426</v>
      </c>
      <c r="B1427" s="4280"/>
      <c r="C1427" s="4281"/>
    </row>
    <row r="1428" spans="1:3">
      <c r="A1428" s="4282" t="s">
        <v>1427</v>
      </c>
      <c r="B1428" s="4283"/>
      <c r="C1428" s="4284"/>
    </row>
    <row r="1429" spans="1:3">
      <c r="A1429" s="4285" t="s">
        <v>1428</v>
      </c>
      <c r="B1429" s="4286"/>
      <c r="C1429" s="4287"/>
    </row>
    <row r="1430" spans="1:3">
      <c r="A1430" s="4288" t="s">
        <v>1429</v>
      </c>
      <c r="B1430" s="4289"/>
      <c r="C1430" s="4290"/>
    </row>
    <row r="1431" spans="1:3">
      <c r="A1431" s="4291" t="s">
        <v>1430</v>
      </c>
      <c r="B1431" s="4292"/>
      <c r="C1431" s="4293"/>
    </row>
    <row r="1432" spans="1:3">
      <c r="A1432" s="4294" t="s">
        <v>1431</v>
      </c>
      <c r="B1432" s="4295"/>
      <c r="C1432" s="4296"/>
    </row>
    <row r="1433" spans="1:3">
      <c r="A1433" s="4297" t="s">
        <v>1432</v>
      </c>
      <c r="B1433" s="4298"/>
      <c r="C1433" s="4299"/>
    </row>
    <row r="1434" spans="1:3">
      <c r="A1434" s="4300" t="s">
        <v>1433</v>
      </c>
      <c r="B1434" s="4301"/>
      <c r="C1434" s="4302"/>
    </row>
    <row r="1435" spans="1:3">
      <c r="A1435" s="4303" t="s">
        <v>1434</v>
      </c>
      <c r="B1435" s="4304"/>
      <c r="C1435" s="4305"/>
    </row>
    <row r="1436" spans="1:3">
      <c r="A1436" s="4306" t="s">
        <v>1435</v>
      </c>
      <c r="B1436" s="4307"/>
      <c r="C1436" s="4308"/>
    </row>
    <row r="1437" spans="1:3">
      <c r="A1437" s="4309" t="s">
        <v>1436</v>
      </c>
      <c r="B1437" s="4310"/>
      <c r="C1437" s="4311"/>
    </row>
    <row r="1438" spans="1:3">
      <c r="A1438" s="4312" t="s">
        <v>1437</v>
      </c>
      <c r="B1438" s="4313"/>
      <c r="C1438" s="4314"/>
    </row>
    <row r="1439" spans="1:3">
      <c r="A1439" s="4315" t="s">
        <v>1438</v>
      </c>
      <c r="B1439" s="4316"/>
      <c r="C1439" s="4317"/>
    </row>
    <row r="1440" spans="1:3">
      <c r="A1440" s="4318" t="s">
        <v>1439</v>
      </c>
      <c r="B1440" s="4319"/>
      <c r="C1440" s="4320"/>
    </row>
    <row r="1441" spans="1:3">
      <c r="A1441" s="4321" t="s">
        <v>1440</v>
      </c>
      <c r="B1441" s="4322"/>
      <c r="C1441" s="4323"/>
    </row>
    <row r="1442" spans="1:3">
      <c r="A1442" s="4324" t="s">
        <v>1441</v>
      </c>
      <c r="B1442" s="4325"/>
      <c r="C1442" s="4326"/>
    </row>
    <row r="1443" spans="1:3">
      <c r="A1443" s="4327" t="s">
        <v>1442</v>
      </c>
      <c r="B1443" s="4328"/>
      <c r="C1443" s="4329"/>
    </row>
    <row r="1444" spans="1:3">
      <c r="A1444" s="4330" t="s">
        <v>1443</v>
      </c>
      <c r="B1444" s="4331"/>
      <c r="C1444" s="4332"/>
    </row>
    <row r="1445" spans="1:3">
      <c r="A1445" s="4333" t="s">
        <v>1444</v>
      </c>
      <c r="B1445" s="4334"/>
      <c r="C1445" s="4335"/>
    </row>
    <row r="1446" spans="1:3">
      <c r="A1446" s="4336" t="s">
        <v>1445</v>
      </c>
      <c r="B1446" s="4337"/>
      <c r="C1446" s="4338"/>
    </row>
    <row r="1447" spans="1:3">
      <c r="A1447" s="4339" t="s">
        <v>1446</v>
      </c>
      <c r="B1447" s="4340"/>
      <c r="C1447" s="4341"/>
    </row>
    <row r="1448" spans="1:3">
      <c r="A1448" s="4342" t="s">
        <v>1447</v>
      </c>
      <c r="B1448" s="4343"/>
      <c r="C1448" s="4344"/>
    </row>
    <row r="1449" spans="1:3">
      <c r="A1449" s="4345" t="s">
        <v>1448</v>
      </c>
      <c r="B1449" s="4346"/>
      <c r="C1449" s="4347"/>
    </row>
    <row r="1450" spans="1:3">
      <c r="A1450" s="4348" t="s">
        <v>1449</v>
      </c>
      <c r="B1450" s="4349"/>
      <c r="C1450" s="4350"/>
    </row>
    <row r="1451" spans="1:3">
      <c r="A1451" s="4351" t="s">
        <v>1450</v>
      </c>
      <c r="B1451" s="4352"/>
      <c r="C1451" s="4353"/>
    </row>
    <row r="1452" spans="1:3">
      <c r="A1452" s="4354" t="s">
        <v>1451</v>
      </c>
      <c r="B1452" s="4355"/>
      <c r="C1452" s="4356"/>
    </row>
    <row r="1453" spans="1:3">
      <c r="A1453" s="4357" t="s">
        <v>1452</v>
      </c>
      <c r="B1453" s="4358"/>
      <c r="C1453" s="4359"/>
    </row>
    <row r="1454" spans="1:3">
      <c r="A1454" s="4360" t="s">
        <v>1453</v>
      </c>
      <c r="B1454" s="4361"/>
      <c r="C1454" s="4362"/>
    </row>
    <row r="1455" spans="1:3">
      <c r="A1455" s="4363" t="s">
        <v>1454</v>
      </c>
      <c r="B1455" s="4364"/>
      <c r="C1455" s="4365"/>
    </row>
    <row r="1456" spans="1:3">
      <c r="A1456" s="4366" t="s">
        <v>1455</v>
      </c>
      <c r="B1456" s="4367"/>
      <c r="C1456" s="4368"/>
    </row>
    <row r="1457" spans="1:3">
      <c r="A1457" s="4369" t="s">
        <v>1456</v>
      </c>
      <c r="B1457" s="4370"/>
      <c r="C1457" s="4371"/>
    </row>
    <row r="1458" spans="1:3">
      <c r="A1458" s="4372" t="s">
        <v>1457</v>
      </c>
      <c r="B1458" s="4373"/>
      <c r="C1458" s="4374"/>
    </row>
    <row r="1459" spans="1:3">
      <c r="A1459" s="4375" t="s">
        <v>1458</v>
      </c>
      <c r="B1459" s="4376"/>
      <c r="C1459" s="4377"/>
    </row>
    <row r="1460" spans="1:3">
      <c r="A1460" s="4378" t="s">
        <v>1459</v>
      </c>
      <c r="B1460" s="4379"/>
      <c r="C1460" s="4380"/>
    </row>
    <row r="1461" spans="1:3">
      <c r="A1461" s="4381" t="s">
        <v>1460</v>
      </c>
      <c r="B1461" s="4382"/>
      <c r="C1461" s="4383"/>
    </row>
    <row r="1462" spans="1:3">
      <c r="A1462" s="4384" t="s">
        <v>1461</v>
      </c>
      <c r="B1462" s="4385"/>
      <c r="C1462" s="4386"/>
    </row>
    <row r="1463" spans="1:3">
      <c r="A1463" s="4387" t="s">
        <v>1462</v>
      </c>
      <c r="B1463" s="4388"/>
      <c r="C1463" s="4389"/>
    </row>
    <row r="1464" spans="1:3">
      <c r="A1464" s="4390" t="s">
        <v>1463</v>
      </c>
      <c r="B1464" s="4391"/>
      <c r="C1464" s="4392"/>
    </row>
    <row r="1465" spans="1:3">
      <c r="A1465" s="4393" t="s">
        <v>1464</v>
      </c>
      <c r="B1465" s="4394"/>
      <c r="C1465" s="4395"/>
    </row>
    <row r="1466" spans="1:3">
      <c r="A1466" s="4396" t="s">
        <v>1465</v>
      </c>
      <c r="B1466" s="4397"/>
      <c r="C1466" s="4398"/>
    </row>
    <row r="1467" spans="1:3">
      <c r="A1467" s="4399" t="s">
        <v>1466</v>
      </c>
      <c r="B1467" s="4400"/>
      <c r="C1467" s="4401"/>
    </row>
    <row r="1468" spans="1:3">
      <c r="A1468" s="4402" t="s">
        <v>1467</v>
      </c>
      <c r="B1468" s="4403"/>
      <c r="C1468" s="4404"/>
    </row>
    <row r="1469" spans="1:3">
      <c r="A1469" s="4405" t="s">
        <v>1468</v>
      </c>
      <c r="B1469" s="4406"/>
      <c r="C1469" s="4407"/>
    </row>
    <row r="1470" spans="1:3">
      <c r="A1470" s="4408" t="s">
        <v>1469</v>
      </c>
      <c r="B1470" s="4409"/>
      <c r="C1470" s="4410"/>
    </row>
    <row r="1471" spans="1:3">
      <c r="A1471" s="4411" t="s">
        <v>1470</v>
      </c>
      <c r="B1471" s="4412"/>
      <c r="C1471" s="4413"/>
    </row>
    <row r="1472" spans="1:3">
      <c r="A1472" s="4414" t="s">
        <v>1471</v>
      </c>
      <c r="B1472" s="4415"/>
      <c r="C1472" s="4416"/>
    </row>
    <row r="1473" spans="1:3">
      <c r="A1473" s="4417" t="s">
        <v>1472</v>
      </c>
      <c r="B1473" s="4418"/>
      <c r="C1473" s="4419"/>
    </row>
    <row r="1474" spans="1:3">
      <c r="A1474" s="4420" t="s">
        <v>1473</v>
      </c>
      <c r="B1474" s="4421"/>
      <c r="C1474" s="4422"/>
    </row>
    <row r="1475" spans="1:3">
      <c r="A1475" s="4423" t="s">
        <v>1474</v>
      </c>
      <c r="B1475" s="4424"/>
      <c r="C1475" s="4425"/>
    </row>
    <row r="1476" spans="1:3">
      <c r="A1476" s="4426" t="s">
        <v>1475</v>
      </c>
      <c r="B1476" s="4427"/>
      <c r="C1476" s="4428"/>
    </row>
    <row r="1477" spans="1:3">
      <c r="A1477" s="4429" t="s">
        <v>1476</v>
      </c>
      <c r="B1477" s="4430"/>
      <c r="C1477" s="4431"/>
    </row>
    <row r="1478" spans="1:3">
      <c r="A1478" s="4432" t="s">
        <v>1477</v>
      </c>
      <c r="B1478" s="4433"/>
      <c r="C1478" s="4434"/>
    </row>
    <row r="1479" spans="1:3">
      <c r="A1479" s="4435" t="s">
        <v>1478</v>
      </c>
      <c r="B1479" s="4436"/>
      <c r="C1479" s="4437"/>
    </row>
    <row r="1480" spans="1:3">
      <c r="A1480" s="4438" t="s">
        <v>1479</v>
      </c>
      <c r="B1480" s="4439"/>
      <c r="C1480" s="4440"/>
    </row>
    <row r="1481" spans="1:3">
      <c r="A1481" s="4441" t="s">
        <v>1480</v>
      </c>
      <c r="B1481" s="4442"/>
      <c r="C1481" s="4443"/>
    </row>
    <row r="1482" spans="1:3">
      <c r="A1482" s="4444" t="s">
        <v>1481</v>
      </c>
      <c r="B1482" s="4445"/>
      <c r="C1482" s="4446"/>
    </row>
    <row r="1483" spans="1:3">
      <c r="A1483" s="4447" t="s">
        <v>1482</v>
      </c>
      <c r="B1483" s="4448"/>
      <c r="C1483" s="4449"/>
    </row>
    <row r="1484" spans="1:3">
      <c r="A1484" s="4450" t="s">
        <v>1483</v>
      </c>
      <c r="B1484" s="4451"/>
      <c r="C1484" s="4452"/>
    </row>
    <row r="1485" spans="1:3">
      <c r="A1485" s="4453" t="s">
        <v>1484</v>
      </c>
      <c r="B1485" s="4454"/>
      <c r="C1485" s="4455"/>
    </row>
    <row r="1486" spans="1:3">
      <c r="A1486" s="4456" t="s">
        <v>1485</v>
      </c>
      <c r="B1486" s="4457"/>
      <c r="C1486" s="4458"/>
    </row>
    <row r="1487" spans="1:3">
      <c r="A1487" s="4459" t="s">
        <v>1486</v>
      </c>
      <c r="B1487" s="4460"/>
      <c r="C1487" s="4461"/>
    </row>
    <row r="1488" spans="1:3">
      <c r="A1488" s="4462" t="s">
        <v>1487</v>
      </c>
      <c r="B1488" s="4463"/>
      <c r="C1488" s="4464"/>
    </row>
    <row r="1489" spans="1:3">
      <c r="A1489" s="4465" t="s">
        <v>1488</v>
      </c>
      <c r="B1489" s="4466"/>
      <c r="C1489" s="4467"/>
    </row>
    <row r="1490" spans="1:3">
      <c r="A1490" s="4468" t="s">
        <v>1489</v>
      </c>
      <c r="B1490" s="4469"/>
      <c r="C1490" s="4470"/>
    </row>
    <row r="1491" spans="1:3">
      <c r="A1491" s="4471" t="s">
        <v>1490</v>
      </c>
      <c r="B1491" s="4472"/>
      <c r="C1491" s="4473"/>
    </row>
    <row r="1492" spans="1:3">
      <c r="A1492" s="4474" t="s">
        <v>1491</v>
      </c>
      <c r="B1492" s="4475"/>
      <c r="C1492" s="4476"/>
    </row>
    <row r="1493" spans="1:3">
      <c r="A1493" s="4477" t="s">
        <v>1492</v>
      </c>
      <c r="B1493" s="4478"/>
      <c r="C1493" s="4479"/>
    </row>
    <row r="1494" spans="1:3">
      <c r="A1494" s="4480" t="s">
        <v>1493</v>
      </c>
      <c r="B1494" s="4481"/>
      <c r="C1494" s="4482"/>
    </row>
    <row r="1495" spans="1:3">
      <c r="A1495" s="4483" t="s">
        <v>1494</v>
      </c>
      <c r="B1495" s="4484"/>
      <c r="C1495" s="4485"/>
    </row>
    <row r="1496" spans="1:3">
      <c r="A1496" s="4486" t="s">
        <v>1495</v>
      </c>
      <c r="B1496" s="4487"/>
      <c r="C1496" s="4488"/>
    </row>
    <row r="1497" spans="1:3">
      <c r="A1497" s="4489" t="s">
        <v>1496</v>
      </c>
      <c r="B1497" s="4490"/>
      <c r="C1497" s="4491"/>
    </row>
    <row r="1498" spans="1:3">
      <c r="A1498" s="4492" t="s">
        <v>1497</v>
      </c>
      <c r="B1498" s="4493"/>
      <c r="C1498" s="4494"/>
    </row>
    <row r="1499" spans="1:3">
      <c r="A1499" s="4495" t="s">
        <v>1498</v>
      </c>
      <c r="B1499" s="4496"/>
      <c r="C1499" s="4497"/>
    </row>
    <row r="1500" spans="1:3">
      <c r="A1500" s="4498" t="s">
        <v>1499</v>
      </c>
      <c r="B1500" s="4499"/>
      <c r="C1500" s="4500"/>
    </row>
    <row r="1501" spans="1:3">
      <c r="A1501" s="4501" t="s">
        <v>1500</v>
      </c>
      <c r="B1501" s="4502"/>
      <c r="C1501" s="4503"/>
    </row>
    <row r="1502" spans="1:3">
      <c r="A1502" s="4504" t="s">
        <v>1501</v>
      </c>
      <c r="B1502" s="4505"/>
      <c r="C1502" s="4506"/>
    </row>
    <row r="1503" spans="1:3">
      <c r="A1503" s="4507" t="s">
        <v>1502</v>
      </c>
      <c r="B1503" s="4508"/>
      <c r="C1503" s="4509"/>
    </row>
    <row r="1504" spans="1:3">
      <c r="A1504" s="4510" t="s">
        <v>1503</v>
      </c>
      <c r="B1504" s="4511"/>
      <c r="C1504" s="4512"/>
    </row>
    <row r="1505" spans="1:3">
      <c r="A1505" s="4513" t="s">
        <v>1504</v>
      </c>
      <c r="B1505" s="4514"/>
      <c r="C1505" s="4515"/>
    </row>
    <row r="1506" spans="1:3">
      <c r="A1506" s="4516" t="s">
        <v>1505</v>
      </c>
      <c r="B1506" s="4517"/>
      <c r="C1506" s="4518"/>
    </row>
    <row r="1507" spans="1:3">
      <c r="A1507" s="4519" t="s">
        <v>1506</v>
      </c>
      <c r="B1507" s="4520"/>
      <c r="C1507" s="4521"/>
    </row>
    <row r="1508" spans="1:3">
      <c r="A1508" s="4522" t="s">
        <v>1507</v>
      </c>
      <c r="B1508" s="4523"/>
      <c r="C1508" s="4524"/>
    </row>
    <row r="1509" spans="1:3">
      <c r="A1509" s="4525" t="s">
        <v>1508</v>
      </c>
      <c r="B1509" s="4526"/>
      <c r="C1509" s="4527"/>
    </row>
    <row r="1510" spans="1:3">
      <c r="A1510" s="4528" t="s">
        <v>1509</v>
      </c>
      <c r="B1510" s="4529"/>
      <c r="C1510" s="4530"/>
    </row>
    <row r="1511" spans="1:3">
      <c r="A1511" s="4531" t="s">
        <v>1510</v>
      </c>
      <c r="B1511" s="4532"/>
      <c r="C1511" s="4533"/>
    </row>
    <row r="1512" spans="1:3">
      <c r="A1512" s="4534" t="s">
        <v>1511</v>
      </c>
      <c r="B1512" s="4535"/>
      <c r="C1512" s="4536"/>
    </row>
    <row r="1513" spans="1:3">
      <c r="A1513" s="4537" t="s">
        <v>1512</v>
      </c>
      <c r="B1513" s="4538"/>
      <c r="C1513" s="4539"/>
    </row>
    <row r="1514" spans="1:3">
      <c r="A1514" s="4540" t="s">
        <v>1513</v>
      </c>
      <c r="B1514" s="4541"/>
      <c r="C1514" s="4542"/>
    </row>
    <row r="1515" spans="1:3">
      <c r="A1515" s="4543" t="s">
        <v>1514</v>
      </c>
      <c r="B1515" s="4544"/>
      <c r="C1515" s="4545"/>
    </row>
    <row r="1516" spans="1:3">
      <c r="A1516" s="4546" t="s">
        <v>1515</v>
      </c>
      <c r="B1516" s="4547"/>
      <c r="C1516" s="4548"/>
    </row>
    <row r="1517" spans="1:3">
      <c r="A1517" s="4549" t="s">
        <v>1516</v>
      </c>
      <c r="B1517" s="4550"/>
      <c r="C1517" s="4551"/>
    </row>
    <row r="1518" spans="1:3">
      <c r="A1518" s="4552" t="s">
        <v>1517</v>
      </c>
      <c r="B1518" s="4553"/>
      <c r="C1518" s="4554"/>
    </row>
    <row r="1519" spans="1:3">
      <c r="A1519" s="4555" t="s">
        <v>1518</v>
      </c>
      <c r="B1519" s="4556"/>
      <c r="C1519" s="4557"/>
    </row>
    <row r="1520" spans="1:3">
      <c r="A1520" s="4558" t="s">
        <v>1519</v>
      </c>
      <c r="B1520" s="4559"/>
      <c r="C1520" s="4560"/>
    </row>
    <row r="1521" spans="1:3">
      <c r="A1521" s="4561" t="s">
        <v>1520</v>
      </c>
      <c r="B1521" s="4562"/>
      <c r="C1521" s="4563"/>
    </row>
    <row r="1522" spans="1:3">
      <c r="A1522" s="4564" t="s">
        <v>1521</v>
      </c>
      <c r="B1522" s="4565"/>
      <c r="C1522" s="4566"/>
    </row>
    <row r="1523" spans="1:3">
      <c r="A1523" s="4567" t="s">
        <v>1522</v>
      </c>
      <c r="B1523" s="4568"/>
      <c r="C1523" s="4569"/>
    </row>
    <row r="1524" spans="1:3">
      <c r="A1524" s="4570" t="s">
        <v>1523</v>
      </c>
      <c r="B1524" s="4571"/>
      <c r="C1524" s="4572"/>
    </row>
    <row r="1525" spans="1:3">
      <c r="A1525" s="4573" t="s">
        <v>1524</v>
      </c>
      <c r="B1525" s="4574"/>
      <c r="C1525" s="4575"/>
    </row>
    <row r="1526" spans="1:3">
      <c r="A1526" s="4576" t="s">
        <v>1525</v>
      </c>
      <c r="B1526" s="4577"/>
      <c r="C1526" s="4578"/>
    </row>
    <row r="1527" spans="1:3">
      <c r="A1527" s="4579" t="s">
        <v>1526</v>
      </c>
      <c r="B1527" s="4580"/>
      <c r="C1527" s="4581"/>
    </row>
    <row r="1528" spans="1:3">
      <c r="A1528" s="4582" t="s">
        <v>1527</v>
      </c>
      <c r="B1528" s="4583"/>
      <c r="C1528" s="4584"/>
    </row>
    <row r="1529" spans="1:3">
      <c r="A1529" s="4585" t="s">
        <v>1528</v>
      </c>
      <c r="B1529" s="4586"/>
      <c r="C1529" s="4587"/>
    </row>
    <row r="1530" spans="1:3">
      <c r="A1530" s="4588" t="s">
        <v>1529</v>
      </c>
      <c r="B1530" s="4589"/>
      <c r="C1530" s="4590"/>
    </row>
    <row r="1531" spans="1:3">
      <c r="A1531" s="4591" t="s">
        <v>1530</v>
      </c>
      <c r="B1531" s="4592"/>
      <c r="C1531" s="4593"/>
    </row>
    <row r="1532" spans="1:3">
      <c r="A1532" s="4594" t="s">
        <v>1531</v>
      </c>
      <c r="B1532" s="4595"/>
      <c r="C1532" s="4596"/>
    </row>
    <row r="1533" spans="1:3">
      <c r="A1533" s="4597" t="s">
        <v>1532</v>
      </c>
      <c r="B1533" s="4598"/>
      <c r="C1533" s="4599"/>
    </row>
    <row r="1534" spans="1:3">
      <c r="A1534" s="4600" t="s">
        <v>1533</v>
      </c>
      <c r="B1534" s="4601"/>
      <c r="C1534" s="4602"/>
    </row>
    <row r="1535" spans="1:3">
      <c r="A1535" s="4603" t="s">
        <v>1534</v>
      </c>
      <c r="B1535" s="4604"/>
      <c r="C1535" s="4605"/>
    </row>
    <row r="1536" spans="1:3">
      <c r="A1536" s="4606" t="s">
        <v>1535</v>
      </c>
      <c r="B1536" s="4607"/>
      <c r="C1536" s="4608"/>
    </row>
    <row r="1537" spans="1:3">
      <c r="A1537" s="4609" t="s">
        <v>1536</v>
      </c>
      <c r="B1537" s="4610"/>
      <c r="C1537" s="4611"/>
    </row>
    <row r="1538" spans="1:3">
      <c r="A1538" s="4612" t="s">
        <v>1537</v>
      </c>
      <c r="B1538" s="4613"/>
      <c r="C1538" s="4614"/>
    </row>
    <row r="1539" spans="1:3">
      <c r="A1539" s="4615" t="s">
        <v>1538</v>
      </c>
      <c r="B1539" s="4616"/>
      <c r="C1539" s="4617"/>
    </row>
    <row r="1540" spans="1:3">
      <c r="A1540" s="4618" t="s">
        <v>1539</v>
      </c>
      <c r="B1540" s="4619"/>
      <c r="C1540" s="4620"/>
    </row>
    <row r="1541" spans="1:3">
      <c r="A1541" s="4621" t="s">
        <v>1540</v>
      </c>
      <c r="B1541" s="4622"/>
      <c r="C1541" s="4623"/>
    </row>
    <row r="1542" spans="1:3">
      <c r="A1542" s="4624" t="s">
        <v>1541</v>
      </c>
      <c r="B1542" s="4625"/>
      <c r="C1542" s="4626"/>
    </row>
    <row r="1543" spans="1:3">
      <c r="A1543" s="4627" t="s">
        <v>1542</v>
      </c>
      <c r="B1543" s="4628"/>
      <c r="C1543" s="4629"/>
    </row>
    <row r="1544" spans="1:3">
      <c r="A1544" s="4630" t="s">
        <v>1543</v>
      </c>
      <c r="B1544" s="4631"/>
      <c r="C1544" s="4632"/>
    </row>
    <row r="1545" spans="1:3">
      <c r="A1545" s="4633" t="s">
        <v>1544</v>
      </c>
      <c r="B1545" s="4634"/>
      <c r="C1545" s="4635"/>
    </row>
    <row r="1546" spans="1:3">
      <c r="A1546" s="4636" t="s">
        <v>1545</v>
      </c>
      <c r="B1546" s="4637"/>
      <c r="C1546" s="4638"/>
    </row>
    <row r="1547" spans="1:3">
      <c r="A1547" s="4639" t="s">
        <v>1546</v>
      </c>
      <c r="B1547" s="4640"/>
      <c r="C1547" s="4641"/>
    </row>
    <row r="1548" spans="1:3">
      <c r="A1548" s="4642" t="s">
        <v>1547</v>
      </c>
      <c r="B1548" s="4643"/>
      <c r="C1548" s="4644"/>
    </row>
    <row r="1549" spans="1:3">
      <c r="A1549" s="4645" t="s">
        <v>1548</v>
      </c>
      <c r="B1549" s="4646"/>
      <c r="C1549" s="4647"/>
    </row>
    <row r="1550" spans="1:3">
      <c r="A1550" s="4648" t="s">
        <v>1549</v>
      </c>
      <c r="B1550" s="4649"/>
      <c r="C1550" s="4650"/>
    </row>
    <row r="1551" spans="1:3">
      <c r="A1551" s="4651" t="s">
        <v>1550</v>
      </c>
      <c r="B1551" s="4652"/>
      <c r="C1551" s="4653"/>
    </row>
    <row r="1552" spans="1:3">
      <c r="A1552" s="4654" t="s">
        <v>1551</v>
      </c>
      <c r="B1552" s="4655"/>
      <c r="C1552" s="4656"/>
    </row>
    <row r="1553" spans="1:3">
      <c r="A1553" s="4657" t="s">
        <v>1552</v>
      </c>
      <c r="B1553" s="4658"/>
      <c r="C1553" s="4659"/>
    </row>
    <row r="1554" spans="1:3">
      <c r="A1554" s="4660" t="s">
        <v>1553</v>
      </c>
      <c r="B1554" s="4661"/>
      <c r="C1554" s="4662"/>
    </row>
    <row r="1555" spans="1:3">
      <c r="A1555" s="4663" t="s">
        <v>1554</v>
      </c>
      <c r="B1555" s="4664"/>
      <c r="C1555" s="4665"/>
    </row>
    <row r="1556" spans="1:3">
      <c r="A1556" s="4666" t="s">
        <v>1555</v>
      </c>
      <c r="B1556" s="4667"/>
      <c r="C1556" s="4668"/>
    </row>
    <row r="1557" spans="1:3">
      <c r="A1557" s="4669" t="s">
        <v>1556</v>
      </c>
      <c r="B1557" s="4670"/>
      <c r="C1557" s="4671"/>
    </row>
    <row r="1558" spans="1:3">
      <c r="A1558" s="4672" t="s">
        <v>1557</v>
      </c>
      <c r="B1558" s="4673"/>
      <c r="C1558" s="4674"/>
    </row>
    <row r="1559" spans="1:3">
      <c r="A1559" s="4675" t="s">
        <v>1558</v>
      </c>
      <c r="B1559" s="4676"/>
      <c r="C1559" s="4677"/>
    </row>
    <row r="1560" spans="1:3">
      <c r="A1560" s="4678" t="s">
        <v>1559</v>
      </c>
      <c r="B1560" s="4679"/>
      <c r="C1560" s="4680"/>
    </row>
    <row r="1561" spans="1:3">
      <c r="A1561" s="4681" t="s">
        <v>1560</v>
      </c>
      <c r="B1561" s="4682"/>
      <c r="C1561" s="4683"/>
    </row>
    <row r="1562" spans="1:3">
      <c r="A1562" s="4684" t="s">
        <v>1561</v>
      </c>
      <c r="B1562" s="4685"/>
      <c r="C1562" s="4686"/>
    </row>
    <row r="1563" spans="1:3">
      <c r="A1563" s="4687" t="s">
        <v>1562</v>
      </c>
      <c r="B1563" s="4688"/>
      <c r="C1563" s="4689"/>
    </row>
    <row r="1564" spans="1:3">
      <c r="A1564" s="4690" t="s">
        <v>1563</v>
      </c>
      <c r="B1564" s="4691"/>
      <c r="C1564" s="4692"/>
    </row>
    <row r="1565" spans="1:3">
      <c r="A1565" s="4693" t="s">
        <v>1564</v>
      </c>
      <c r="B1565" s="4694"/>
      <c r="C1565" s="4695"/>
    </row>
    <row r="1566" spans="1:3">
      <c r="A1566" s="4696" t="s">
        <v>1565</v>
      </c>
      <c r="B1566" s="4697"/>
      <c r="C1566" s="4698"/>
    </row>
    <row r="1567" spans="1:3">
      <c r="A1567" s="4699" t="s">
        <v>1566</v>
      </c>
      <c r="B1567" s="4700"/>
      <c r="C1567" s="4701"/>
    </row>
    <row r="1568" spans="1:3">
      <c r="A1568" s="4702" t="s">
        <v>1567</v>
      </c>
      <c r="B1568" s="4703"/>
      <c r="C1568" s="4704"/>
    </row>
    <row r="1569" spans="1:3">
      <c r="A1569" s="4705" t="s">
        <v>1568</v>
      </c>
      <c r="B1569" s="4706"/>
      <c r="C1569" s="4707"/>
    </row>
    <row r="1570" spans="1:3">
      <c r="A1570" s="4708" t="s">
        <v>1569</v>
      </c>
      <c r="B1570" s="4709"/>
      <c r="C1570" s="4710"/>
    </row>
    <row r="1571" spans="1:3">
      <c r="A1571" s="4711" t="s">
        <v>1570</v>
      </c>
      <c r="B1571" s="4712"/>
      <c r="C1571" s="4713"/>
    </row>
    <row r="1572" spans="1:3">
      <c r="A1572" s="4714" t="s">
        <v>1571</v>
      </c>
      <c r="B1572" s="4715"/>
      <c r="C1572" s="4716"/>
    </row>
    <row r="1573" spans="1:3">
      <c r="A1573" s="4717" t="s">
        <v>1572</v>
      </c>
      <c r="B1573" s="4718"/>
      <c r="C1573" s="4719"/>
    </row>
    <row r="1574" spans="1:3">
      <c r="A1574" s="4720" t="s">
        <v>1573</v>
      </c>
      <c r="B1574" s="4721"/>
      <c r="C1574" s="4722"/>
    </row>
    <row r="1575" spans="1:3">
      <c r="A1575" s="4723" t="s">
        <v>1574</v>
      </c>
      <c r="B1575" s="4724"/>
      <c r="C1575" s="4725"/>
    </row>
    <row r="1576" spans="1:3">
      <c r="A1576" s="4726" t="s">
        <v>1575</v>
      </c>
      <c r="B1576" s="4727"/>
      <c r="C1576" s="4728"/>
    </row>
    <row r="1577" spans="1:3">
      <c r="A1577" s="4729" t="s">
        <v>1576</v>
      </c>
      <c r="B1577" s="4730"/>
      <c r="C1577" s="4731"/>
    </row>
    <row r="1578" spans="1:3">
      <c r="A1578" s="4732" t="s">
        <v>1577</v>
      </c>
      <c r="B1578" s="4733"/>
      <c r="C1578" s="4734"/>
    </row>
    <row r="1579" spans="1:3">
      <c r="A1579" s="4735" t="s">
        <v>1578</v>
      </c>
      <c r="B1579" s="4736"/>
      <c r="C1579" s="4737"/>
    </row>
    <row r="1580" spans="1:3">
      <c r="A1580" s="4738" t="s">
        <v>1579</v>
      </c>
      <c r="B1580" s="4739"/>
      <c r="C1580" s="4740"/>
    </row>
    <row r="1581" spans="1:3">
      <c r="A1581" s="4741" t="s">
        <v>1580</v>
      </c>
      <c r="B1581" s="4742"/>
      <c r="C1581" s="4743"/>
    </row>
    <row r="1582" spans="1:3">
      <c r="A1582" s="4744" t="s">
        <v>1581</v>
      </c>
      <c r="B1582" s="4745"/>
      <c r="C1582" s="4746"/>
    </row>
    <row r="1583" spans="1:3">
      <c r="A1583" s="4747" t="s">
        <v>1582</v>
      </c>
      <c r="B1583" s="4748"/>
      <c r="C1583" s="4749"/>
    </row>
    <row r="1584" spans="1:3">
      <c r="A1584" s="4750" t="s">
        <v>1583</v>
      </c>
      <c r="B1584" s="4751"/>
      <c r="C1584" s="4752"/>
    </row>
    <row r="1585" spans="1:3">
      <c r="A1585" s="4753" t="s">
        <v>1584</v>
      </c>
      <c r="B1585" s="4754"/>
      <c r="C1585" s="4755"/>
    </row>
    <row r="1586" spans="1:3">
      <c r="A1586" s="4756" t="s">
        <v>1585</v>
      </c>
      <c r="B1586" s="4757"/>
      <c r="C1586" s="4758"/>
    </row>
    <row r="1587" spans="1:3">
      <c r="A1587" s="4759" t="s">
        <v>1586</v>
      </c>
      <c r="B1587" s="4760"/>
      <c r="C1587" s="4761"/>
    </row>
    <row r="1588" spans="1:3">
      <c r="A1588" s="4762" t="s">
        <v>1587</v>
      </c>
      <c r="B1588" s="4763"/>
      <c r="C1588" s="4764"/>
    </row>
    <row r="1589" spans="1:3">
      <c r="A1589" s="4765" t="s">
        <v>1588</v>
      </c>
      <c r="B1589" s="4766"/>
      <c r="C1589" s="4767"/>
    </row>
    <row r="1590" spans="1:3">
      <c r="A1590" s="4768" t="s">
        <v>1589</v>
      </c>
      <c r="B1590" s="4769"/>
      <c r="C1590" s="4770"/>
    </row>
    <row r="1591" spans="1:3">
      <c r="A1591" s="4771" t="s">
        <v>1590</v>
      </c>
      <c r="B1591" s="4772"/>
      <c r="C1591" s="4773"/>
    </row>
    <row r="1592" spans="1:3">
      <c r="A1592" s="4774" t="s">
        <v>1591</v>
      </c>
      <c r="B1592" s="4775"/>
      <c r="C1592" s="4776"/>
    </row>
    <row r="1593" spans="1:3">
      <c r="A1593" s="4777" t="s">
        <v>1592</v>
      </c>
      <c r="B1593" s="4778"/>
      <c r="C1593" s="4779"/>
    </row>
    <row r="1594" spans="1:3">
      <c r="A1594" s="4780" t="s">
        <v>1593</v>
      </c>
      <c r="B1594" s="4781"/>
      <c r="C1594" s="4782"/>
    </row>
    <row r="1595" spans="1:3">
      <c r="A1595" s="4783" t="s">
        <v>1594</v>
      </c>
      <c r="B1595" s="4784"/>
      <c r="C1595" s="4785"/>
    </row>
    <row r="1596" spans="1:3">
      <c r="A1596" s="4786" t="s">
        <v>1595</v>
      </c>
      <c r="B1596" s="4787"/>
      <c r="C1596" s="4788"/>
    </row>
    <row r="1597" spans="1:3">
      <c r="A1597" s="4789" t="s">
        <v>1596</v>
      </c>
      <c r="B1597" s="4790"/>
      <c r="C1597" s="4791"/>
    </row>
    <row r="1598" spans="1:3">
      <c r="A1598" s="4792" t="s">
        <v>1597</v>
      </c>
      <c r="B1598" s="4793"/>
      <c r="C1598" s="4794"/>
    </row>
    <row r="1599" spans="1:3">
      <c r="A1599" s="4795" t="s">
        <v>1598</v>
      </c>
      <c r="B1599" s="4796"/>
      <c r="C1599" s="4797"/>
    </row>
    <row r="1600" spans="1:3">
      <c r="A1600" s="4798" t="s">
        <v>1599</v>
      </c>
      <c r="B1600" s="4799"/>
      <c r="C1600" s="4800"/>
    </row>
    <row r="1601" spans="1:3">
      <c r="A1601" s="4801" t="s">
        <v>1600</v>
      </c>
      <c r="B1601" s="4802"/>
      <c r="C1601" s="4803"/>
    </row>
    <row r="1602" spans="1:3">
      <c r="A1602" s="4804" t="s">
        <v>1601</v>
      </c>
      <c r="B1602" s="4805"/>
      <c r="C1602" s="4806"/>
    </row>
    <row r="1603" spans="1:3">
      <c r="A1603" s="4807" t="s">
        <v>1602</v>
      </c>
      <c r="B1603" s="4808"/>
      <c r="C1603" s="4809"/>
    </row>
    <row r="1604" spans="1:3">
      <c r="A1604" s="4810" t="s">
        <v>1603</v>
      </c>
      <c r="B1604" s="4811"/>
      <c r="C1604" s="4812"/>
    </row>
    <row r="1605" spans="1:3">
      <c r="A1605" s="4813" t="s">
        <v>1604</v>
      </c>
      <c r="B1605" s="4814"/>
      <c r="C1605" s="4815"/>
    </row>
    <row r="1606" spans="1:3">
      <c r="A1606" s="4816" t="s">
        <v>1605</v>
      </c>
      <c r="B1606" s="4817"/>
      <c r="C1606" s="4818"/>
    </row>
    <row r="1607" spans="1:3">
      <c r="A1607" s="4819" t="s">
        <v>1606</v>
      </c>
      <c r="B1607" s="4820"/>
      <c r="C1607" s="4821"/>
    </row>
    <row r="1608" spans="1:3">
      <c r="A1608" s="4822" t="s">
        <v>1607</v>
      </c>
      <c r="B1608" s="4823"/>
      <c r="C1608" s="4824"/>
    </row>
    <row r="1609" spans="1:3">
      <c r="A1609" s="4825" t="s">
        <v>1608</v>
      </c>
      <c r="B1609" s="4826"/>
      <c r="C1609" s="4827"/>
    </row>
    <row r="1610" spans="1:3">
      <c r="A1610" s="4828" t="s">
        <v>1609</v>
      </c>
      <c r="B1610" s="4829"/>
      <c r="C1610" s="4830"/>
    </row>
    <row r="1611" spans="1:3">
      <c r="A1611" s="4831" t="s">
        <v>1610</v>
      </c>
      <c r="B1611" s="4832"/>
      <c r="C1611" s="4833"/>
    </row>
    <row r="1612" spans="1:3">
      <c r="A1612" s="4834" t="s">
        <v>1611</v>
      </c>
      <c r="B1612" s="4835"/>
      <c r="C1612" s="4836"/>
    </row>
    <row r="1613" spans="1:3">
      <c r="A1613" s="4837" t="s">
        <v>1612</v>
      </c>
      <c r="B1613" s="4838"/>
      <c r="C1613" s="4839"/>
    </row>
    <row r="1614" spans="1:3">
      <c r="A1614" s="4840" t="s">
        <v>1613</v>
      </c>
      <c r="B1614" s="4841"/>
      <c r="C1614" s="4842"/>
    </row>
    <row r="1615" spans="1:3">
      <c r="A1615" s="4843" t="s">
        <v>1614</v>
      </c>
      <c r="B1615" s="4844"/>
      <c r="C1615" s="4845"/>
    </row>
    <row r="1616" spans="1:3">
      <c r="A1616" s="4846" t="s">
        <v>1615</v>
      </c>
      <c r="B1616" s="4847"/>
      <c r="C1616" s="4848"/>
    </row>
    <row r="1617" spans="1:3">
      <c r="A1617" s="4849" t="s">
        <v>1616</v>
      </c>
      <c r="B1617" s="4850"/>
      <c r="C1617" s="4851"/>
    </row>
    <row r="1618" spans="1:3">
      <c r="A1618" s="4852" t="s">
        <v>1617</v>
      </c>
      <c r="B1618" s="4853"/>
      <c r="C1618" s="4854"/>
    </row>
    <row r="1619" spans="1:3">
      <c r="A1619" s="4855" t="s">
        <v>1618</v>
      </c>
      <c r="B1619" s="4856"/>
      <c r="C1619" s="4857"/>
    </row>
    <row r="1620" spans="1:3">
      <c r="A1620" s="4858" t="s">
        <v>1619</v>
      </c>
      <c r="B1620" s="4859"/>
      <c r="C1620" s="4860"/>
    </row>
    <row r="1621" spans="1:3">
      <c r="A1621" s="4861" t="s">
        <v>1620</v>
      </c>
      <c r="B1621" s="4862"/>
      <c r="C1621" s="4863"/>
    </row>
    <row r="1622" spans="1:3">
      <c r="A1622" s="4864" t="s">
        <v>1621</v>
      </c>
      <c r="B1622" s="4865"/>
      <c r="C1622" s="4866"/>
    </row>
    <row r="1623" spans="1:3">
      <c r="A1623" s="4867" t="s">
        <v>1622</v>
      </c>
      <c r="B1623" s="4868"/>
      <c r="C1623" s="4869"/>
    </row>
    <row r="1624" spans="1:3">
      <c r="A1624" s="4870" t="s">
        <v>1623</v>
      </c>
      <c r="B1624" s="4871"/>
      <c r="C1624" s="4872"/>
    </row>
    <row r="1625" spans="1:3">
      <c r="A1625" s="4873" t="s">
        <v>1624</v>
      </c>
      <c r="B1625" s="4874"/>
      <c r="C1625" s="4875"/>
    </row>
    <row r="1626" spans="1:3">
      <c r="A1626" s="4876" t="s">
        <v>1625</v>
      </c>
      <c r="B1626" s="4877"/>
      <c r="C1626" s="4878"/>
    </row>
    <row r="1627" spans="1:3">
      <c r="A1627" s="4879" t="s">
        <v>1626</v>
      </c>
      <c r="B1627" s="4880"/>
      <c r="C1627" s="4881"/>
    </row>
    <row r="1628" spans="1:3">
      <c r="A1628" s="4882" t="s">
        <v>1627</v>
      </c>
      <c r="B1628" s="4883"/>
      <c r="C1628" s="4884"/>
    </row>
    <row r="1629" spans="1:3">
      <c r="A1629" s="4885" t="s">
        <v>1628</v>
      </c>
      <c r="B1629" s="4886"/>
      <c r="C1629" s="4887"/>
    </row>
    <row r="1630" spans="1:3">
      <c r="A1630" s="4888" t="s">
        <v>1629</v>
      </c>
      <c r="B1630" s="4889"/>
      <c r="C1630" s="4890"/>
    </row>
    <row r="1631" spans="1:3">
      <c r="A1631" s="4891" t="s">
        <v>1630</v>
      </c>
      <c r="B1631" s="4892"/>
      <c r="C1631" s="4893"/>
    </row>
    <row r="1632" spans="1:3">
      <c r="A1632" s="4894" t="s">
        <v>1631</v>
      </c>
      <c r="B1632" s="4895"/>
      <c r="C1632" s="4896"/>
    </row>
    <row r="1633" spans="1:3">
      <c r="A1633" s="4897" t="s">
        <v>1632</v>
      </c>
      <c r="B1633" s="4898"/>
      <c r="C1633" s="4899"/>
    </row>
    <row r="1634" spans="1:3">
      <c r="A1634" s="4900" t="s">
        <v>1633</v>
      </c>
      <c r="B1634" s="4901"/>
      <c r="C1634" s="4902"/>
    </row>
    <row r="1635" spans="1:3">
      <c r="A1635" s="4903" t="s">
        <v>1634</v>
      </c>
      <c r="B1635" s="4904"/>
      <c r="C1635" s="4905"/>
    </row>
    <row r="1636" spans="1:3">
      <c r="A1636" s="4906" t="s">
        <v>1635</v>
      </c>
      <c r="B1636" s="4907"/>
      <c r="C1636" s="4908"/>
    </row>
    <row r="1637" spans="1:3">
      <c r="A1637" s="4909" t="s">
        <v>1636</v>
      </c>
      <c r="B1637" s="4910"/>
      <c r="C1637" s="4911"/>
    </row>
    <row r="1638" spans="1:3">
      <c r="A1638" s="4912" t="s">
        <v>1637</v>
      </c>
      <c r="B1638" s="4913"/>
      <c r="C1638" s="4914"/>
    </row>
    <row r="1639" spans="1:3">
      <c r="A1639" s="4915" t="s">
        <v>1638</v>
      </c>
      <c r="B1639" s="4916"/>
      <c r="C1639" s="4917"/>
    </row>
    <row r="1640" spans="1:3">
      <c r="A1640" s="4918" t="s">
        <v>1639</v>
      </c>
      <c r="B1640" s="4919"/>
      <c r="C1640" s="4920"/>
    </row>
    <row r="1641" spans="1:3">
      <c r="A1641" s="4921" t="s">
        <v>1640</v>
      </c>
      <c r="B1641" s="4922"/>
      <c r="C1641" s="4923"/>
    </row>
    <row r="1642" spans="1:3">
      <c r="A1642" s="4924" t="s">
        <v>1641</v>
      </c>
      <c r="B1642" s="4925"/>
      <c r="C1642" s="4926"/>
    </row>
    <row r="1643" spans="1:3">
      <c r="A1643" s="4927" t="s">
        <v>1642</v>
      </c>
      <c r="B1643" s="4928"/>
      <c r="C1643" s="4929"/>
    </row>
    <row r="1644" spans="1:3">
      <c r="A1644" s="4930" t="s">
        <v>1643</v>
      </c>
      <c r="B1644" s="4931"/>
      <c r="C1644" s="4932"/>
    </row>
    <row r="1645" spans="1:3">
      <c r="A1645" s="4933" t="s">
        <v>1644</v>
      </c>
      <c r="B1645" s="4934"/>
      <c r="C1645" s="4935"/>
    </row>
    <row r="1646" spans="1:3">
      <c r="A1646" s="4936" t="s">
        <v>1645</v>
      </c>
      <c r="B1646" s="4937"/>
      <c r="C1646" s="4938"/>
    </row>
    <row r="1647" spans="1:3">
      <c r="A1647" s="4939" t="s">
        <v>1646</v>
      </c>
      <c r="B1647" s="4940"/>
      <c r="C1647" s="4941"/>
    </row>
    <row r="1648" spans="1:3">
      <c r="A1648" s="4942" t="s">
        <v>1647</v>
      </c>
      <c r="B1648" s="4943"/>
      <c r="C1648" s="4944"/>
    </row>
    <row r="1649" spans="1:3">
      <c r="A1649" s="4945" t="s">
        <v>1648</v>
      </c>
      <c r="B1649" s="4946"/>
      <c r="C1649" s="4947"/>
    </row>
    <row r="1650" spans="1:3">
      <c r="A1650" s="4948" t="s">
        <v>1649</v>
      </c>
      <c r="B1650" s="4949"/>
      <c r="C1650" s="4950"/>
    </row>
    <row r="1651" spans="1:3">
      <c r="A1651" s="4951" t="s">
        <v>1650</v>
      </c>
      <c r="B1651" s="4952"/>
      <c r="C1651" s="4953"/>
    </row>
    <row r="1652" spans="1:3">
      <c r="A1652" s="4954" t="s">
        <v>1651</v>
      </c>
      <c r="B1652" s="4955"/>
      <c r="C1652" s="4956"/>
    </row>
    <row r="1653" spans="1:3">
      <c r="A1653" s="4957" t="s">
        <v>1652</v>
      </c>
      <c r="B1653" s="4958"/>
      <c r="C1653" s="4959"/>
    </row>
    <row r="1654" spans="1:3">
      <c r="A1654" s="4960" t="s">
        <v>1653</v>
      </c>
      <c r="B1654" s="4961"/>
      <c r="C1654" s="4962"/>
    </row>
    <row r="1655" spans="1:3">
      <c r="A1655" s="4963" t="s">
        <v>1654</v>
      </c>
      <c r="B1655" s="4964"/>
      <c r="C1655" s="4965"/>
    </row>
    <row r="1656" spans="1:3">
      <c r="A1656" s="4966" t="s">
        <v>1655</v>
      </c>
      <c r="B1656" s="4967"/>
      <c r="C1656" s="4968"/>
    </row>
    <row r="1657" spans="1:3">
      <c r="A1657" s="4969" t="s">
        <v>1656</v>
      </c>
      <c r="B1657" s="4970"/>
      <c r="C1657" s="4971"/>
    </row>
    <row r="1658" spans="1:3">
      <c r="A1658" s="4972" t="s">
        <v>1657</v>
      </c>
      <c r="B1658" s="4973"/>
      <c r="C1658" s="4974"/>
    </row>
    <row r="1659" spans="1:3">
      <c r="A1659" s="4975" t="s">
        <v>1658</v>
      </c>
      <c r="B1659" s="4976"/>
      <c r="C1659" s="4977"/>
    </row>
    <row r="1660" spans="1:3">
      <c r="A1660" s="4978" t="s">
        <v>1659</v>
      </c>
      <c r="B1660" s="4979"/>
      <c r="C1660" s="4980"/>
    </row>
    <row r="1661" spans="1:3">
      <c r="A1661" s="4981" t="s">
        <v>1660</v>
      </c>
      <c r="B1661" s="4982"/>
      <c r="C1661" s="4983"/>
    </row>
    <row r="1662" spans="1:3">
      <c r="A1662" s="4984" t="s">
        <v>1661</v>
      </c>
      <c r="B1662" s="4985"/>
      <c r="C1662" s="4986"/>
    </row>
    <row r="1663" spans="1:3">
      <c r="A1663" s="4987" t="s">
        <v>1662</v>
      </c>
      <c r="B1663" s="4988"/>
      <c r="C1663" s="4989"/>
    </row>
    <row r="1664" spans="1:3">
      <c r="A1664" s="4990" t="s">
        <v>1663</v>
      </c>
      <c r="B1664" s="4991"/>
      <c r="C1664" s="4992"/>
    </row>
    <row r="1665" spans="1:3">
      <c r="A1665" s="4993" t="s">
        <v>1664</v>
      </c>
      <c r="B1665" s="4994"/>
      <c r="C1665" s="4995"/>
    </row>
    <row r="1666" spans="1:3">
      <c r="A1666" s="4996" t="s">
        <v>1665</v>
      </c>
      <c r="B1666" s="4997"/>
      <c r="C1666" s="4998"/>
    </row>
    <row r="1667" spans="1:3">
      <c r="A1667" s="4999" t="s">
        <v>1666</v>
      </c>
      <c r="B1667" s="5000"/>
      <c r="C1667" s="5001"/>
    </row>
    <row r="1668" spans="1:3">
      <c r="A1668" s="5002" t="s">
        <v>1667</v>
      </c>
      <c r="B1668" s="5003"/>
      <c r="C1668" s="5004"/>
    </row>
    <row r="1669" spans="1:3">
      <c r="A1669" s="5005" t="s">
        <v>1668</v>
      </c>
      <c r="B1669" s="5006"/>
      <c r="C1669" s="5007"/>
    </row>
    <row r="1670" spans="1:3">
      <c r="A1670" s="5008" t="s">
        <v>1669</v>
      </c>
      <c r="B1670" s="5009"/>
      <c r="C1670" s="5010"/>
    </row>
    <row r="1671" spans="1:3">
      <c r="A1671" s="5011" t="s">
        <v>1670</v>
      </c>
      <c r="B1671" s="5012"/>
      <c r="C1671" s="5013"/>
    </row>
    <row r="1672" spans="1:3">
      <c r="A1672" s="5014" t="s">
        <v>1671</v>
      </c>
      <c r="B1672" s="5015"/>
      <c r="C1672" s="5016"/>
    </row>
    <row r="1673" spans="1:3">
      <c r="A1673" s="5017" t="s">
        <v>1672</v>
      </c>
      <c r="B1673" s="5018"/>
      <c r="C1673" s="5019"/>
    </row>
    <row r="1674" spans="1:3">
      <c r="A1674" s="5020" t="s">
        <v>1673</v>
      </c>
      <c r="B1674" s="5021"/>
      <c r="C1674" s="5022"/>
    </row>
    <row r="1675" spans="1:3">
      <c r="A1675" s="5023" t="s">
        <v>1674</v>
      </c>
      <c r="B1675" s="5024"/>
      <c r="C1675" s="5025"/>
    </row>
    <row r="1676" spans="1:3">
      <c r="A1676" s="5026" t="s">
        <v>1675</v>
      </c>
      <c r="B1676" s="5027"/>
      <c r="C1676" s="5028"/>
    </row>
    <row r="1677" spans="1:3">
      <c r="A1677" s="5029" t="s">
        <v>1676</v>
      </c>
      <c r="B1677" s="5030"/>
      <c r="C1677" s="5031"/>
    </row>
    <row r="1678" spans="1:3">
      <c r="A1678" s="5032" t="s">
        <v>1677</v>
      </c>
      <c r="B1678" s="5033"/>
      <c r="C1678" s="5034"/>
    </row>
    <row r="1679" spans="1:3">
      <c r="A1679" s="5035" t="s">
        <v>1678</v>
      </c>
      <c r="B1679" s="5036"/>
      <c r="C1679" s="5037"/>
    </row>
    <row r="1680" spans="1:3">
      <c r="A1680" s="5038" t="s">
        <v>1679</v>
      </c>
      <c r="B1680" s="5039"/>
      <c r="C1680" s="5040"/>
    </row>
    <row r="1681" spans="1:3">
      <c r="A1681" s="5041" t="s">
        <v>1680</v>
      </c>
      <c r="B1681" s="5042"/>
      <c r="C1681" s="5043"/>
    </row>
    <row r="1682" spans="1:3">
      <c r="A1682" s="5044" t="s">
        <v>1681</v>
      </c>
      <c r="B1682" s="5045"/>
      <c r="C1682" s="5046"/>
    </row>
    <row r="1683" spans="1:3">
      <c r="A1683" s="5047" t="s">
        <v>1682</v>
      </c>
      <c r="B1683" s="5048"/>
      <c r="C1683" s="5049"/>
    </row>
    <row r="1684" spans="1:3">
      <c r="A1684" s="5050" t="s">
        <v>1683</v>
      </c>
      <c r="B1684" s="5051"/>
      <c r="C1684" s="5052"/>
    </row>
    <row r="1685" spans="1:3">
      <c r="A1685" s="5053" t="s">
        <v>1684</v>
      </c>
      <c r="B1685" s="5054"/>
      <c r="C1685" s="5055"/>
    </row>
    <row r="1686" spans="1:3">
      <c r="A1686" s="5056" t="s">
        <v>1685</v>
      </c>
      <c r="B1686" s="5057"/>
      <c r="C1686" s="5058"/>
    </row>
    <row r="1687" spans="1:3">
      <c r="A1687" s="5059" t="s">
        <v>1686</v>
      </c>
      <c r="B1687" s="5060"/>
      <c r="C1687" s="5061"/>
    </row>
    <row r="1688" spans="1:3">
      <c r="A1688" s="5062" t="s">
        <v>1687</v>
      </c>
      <c r="B1688" s="5063"/>
      <c r="C1688" s="5064"/>
    </row>
    <row r="1689" spans="1:3">
      <c r="A1689" s="5065" t="s">
        <v>1688</v>
      </c>
      <c r="B1689" s="5066"/>
      <c r="C1689" s="5067"/>
    </row>
    <row r="1690" spans="1:3">
      <c r="A1690" s="5068" t="s">
        <v>1689</v>
      </c>
      <c r="B1690" s="5069"/>
      <c r="C1690" s="5070"/>
    </row>
    <row r="1691" spans="1:3">
      <c r="A1691" s="5071" t="s">
        <v>1690</v>
      </c>
      <c r="B1691" s="5072"/>
      <c r="C1691" s="5073"/>
    </row>
    <row r="1692" spans="1:3">
      <c r="A1692" s="5074" t="s">
        <v>1691</v>
      </c>
      <c r="B1692" s="5075"/>
      <c r="C1692" s="5076"/>
    </row>
    <row r="1693" spans="1:3">
      <c r="A1693" s="5077" t="s">
        <v>1692</v>
      </c>
      <c r="B1693" s="5078"/>
      <c r="C1693" s="5079"/>
    </row>
    <row r="1694" spans="1:3">
      <c r="A1694" s="5080" t="s">
        <v>1693</v>
      </c>
      <c r="B1694" s="5081"/>
      <c r="C1694" s="5082"/>
    </row>
    <row r="1695" spans="1:3">
      <c r="A1695" s="5083" t="s">
        <v>1694</v>
      </c>
      <c r="B1695" s="5084"/>
      <c r="C1695" s="5085"/>
    </row>
    <row r="1696" spans="1:3">
      <c r="A1696" s="5086" t="s">
        <v>1695</v>
      </c>
      <c r="B1696" s="5087"/>
      <c r="C1696" s="5088"/>
    </row>
    <row r="1697" spans="1:3">
      <c r="A1697" s="5089" t="s">
        <v>1696</v>
      </c>
      <c r="B1697" s="5090"/>
      <c r="C1697" s="5091"/>
    </row>
    <row r="1698" spans="1:3">
      <c r="A1698" s="5092" t="s">
        <v>1697</v>
      </c>
      <c r="B1698" s="5093"/>
      <c r="C1698" s="5094"/>
    </row>
    <row r="1699" spans="1:3">
      <c r="A1699" s="5095" t="s">
        <v>1698</v>
      </c>
      <c r="B1699" s="5096"/>
      <c r="C1699" s="5097"/>
    </row>
    <row r="1700" spans="1:3">
      <c r="A1700" s="5098" t="s">
        <v>1699</v>
      </c>
      <c r="B1700" s="5099"/>
      <c r="C1700" s="5100"/>
    </row>
    <row r="1701" spans="1:3">
      <c r="A1701" s="5101" t="s">
        <v>1700</v>
      </c>
      <c r="B1701" s="5102"/>
      <c r="C1701" s="5103"/>
    </row>
    <row r="1702" spans="1:3">
      <c r="A1702" s="5104" t="s">
        <v>1701</v>
      </c>
      <c r="B1702" s="5105"/>
      <c r="C1702" s="5106"/>
    </row>
    <row r="1703" spans="1:3">
      <c r="A1703" s="5107" t="s">
        <v>1702</v>
      </c>
      <c r="B1703" s="5108"/>
      <c r="C1703" s="5109"/>
    </row>
    <row r="1704" spans="1:3">
      <c r="A1704" s="5110" t="s">
        <v>1703</v>
      </c>
      <c r="B1704" s="5111"/>
      <c r="C1704" s="5112"/>
    </row>
    <row r="1705" spans="1:3">
      <c r="A1705" s="5113" t="s">
        <v>1704</v>
      </c>
      <c r="B1705" s="5114"/>
      <c r="C1705" s="5115"/>
    </row>
    <row r="1706" spans="1:3">
      <c r="A1706" s="5116" t="s">
        <v>1705</v>
      </c>
      <c r="B1706" s="5117"/>
      <c r="C1706" s="5118"/>
    </row>
    <row r="1707" spans="1:3">
      <c r="A1707" s="5119" t="s">
        <v>1706</v>
      </c>
      <c r="B1707" s="5120"/>
      <c r="C1707" s="5121"/>
    </row>
    <row r="1708" spans="1:3">
      <c r="A1708" s="5122" t="s">
        <v>1707</v>
      </c>
      <c r="B1708" s="5123"/>
      <c r="C1708" s="5124"/>
    </row>
    <row r="1709" spans="1:3">
      <c r="A1709" s="5125" t="s">
        <v>1708</v>
      </c>
      <c r="B1709" s="5126"/>
      <c r="C1709" s="5127"/>
    </row>
    <row r="1710" spans="1:3">
      <c r="A1710" s="5128" t="s">
        <v>1709</v>
      </c>
      <c r="B1710" s="5129"/>
      <c r="C1710" s="5130"/>
    </row>
    <row r="1711" spans="1:3">
      <c r="A1711" s="5131" t="s">
        <v>1710</v>
      </c>
      <c r="B1711" s="5132"/>
      <c r="C1711" s="5133"/>
    </row>
    <row r="1712" spans="1:3">
      <c r="A1712" s="5134" t="s">
        <v>1711</v>
      </c>
      <c r="B1712" s="5135"/>
      <c r="C1712" s="5136"/>
    </row>
    <row r="1713" spans="1:3">
      <c r="A1713" s="5137" t="s">
        <v>1712</v>
      </c>
      <c r="B1713" s="5138"/>
      <c r="C1713" s="5139"/>
    </row>
    <row r="1714" spans="1:3">
      <c r="A1714" s="5140" t="s">
        <v>1713</v>
      </c>
      <c r="B1714" s="5141"/>
      <c r="C1714" s="5142"/>
    </row>
    <row r="1715" spans="1:3">
      <c r="A1715" s="5143" t="s">
        <v>1714</v>
      </c>
      <c r="B1715" s="5144"/>
      <c r="C1715" s="5145"/>
    </row>
    <row r="1716" spans="1:3">
      <c r="A1716" s="5146" t="s">
        <v>1715</v>
      </c>
      <c r="B1716" s="5147"/>
      <c r="C1716" s="5148"/>
    </row>
    <row r="1717" spans="1:3">
      <c r="A1717" s="5149" t="s">
        <v>1716</v>
      </c>
      <c r="B1717" s="5150"/>
      <c r="C1717" s="5151"/>
    </row>
    <row r="1718" spans="1:3">
      <c r="A1718" s="5152" t="s">
        <v>1717</v>
      </c>
      <c r="B1718" s="5153"/>
      <c r="C1718" s="5154"/>
    </row>
    <row r="1719" spans="1:3">
      <c r="A1719" s="5155" t="s">
        <v>1718</v>
      </c>
      <c r="B1719" s="5156"/>
      <c r="C1719" s="5157"/>
    </row>
    <row r="1720" spans="1:3">
      <c r="A1720" s="5158" t="s">
        <v>1719</v>
      </c>
      <c r="B1720" s="5159"/>
      <c r="C1720" s="5160"/>
    </row>
    <row r="1721" spans="1:3">
      <c r="A1721" s="5161" t="s">
        <v>1720</v>
      </c>
      <c r="B1721" s="5162"/>
      <c r="C1721" s="5163"/>
    </row>
    <row r="1722" spans="1:3">
      <c r="A1722" s="5164" t="s">
        <v>1721</v>
      </c>
      <c r="B1722" s="5165"/>
      <c r="C1722" s="5166"/>
    </row>
    <row r="1723" spans="1:3">
      <c r="A1723" s="5167" t="s">
        <v>1722</v>
      </c>
      <c r="B1723" s="5168"/>
      <c r="C1723" s="5169"/>
    </row>
    <row r="1724" spans="1:3">
      <c r="A1724" s="5170" t="s">
        <v>1723</v>
      </c>
      <c r="B1724" s="5171"/>
      <c r="C1724" s="5172"/>
    </row>
    <row r="1725" spans="1:3">
      <c r="A1725" s="5173" t="s">
        <v>1724</v>
      </c>
      <c r="B1725" s="5174"/>
      <c r="C1725" s="5175"/>
    </row>
    <row r="1726" spans="1:3">
      <c r="A1726" s="5176" t="s">
        <v>1725</v>
      </c>
      <c r="B1726" s="5177"/>
      <c r="C1726" s="5178"/>
    </row>
    <row r="1727" spans="1:3">
      <c r="A1727" s="5179" t="s">
        <v>1726</v>
      </c>
      <c r="B1727" s="5180"/>
      <c r="C1727" s="5181"/>
    </row>
    <row r="1728" spans="1:3">
      <c r="A1728" s="5182" t="s">
        <v>1727</v>
      </c>
      <c r="B1728" s="5183"/>
      <c r="C1728" s="5184"/>
    </row>
    <row r="1729" spans="1:3">
      <c r="A1729" s="5185" t="s">
        <v>1728</v>
      </c>
      <c r="B1729" s="5186"/>
      <c r="C1729" s="5187"/>
    </row>
    <row r="1730" spans="1:3">
      <c r="A1730" s="5188" t="s">
        <v>1729</v>
      </c>
      <c r="B1730" s="5189"/>
      <c r="C1730" s="5190"/>
    </row>
    <row r="1731" spans="1:3">
      <c r="A1731" s="5191" t="s">
        <v>1730</v>
      </c>
      <c r="B1731" s="5192"/>
      <c r="C1731" s="5193"/>
    </row>
    <row r="1732" spans="1:3">
      <c r="A1732" s="5194" t="s">
        <v>1731</v>
      </c>
      <c r="B1732" s="5195"/>
      <c r="C1732" s="5196"/>
    </row>
    <row r="1733" spans="1:3">
      <c r="A1733" s="5197" t="s">
        <v>1732</v>
      </c>
      <c r="B1733" s="5198"/>
      <c r="C1733" s="5199"/>
    </row>
    <row r="1734" spans="1:3">
      <c r="A1734" s="5200" t="s">
        <v>1733</v>
      </c>
      <c r="B1734" s="5201"/>
      <c r="C1734" s="5202"/>
    </row>
    <row r="1735" spans="1:3">
      <c r="A1735" s="5203" t="s">
        <v>1734</v>
      </c>
      <c r="B1735" s="5204"/>
      <c r="C1735" s="5205"/>
    </row>
    <row r="1736" spans="1:3">
      <c r="A1736" s="5206" t="s">
        <v>1735</v>
      </c>
      <c r="B1736" s="5207"/>
      <c r="C1736" s="5208"/>
    </row>
    <row r="1737" spans="1:3">
      <c r="A1737" s="5209" t="s">
        <v>1736</v>
      </c>
      <c r="B1737" s="5210"/>
      <c r="C1737" s="5211"/>
    </row>
    <row r="1738" spans="1:3">
      <c r="A1738" s="5212" t="s">
        <v>1737</v>
      </c>
      <c r="B1738" s="5213"/>
      <c r="C1738" s="5214"/>
    </row>
    <row r="1739" spans="1:3">
      <c r="A1739" s="5215" t="s">
        <v>1738</v>
      </c>
      <c r="B1739" s="5216"/>
      <c r="C1739" s="5217"/>
    </row>
    <row r="1740" spans="1:3" ht="24">
      <c r="A1740" s="5218" t="s">
        <v>1739</v>
      </c>
      <c r="B1740" s="5219"/>
      <c r="C1740" s="5220"/>
    </row>
    <row r="1741" spans="1:3">
      <c r="A1741" s="5221" t="s">
        <v>1740</v>
      </c>
      <c r="B1741" s="5222"/>
      <c r="C1741" s="5223"/>
    </row>
    <row r="1742" spans="1:3">
      <c r="A1742" s="5224" t="s">
        <v>1741</v>
      </c>
      <c r="B1742" s="5225"/>
      <c r="C1742" s="5226"/>
    </row>
    <row r="1743" spans="1:3">
      <c r="A1743" s="5227" t="s">
        <v>1742</v>
      </c>
      <c r="B1743" s="5228"/>
      <c r="C1743" s="5229"/>
    </row>
    <row r="1744" spans="1:3">
      <c r="A1744" s="5230" t="s">
        <v>1743</v>
      </c>
      <c r="B1744" s="5231"/>
      <c r="C1744" s="5232"/>
    </row>
    <row r="1745" spans="1:3">
      <c r="A1745" s="5233" t="s">
        <v>1744</v>
      </c>
      <c r="B1745" s="5234"/>
      <c r="C1745" s="5235"/>
    </row>
    <row r="1746" spans="1:3">
      <c r="A1746" s="5236" t="s">
        <v>1745</v>
      </c>
      <c r="B1746" s="5237"/>
      <c r="C1746" s="5238"/>
    </row>
    <row r="1747" spans="1:3">
      <c r="A1747" s="5239" t="s">
        <v>1746</v>
      </c>
      <c r="B1747" s="5240"/>
      <c r="C1747" s="5241"/>
    </row>
    <row r="1748" spans="1:3">
      <c r="A1748" s="5242" t="s">
        <v>1747</v>
      </c>
      <c r="B1748" s="5243"/>
      <c r="C1748" s="5244"/>
    </row>
    <row r="1749" spans="1:3">
      <c r="A1749" s="5245" t="s">
        <v>1748</v>
      </c>
      <c r="B1749" s="5246"/>
      <c r="C1749" s="5247"/>
    </row>
    <row r="1750" spans="1:3">
      <c r="A1750" s="5248" t="s">
        <v>1749</v>
      </c>
      <c r="B1750" s="5249"/>
      <c r="C1750" s="5250"/>
    </row>
    <row r="1751" spans="1:3">
      <c r="A1751" s="5251" t="s">
        <v>1750</v>
      </c>
      <c r="B1751" s="5252"/>
      <c r="C1751" s="5253"/>
    </row>
    <row r="1752" spans="1:3">
      <c r="A1752" s="5254" t="s">
        <v>1751</v>
      </c>
      <c r="B1752" s="5255"/>
      <c r="C1752" s="5256"/>
    </row>
    <row r="1753" spans="1:3">
      <c r="A1753" s="5257" t="s">
        <v>1752</v>
      </c>
      <c r="B1753" s="5258"/>
      <c r="C1753" s="5259"/>
    </row>
    <row r="1754" spans="1:3">
      <c r="A1754" s="5260" t="s">
        <v>1753</v>
      </c>
      <c r="B1754" s="5261"/>
      <c r="C1754" s="5262"/>
    </row>
    <row r="1755" spans="1:3">
      <c r="A1755" s="5263" t="s">
        <v>1754</v>
      </c>
      <c r="B1755" s="5264"/>
      <c r="C1755" s="5265"/>
    </row>
    <row r="1756" spans="1:3">
      <c r="A1756" s="5266" t="s">
        <v>1755</v>
      </c>
      <c r="B1756" s="5267"/>
      <c r="C1756" s="5268"/>
    </row>
    <row r="1757" spans="1:3">
      <c r="A1757" s="5269" t="s">
        <v>1756</v>
      </c>
      <c r="B1757" s="5270"/>
      <c r="C1757" s="5271"/>
    </row>
    <row r="1758" spans="1:3">
      <c r="A1758" s="5272" t="s">
        <v>1757</v>
      </c>
      <c r="B1758" s="5273"/>
      <c r="C1758" s="5274"/>
    </row>
    <row r="1759" spans="1:3">
      <c r="A1759" s="5275" t="s">
        <v>1758</v>
      </c>
      <c r="B1759" s="5276"/>
      <c r="C1759" s="5277"/>
    </row>
    <row r="1760" spans="1:3">
      <c r="A1760" s="5278" t="s">
        <v>1759</v>
      </c>
      <c r="B1760" s="5279"/>
      <c r="C1760" s="5280"/>
    </row>
    <row r="1761" spans="1:3">
      <c r="A1761" s="5281" t="s">
        <v>1760</v>
      </c>
      <c r="B1761" s="5282"/>
      <c r="C1761" s="5283"/>
    </row>
    <row r="1762" spans="1:3">
      <c r="A1762" s="5284" t="s">
        <v>1761</v>
      </c>
      <c r="B1762" s="5285"/>
      <c r="C1762" s="5286"/>
    </row>
    <row r="1763" spans="1:3">
      <c r="A1763" s="5287" t="s">
        <v>1762</v>
      </c>
      <c r="B1763" s="5288"/>
      <c r="C1763" s="5289"/>
    </row>
    <row r="1764" spans="1:3">
      <c r="A1764" s="5290" t="s">
        <v>1763</v>
      </c>
      <c r="B1764" s="5291"/>
      <c r="C1764" s="5292"/>
    </row>
    <row r="1765" spans="1:3">
      <c r="A1765" s="5293" t="s">
        <v>1764</v>
      </c>
      <c r="B1765" s="5294"/>
      <c r="C1765" s="5295"/>
    </row>
    <row r="1766" spans="1:3">
      <c r="A1766" s="5296" t="s">
        <v>1765</v>
      </c>
      <c r="B1766" s="5297"/>
      <c r="C1766" s="5298"/>
    </row>
    <row r="1767" spans="1:3">
      <c r="A1767" s="5299" t="s">
        <v>1766</v>
      </c>
      <c r="B1767" s="5300"/>
      <c r="C1767" s="5301"/>
    </row>
    <row r="1768" spans="1:3">
      <c r="A1768" s="5302" t="s">
        <v>1767</v>
      </c>
      <c r="B1768" s="5303"/>
      <c r="C1768" s="5304"/>
    </row>
    <row r="1769" spans="1:3">
      <c r="A1769" s="5305" t="s">
        <v>1768</v>
      </c>
      <c r="B1769" s="5306"/>
      <c r="C1769" s="5307"/>
    </row>
    <row r="1770" spans="1:3">
      <c r="A1770" s="5308" t="s">
        <v>1769</v>
      </c>
      <c r="B1770" s="5309"/>
      <c r="C1770" s="5310"/>
    </row>
    <row r="1771" spans="1:3">
      <c r="A1771" s="5311" t="s">
        <v>1770</v>
      </c>
      <c r="B1771" s="5312"/>
      <c r="C1771" s="5313"/>
    </row>
    <row r="1772" spans="1:3">
      <c r="A1772" s="5314" t="s">
        <v>1771</v>
      </c>
      <c r="B1772" s="5315"/>
      <c r="C1772" s="5316"/>
    </row>
    <row r="1773" spans="1:3">
      <c r="A1773" s="5317" t="s">
        <v>1772</v>
      </c>
      <c r="B1773" s="5318"/>
      <c r="C1773" s="5319"/>
    </row>
    <row r="1774" spans="1:3">
      <c r="A1774" s="5320" t="s">
        <v>1773</v>
      </c>
      <c r="B1774" s="5321"/>
      <c r="C1774" s="5322"/>
    </row>
    <row r="1775" spans="1:3">
      <c r="A1775" s="5323" t="s">
        <v>1774</v>
      </c>
      <c r="B1775" s="5324"/>
      <c r="C1775" s="5325"/>
    </row>
    <row r="1776" spans="1:3">
      <c r="A1776" s="5326" t="s">
        <v>1775</v>
      </c>
      <c r="B1776" s="5327"/>
      <c r="C1776" s="5328"/>
    </row>
    <row r="1777" spans="1:3">
      <c r="A1777" s="5329" t="s">
        <v>1776</v>
      </c>
      <c r="B1777" s="5330"/>
      <c r="C1777" s="5331"/>
    </row>
    <row r="1778" spans="1:3">
      <c r="A1778" s="5332" t="s">
        <v>1777</v>
      </c>
      <c r="B1778" s="5333"/>
      <c r="C1778" s="5334"/>
    </row>
    <row r="1779" spans="1:3">
      <c r="A1779" s="5335" t="s">
        <v>1778</v>
      </c>
      <c r="B1779" s="5336"/>
      <c r="C1779" s="5337"/>
    </row>
    <row r="1780" spans="1:3">
      <c r="A1780" s="5338" t="s">
        <v>1779</v>
      </c>
      <c r="B1780" s="5339"/>
      <c r="C1780" s="5340"/>
    </row>
    <row r="1781" spans="1:3">
      <c r="A1781" s="5341" t="s">
        <v>1780</v>
      </c>
      <c r="B1781" s="5342"/>
      <c r="C1781" s="5343"/>
    </row>
    <row r="1782" spans="1:3">
      <c r="A1782" s="5344" t="s">
        <v>1781</v>
      </c>
      <c r="B1782" s="5345"/>
      <c r="C1782" s="5346"/>
    </row>
    <row r="1783" spans="1:3">
      <c r="A1783" s="5347" t="s">
        <v>1782</v>
      </c>
      <c r="B1783" s="5348"/>
      <c r="C1783" s="5349"/>
    </row>
    <row r="1784" spans="1:3">
      <c r="A1784" s="5350" t="s">
        <v>1783</v>
      </c>
      <c r="B1784" s="5351"/>
      <c r="C1784" s="5352"/>
    </row>
    <row r="1785" spans="1:3">
      <c r="A1785" s="5353" t="s">
        <v>1784</v>
      </c>
      <c r="B1785" s="5354"/>
      <c r="C1785" s="5355"/>
    </row>
    <row r="1786" spans="1:3">
      <c r="A1786" s="5356" t="s">
        <v>1785</v>
      </c>
      <c r="B1786" s="5357"/>
      <c r="C1786" s="5358"/>
    </row>
    <row r="1787" spans="1:3">
      <c r="A1787" s="5359" t="s">
        <v>1786</v>
      </c>
      <c r="B1787" s="5360"/>
      <c r="C1787" s="5361"/>
    </row>
    <row r="1788" spans="1:3">
      <c r="A1788" s="5362" t="s">
        <v>1787</v>
      </c>
      <c r="B1788" s="5363"/>
      <c r="C1788" s="5364"/>
    </row>
    <row r="1789" spans="1:3">
      <c r="A1789" s="5365" t="s">
        <v>1788</v>
      </c>
      <c r="B1789" s="5366"/>
      <c r="C1789" s="5367"/>
    </row>
    <row r="1790" spans="1:3">
      <c r="A1790" s="5368" t="s">
        <v>1789</v>
      </c>
      <c r="B1790" s="5369"/>
      <c r="C1790" s="5370"/>
    </row>
    <row r="1791" spans="1:3">
      <c r="A1791" s="5371" t="s">
        <v>1790</v>
      </c>
      <c r="B1791" s="5372"/>
      <c r="C1791" s="5373"/>
    </row>
    <row r="1792" spans="1:3">
      <c r="A1792" s="5374" t="s">
        <v>1791</v>
      </c>
      <c r="B1792" s="5375"/>
      <c r="C1792" s="5376"/>
    </row>
    <row r="1793" spans="1:3">
      <c r="A1793" s="5377" t="s">
        <v>1792</v>
      </c>
      <c r="B1793" s="5378"/>
      <c r="C1793" s="5379"/>
    </row>
    <row r="1794" spans="1:3">
      <c r="A1794" s="5380" t="s">
        <v>1793</v>
      </c>
      <c r="B1794" s="5381"/>
      <c r="C1794" s="5382"/>
    </row>
    <row r="1795" spans="1:3">
      <c r="A1795" s="5383" t="s">
        <v>1794</v>
      </c>
      <c r="B1795" s="5384"/>
      <c r="C1795" s="5385"/>
    </row>
    <row r="1796" spans="1:3">
      <c r="A1796" s="5386" t="s">
        <v>1795</v>
      </c>
      <c r="B1796" s="5387"/>
      <c r="C1796" s="5388"/>
    </row>
    <row r="1797" spans="1:3">
      <c r="A1797" s="5389" t="s">
        <v>1796</v>
      </c>
      <c r="B1797" s="5390"/>
      <c r="C1797" s="5391"/>
    </row>
    <row r="1798" spans="1:3">
      <c r="A1798" s="5392" t="s">
        <v>1797</v>
      </c>
      <c r="B1798" s="5393"/>
      <c r="C1798" s="5394"/>
    </row>
    <row r="1799" spans="1:3">
      <c r="A1799" s="5395" t="s">
        <v>1798</v>
      </c>
      <c r="B1799" s="5396"/>
      <c r="C1799" s="5397"/>
    </row>
    <row r="1800" spans="1:3">
      <c r="A1800" s="5398" t="s">
        <v>1799</v>
      </c>
      <c r="B1800" s="5399"/>
      <c r="C1800" s="5400"/>
    </row>
    <row r="1801" spans="1:3">
      <c r="A1801" s="5401" t="s">
        <v>1800</v>
      </c>
      <c r="B1801" s="5402"/>
      <c r="C1801" s="5403"/>
    </row>
    <row r="1802" spans="1:3">
      <c r="A1802" s="5404" t="s">
        <v>1801</v>
      </c>
      <c r="B1802" s="5405"/>
      <c r="C1802" s="5406"/>
    </row>
    <row r="1803" spans="1:3" ht="15.75">
      <c r="A1803" s="5407" t="s">
        <v>1802</v>
      </c>
      <c r="B1803" s="5408"/>
      <c r="C1803" s="5409"/>
    </row>
    <row r="1804" spans="1:3">
      <c r="A1804" s="5410" t="s">
        <v>1803</v>
      </c>
      <c r="B1804" s="5411"/>
      <c r="C1804" s="5412"/>
    </row>
    <row r="1805" spans="1:3">
      <c r="A1805" s="5413" t="s">
        <v>1804</v>
      </c>
      <c r="B1805" s="5414"/>
      <c r="C1805" s="5415"/>
    </row>
    <row r="1806" spans="1:3">
      <c r="A1806" s="5416" t="s">
        <v>1805</v>
      </c>
      <c r="B1806" s="5417"/>
      <c r="C1806" s="5418"/>
    </row>
    <row r="1807" spans="1:3">
      <c r="A1807" s="5419" t="s">
        <v>1806</v>
      </c>
      <c r="B1807" s="5420"/>
      <c r="C1807" s="5421"/>
    </row>
    <row r="1808" spans="1:3">
      <c r="A1808" s="5422" t="s">
        <v>1807</v>
      </c>
      <c r="B1808" s="5423"/>
      <c r="C1808" s="5424"/>
    </row>
    <row r="1809" spans="1:3">
      <c r="A1809" s="5425" t="s">
        <v>1808</v>
      </c>
      <c r="B1809" s="5426"/>
      <c r="C1809" s="5427"/>
    </row>
    <row r="1810" spans="1:3">
      <c r="A1810" s="5428" t="s">
        <v>1809</v>
      </c>
      <c r="B1810" s="5429"/>
      <c r="C1810" s="5430"/>
    </row>
    <row r="1811" spans="1:3">
      <c r="A1811" s="5431" t="s">
        <v>1810</v>
      </c>
      <c r="B1811" s="5432"/>
      <c r="C1811" s="5433"/>
    </row>
    <row r="1812" spans="1:3">
      <c r="A1812" s="5434" t="s">
        <v>1811</v>
      </c>
      <c r="B1812" s="5435"/>
      <c r="C1812" s="5436"/>
    </row>
    <row r="1813" spans="1:3">
      <c r="A1813" s="5437" t="s">
        <v>1812</v>
      </c>
      <c r="B1813" s="5438"/>
      <c r="C1813" s="5439"/>
    </row>
    <row r="1814" spans="1:3">
      <c r="A1814" s="5440" t="s">
        <v>1813</v>
      </c>
      <c r="B1814" s="5441"/>
      <c r="C1814" s="5442"/>
    </row>
    <row r="1815" spans="1:3">
      <c r="A1815" s="5443" t="s">
        <v>1814</v>
      </c>
      <c r="B1815" s="5444"/>
      <c r="C1815" s="5445"/>
    </row>
    <row r="1816" spans="1:3">
      <c r="A1816" s="5446" t="s">
        <v>1815</v>
      </c>
      <c r="B1816" s="5447"/>
      <c r="C1816" s="5448"/>
    </row>
    <row r="1817" spans="1:3">
      <c r="A1817" s="5449" t="s">
        <v>1816</v>
      </c>
      <c r="B1817" s="5450"/>
      <c r="C1817" s="5451"/>
    </row>
    <row r="1818" spans="1:3">
      <c r="A1818" s="5452" t="s">
        <v>1817</v>
      </c>
      <c r="B1818" s="5453"/>
      <c r="C1818" s="5454"/>
    </row>
    <row r="1819" spans="1:3">
      <c r="A1819" s="5455" t="s">
        <v>1818</v>
      </c>
      <c r="B1819" s="5456"/>
      <c r="C1819" s="5457"/>
    </row>
    <row r="1820" spans="1:3">
      <c r="A1820" s="5458" t="s">
        <v>1819</v>
      </c>
      <c r="B1820" s="5459"/>
      <c r="C1820" s="5460"/>
    </row>
    <row r="1821" spans="1:3">
      <c r="A1821" s="5461" t="s">
        <v>1820</v>
      </c>
      <c r="B1821" s="5462"/>
      <c r="C1821" s="5463"/>
    </row>
    <row r="1822" spans="1:3">
      <c r="A1822" s="5464" t="s">
        <v>1821</v>
      </c>
      <c r="B1822" s="5465"/>
      <c r="C1822" s="5466"/>
    </row>
    <row r="1823" spans="1:3">
      <c r="A1823" s="5467" t="s">
        <v>1822</v>
      </c>
      <c r="B1823" s="5468"/>
      <c r="C1823" s="5469"/>
    </row>
    <row r="1824" spans="1:3">
      <c r="A1824" s="5470" t="s">
        <v>1823</v>
      </c>
      <c r="B1824" s="5471"/>
      <c r="C1824" s="5472"/>
    </row>
    <row r="1825" spans="1:3">
      <c r="A1825" s="5473" t="s">
        <v>1824</v>
      </c>
      <c r="B1825" s="5474"/>
      <c r="C1825" s="5475"/>
    </row>
    <row r="1826" spans="1:3">
      <c r="A1826" s="5476" t="s">
        <v>1825</v>
      </c>
      <c r="B1826" s="5477"/>
      <c r="C1826" s="5478"/>
    </row>
    <row r="1827" spans="1:3">
      <c r="A1827" s="5479" t="s">
        <v>1826</v>
      </c>
      <c r="B1827" s="5480"/>
      <c r="C1827" s="5481"/>
    </row>
    <row r="1828" spans="1:3">
      <c r="A1828" s="5482" t="s">
        <v>1827</v>
      </c>
      <c r="B1828" s="5483"/>
      <c r="C1828" s="5484"/>
    </row>
    <row r="1829" spans="1:3">
      <c r="A1829" s="5485" t="s">
        <v>1828</v>
      </c>
      <c r="B1829" s="5486"/>
      <c r="C1829" s="5487"/>
    </row>
    <row r="1830" spans="1:3">
      <c r="A1830" s="5488" t="s">
        <v>1829</v>
      </c>
      <c r="B1830" s="5489"/>
      <c r="C1830" s="5490"/>
    </row>
    <row r="1831" spans="1:3">
      <c r="A1831" s="5491" t="s">
        <v>1830</v>
      </c>
      <c r="B1831" s="5492"/>
      <c r="C1831" s="5493"/>
    </row>
    <row r="1832" spans="1:3">
      <c r="A1832" s="5494" t="s">
        <v>1831</v>
      </c>
      <c r="B1832" s="5495"/>
      <c r="C1832" s="5496"/>
    </row>
    <row r="1833" spans="1:3">
      <c r="A1833" s="5497" t="s">
        <v>1832</v>
      </c>
      <c r="B1833" s="5498"/>
      <c r="C1833" s="5499"/>
    </row>
    <row r="1834" spans="1:3">
      <c r="A1834" s="5500" t="s">
        <v>1833</v>
      </c>
      <c r="B1834" s="5501"/>
      <c r="C1834" s="5502"/>
    </row>
    <row r="1835" spans="1:3">
      <c r="A1835" s="5503" t="s">
        <v>1834</v>
      </c>
      <c r="B1835" s="5504"/>
      <c r="C1835" s="5505"/>
    </row>
    <row r="1836" spans="1:3">
      <c r="A1836" s="5506" t="s">
        <v>1835</v>
      </c>
      <c r="B1836" s="5507"/>
      <c r="C1836" s="5508"/>
    </row>
    <row r="1837" spans="1:3">
      <c r="A1837" s="5509" t="s">
        <v>1836</v>
      </c>
      <c r="B1837" s="5510"/>
      <c r="C1837" s="5511"/>
    </row>
    <row r="1838" spans="1:3">
      <c r="A1838" s="5512" t="s">
        <v>1837</v>
      </c>
      <c r="B1838" s="5513"/>
      <c r="C1838" s="5514"/>
    </row>
    <row r="1839" spans="1:3">
      <c r="A1839" s="5515" t="s">
        <v>1838</v>
      </c>
      <c r="B1839" s="5516"/>
      <c r="C1839" s="5517"/>
    </row>
    <row r="1840" spans="1:3">
      <c r="A1840" s="5518" t="s">
        <v>1839</v>
      </c>
      <c r="B1840" s="5519"/>
      <c r="C1840" s="5520"/>
    </row>
    <row r="1841" spans="1:3">
      <c r="A1841" s="5521" t="s">
        <v>1840</v>
      </c>
      <c r="B1841" s="5522"/>
      <c r="C1841" s="5523"/>
    </row>
    <row r="1842" spans="1:3">
      <c r="A1842" s="5524" t="s">
        <v>1841</v>
      </c>
      <c r="B1842" s="5525"/>
      <c r="C1842" s="5526"/>
    </row>
    <row r="1843" spans="1:3">
      <c r="A1843" s="5527" t="s">
        <v>1842</v>
      </c>
      <c r="B1843" s="5528"/>
      <c r="C1843" s="5529"/>
    </row>
    <row r="1844" spans="1:3">
      <c r="A1844" s="5530" t="s">
        <v>1843</v>
      </c>
      <c r="B1844" s="5531"/>
      <c r="C1844" s="5532"/>
    </row>
    <row r="1845" spans="1:3">
      <c r="A1845" s="5533" t="s">
        <v>1844</v>
      </c>
      <c r="B1845" s="5534"/>
      <c r="C1845" s="5535"/>
    </row>
    <row r="1846" spans="1:3">
      <c r="A1846" s="5536" t="s">
        <v>1845</v>
      </c>
      <c r="B1846" s="5537"/>
      <c r="C1846" s="5538"/>
    </row>
    <row r="1847" spans="1:3">
      <c r="A1847" s="5539" t="s">
        <v>1846</v>
      </c>
      <c r="B1847" s="5540"/>
      <c r="C1847" s="5541"/>
    </row>
    <row r="1848" spans="1:3">
      <c r="A1848" s="5542" t="s">
        <v>1847</v>
      </c>
      <c r="B1848" s="5543"/>
      <c r="C1848" s="5544"/>
    </row>
    <row r="1849" spans="1:3">
      <c r="A1849" s="5545" t="s">
        <v>1848</v>
      </c>
      <c r="B1849" s="5546"/>
      <c r="C1849" s="5547"/>
    </row>
    <row r="1850" spans="1:3">
      <c r="A1850" s="5548" t="s">
        <v>1849</v>
      </c>
      <c r="B1850" s="5549"/>
      <c r="C1850" s="5550"/>
    </row>
    <row r="1851" spans="1:3">
      <c r="A1851" s="5551" t="s">
        <v>1850</v>
      </c>
      <c r="B1851" s="5552"/>
      <c r="C1851" s="5553"/>
    </row>
    <row r="1852" spans="1:3">
      <c r="A1852" s="5554" t="s">
        <v>1851</v>
      </c>
      <c r="B1852" s="5555"/>
      <c r="C1852" s="5556"/>
    </row>
    <row r="1853" spans="1:3">
      <c r="A1853" s="5557" t="s">
        <v>1852</v>
      </c>
      <c r="B1853" s="5558"/>
      <c r="C1853" s="5559"/>
    </row>
    <row r="1854" spans="1:3">
      <c r="A1854" s="5560" t="s">
        <v>1853</v>
      </c>
      <c r="B1854" s="5561"/>
      <c r="C1854" s="5562"/>
    </row>
    <row r="1855" spans="1:3">
      <c r="A1855" s="5563" t="s">
        <v>1854</v>
      </c>
      <c r="B1855" s="5564"/>
      <c r="C1855" s="5565"/>
    </row>
    <row r="1856" spans="1:3">
      <c r="A1856" s="5566" t="s">
        <v>1855</v>
      </c>
      <c r="B1856" s="5567"/>
      <c r="C1856" s="5568"/>
    </row>
    <row r="1857" spans="1:3">
      <c r="A1857" s="5569" t="s">
        <v>1856</v>
      </c>
      <c r="B1857" s="5570"/>
      <c r="C1857" s="5571"/>
    </row>
    <row r="1858" spans="1:3">
      <c r="A1858" s="5572" t="s">
        <v>1857</v>
      </c>
      <c r="B1858" s="5573"/>
      <c r="C1858" s="5574"/>
    </row>
    <row r="1859" spans="1:3">
      <c r="A1859" s="5575" t="s">
        <v>1858</v>
      </c>
      <c r="B1859" s="5576"/>
      <c r="C1859" s="5577"/>
    </row>
    <row r="1860" spans="1:3">
      <c r="A1860" s="5578" t="s">
        <v>1859</v>
      </c>
      <c r="B1860" s="5579"/>
      <c r="C1860" s="5580"/>
    </row>
    <row r="1861" spans="1:3">
      <c r="A1861" s="5581" t="s">
        <v>1860</v>
      </c>
      <c r="B1861" s="5582"/>
      <c r="C1861" s="5583"/>
    </row>
    <row r="1862" spans="1:3">
      <c r="A1862" s="5584" t="s">
        <v>1861</v>
      </c>
      <c r="B1862" s="5585"/>
      <c r="C1862" s="5586"/>
    </row>
    <row r="1863" spans="1:3">
      <c r="A1863" s="5587" t="s">
        <v>1862</v>
      </c>
      <c r="B1863" s="5588"/>
      <c r="C1863" s="5589"/>
    </row>
    <row r="1864" spans="1:3">
      <c r="A1864" s="5590" t="s">
        <v>1863</v>
      </c>
      <c r="B1864" s="5591"/>
      <c r="C1864" s="5592"/>
    </row>
    <row r="1865" spans="1:3">
      <c r="A1865" s="5593" t="s">
        <v>1864</v>
      </c>
      <c r="B1865" s="5594"/>
      <c r="C1865" s="5595"/>
    </row>
    <row r="1866" spans="1:3">
      <c r="A1866" s="5596" t="s">
        <v>1865</v>
      </c>
      <c r="B1866" s="5597"/>
      <c r="C1866" s="5598"/>
    </row>
    <row r="1867" spans="1:3">
      <c r="A1867" s="5599" t="s">
        <v>1866</v>
      </c>
      <c r="B1867" s="5600"/>
      <c r="C1867" s="5601"/>
    </row>
    <row r="1868" spans="1:3">
      <c r="A1868" s="5602" t="s">
        <v>1867</v>
      </c>
      <c r="B1868" s="5603"/>
      <c r="C1868" s="5604"/>
    </row>
    <row r="1869" spans="1:3">
      <c r="A1869" s="5605" t="s">
        <v>1868</v>
      </c>
      <c r="B1869" s="5606"/>
      <c r="C1869" s="5607"/>
    </row>
    <row r="1870" spans="1:3">
      <c r="A1870" s="5608" t="s">
        <v>1869</v>
      </c>
      <c r="B1870" s="5609"/>
      <c r="C1870" s="5610"/>
    </row>
    <row r="1871" spans="1:3">
      <c r="A1871" s="5611" t="s">
        <v>1870</v>
      </c>
      <c r="B1871" s="5612"/>
      <c r="C1871" s="5613"/>
    </row>
    <row r="1872" spans="1:3">
      <c r="A1872" s="5614" t="s">
        <v>1871</v>
      </c>
      <c r="B1872" s="5615"/>
      <c r="C1872" s="5616"/>
    </row>
    <row r="1873" spans="1:3">
      <c r="A1873" s="5617" t="s">
        <v>1872</v>
      </c>
      <c r="B1873" s="5618"/>
      <c r="C1873" s="5619"/>
    </row>
    <row r="1874" spans="1:3">
      <c r="A1874" s="5620" t="s">
        <v>1873</v>
      </c>
      <c r="B1874" s="5621"/>
      <c r="C1874" s="5622"/>
    </row>
    <row r="1875" spans="1:3">
      <c r="A1875" s="5623" t="s">
        <v>1874</v>
      </c>
      <c r="B1875" s="5624"/>
      <c r="C1875" s="5625"/>
    </row>
    <row r="1876" spans="1:3">
      <c r="A1876" s="5626" t="s">
        <v>1875</v>
      </c>
      <c r="B1876" s="5627"/>
      <c r="C1876" s="5628"/>
    </row>
    <row r="1877" spans="1:3">
      <c r="A1877" s="5629" t="s">
        <v>1876</v>
      </c>
      <c r="B1877" s="5630"/>
      <c r="C1877" s="5631"/>
    </row>
    <row r="1878" spans="1:3">
      <c r="A1878" s="5632" t="s">
        <v>1877</v>
      </c>
      <c r="B1878" s="5633"/>
      <c r="C1878" s="5634"/>
    </row>
    <row r="1879" spans="1:3">
      <c r="A1879" s="5635" t="s">
        <v>1878</v>
      </c>
      <c r="B1879" s="5636"/>
      <c r="C1879" s="5637"/>
    </row>
    <row r="1880" spans="1:3">
      <c r="A1880" s="5638" t="s">
        <v>1879</v>
      </c>
      <c r="B1880" s="5639"/>
      <c r="C1880" s="5640"/>
    </row>
    <row r="1881" spans="1:3">
      <c r="A1881" s="5641" t="s">
        <v>1880</v>
      </c>
      <c r="B1881" s="5642"/>
      <c r="C1881" s="5643"/>
    </row>
    <row r="1882" spans="1:3">
      <c r="A1882" s="5644" t="s">
        <v>1881</v>
      </c>
      <c r="B1882" s="5645"/>
      <c r="C1882" s="5646"/>
    </row>
    <row r="1883" spans="1:3">
      <c r="A1883" s="5647" t="s">
        <v>1882</v>
      </c>
      <c r="B1883" s="5648"/>
      <c r="C1883" s="5649"/>
    </row>
    <row r="1884" spans="1:3">
      <c r="A1884" s="5650" t="s">
        <v>1883</v>
      </c>
      <c r="B1884" s="5651"/>
      <c r="C1884" s="5652"/>
    </row>
    <row r="1885" spans="1:3">
      <c r="A1885" s="5653" t="s">
        <v>1884</v>
      </c>
      <c r="B1885" s="5654"/>
      <c r="C1885" s="5655"/>
    </row>
    <row r="1886" spans="1:3">
      <c r="A1886" s="5656" t="s">
        <v>1885</v>
      </c>
      <c r="B1886" s="5657"/>
      <c r="C1886" s="5658"/>
    </row>
    <row r="1887" spans="1:3">
      <c r="A1887" s="5659" t="s">
        <v>1886</v>
      </c>
      <c r="B1887" s="5660"/>
      <c r="C1887" s="5661"/>
    </row>
    <row r="1888" spans="1:3">
      <c r="A1888" s="5662" t="s">
        <v>1887</v>
      </c>
      <c r="B1888" s="5663"/>
      <c r="C1888" s="5664"/>
    </row>
    <row r="1889" spans="1:3">
      <c r="A1889" s="5665" t="s">
        <v>1888</v>
      </c>
      <c r="B1889" s="5666"/>
      <c r="C1889" s="5667"/>
    </row>
    <row r="1890" spans="1:3">
      <c r="A1890" s="5668" t="s">
        <v>1889</v>
      </c>
      <c r="B1890" s="5669"/>
      <c r="C1890" s="5670"/>
    </row>
    <row r="1891" spans="1:3">
      <c r="A1891" s="5671" t="s">
        <v>1890</v>
      </c>
      <c r="B1891" s="5672"/>
      <c r="C1891" s="5673"/>
    </row>
    <row r="1892" spans="1:3">
      <c r="A1892" s="5674" t="s">
        <v>1891</v>
      </c>
      <c r="B1892" s="5675"/>
      <c r="C1892" s="5676"/>
    </row>
    <row r="1893" spans="1:3">
      <c r="A1893" s="5677" t="s">
        <v>1892</v>
      </c>
      <c r="B1893" s="5678"/>
      <c r="C1893" s="5679"/>
    </row>
    <row r="1894" spans="1:3">
      <c r="A1894" s="5680" t="s">
        <v>1893</v>
      </c>
      <c r="B1894" s="5681"/>
      <c r="C1894" s="5682"/>
    </row>
    <row r="1895" spans="1:3">
      <c r="A1895" s="5683" t="s">
        <v>1894</v>
      </c>
      <c r="B1895" s="5684"/>
      <c r="C1895" s="5685"/>
    </row>
    <row r="1896" spans="1:3">
      <c r="A1896" s="5686" t="s">
        <v>1895</v>
      </c>
      <c r="B1896" s="5687"/>
      <c r="C1896" s="5688"/>
    </row>
    <row r="1897" spans="1:3">
      <c r="A1897" s="5689" t="s">
        <v>1896</v>
      </c>
      <c r="B1897" s="5690"/>
      <c r="C1897" s="5691"/>
    </row>
    <row r="1898" spans="1:3">
      <c r="A1898" s="5692" t="s">
        <v>1897</v>
      </c>
      <c r="B1898" s="5693"/>
      <c r="C1898" s="5694"/>
    </row>
    <row r="1899" spans="1:3">
      <c r="A1899" s="5695" t="s">
        <v>1898</v>
      </c>
      <c r="B1899" s="5696"/>
      <c r="C1899" s="5697"/>
    </row>
    <row r="1900" spans="1:3">
      <c r="A1900" s="5698" t="s">
        <v>1899</v>
      </c>
      <c r="B1900" s="5699"/>
      <c r="C1900" s="5700"/>
    </row>
    <row r="1901" spans="1:3">
      <c r="A1901" s="5701" t="s">
        <v>1900</v>
      </c>
      <c r="B1901" s="5702"/>
      <c r="C1901" s="5703"/>
    </row>
    <row r="1902" spans="1:3">
      <c r="A1902" s="5704" t="s">
        <v>1901</v>
      </c>
      <c r="B1902" s="5705"/>
      <c r="C1902" s="5706"/>
    </row>
    <row r="1903" spans="1:3">
      <c r="A1903" s="5707" t="s">
        <v>1902</v>
      </c>
      <c r="B1903" s="5708"/>
      <c r="C1903" s="5709"/>
    </row>
    <row r="1904" spans="1:3">
      <c r="A1904" s="5710" t="s">
        <v>1903</v>
      </c>
      <c r="B1904" s="5711"/>
      <c r="C1904" s="5712"/>
    </row>
    <row r="1905" spans="1:3">
      <c r="A1905" s="5713" t="s">
        <v>1904</v>
      </c>
      <c r="B1905" s="5714"/>
      <c r="C1905" s="5715"/>
    </row>
    <row r="1906" spans="1:3">
      <c r="A1906" s="5716" t="s">
        <v>1905</v>
      </c>
      <c r="B1906" s="5717"/>
      <c r="C1906" s="5718"/>
    </row>
    <row r="1907" spans="1:3">
      <c r="A1907" s="5719" t="s">
        <v>1906</v>
      </c>
      <c r="B1907" s="5720"/>
      <c r="C1907" s="5721"/>
    </row>
    <row r="1908" spans="1:3">
      <c r="A1908" s="5722" t="s">
        <v>1907</v>
      </c>
      <c r="B1908" s="5723"/>
      <c r="C1908" s="5724"/>
    </row>
    <row r="1909" spans="1:3">
      <c r="A1909" s="5725" t="s">
        <v>1908</v>
      </c>
      <c r="B1909" s="5726"/>
      <c r="C1909" s="5727"/>
    </row>
    <row r="1910" spans="1:3">
      <c r="A1910" s="5728" t="s">
        <v>1909</v>
      </c>
      <c r="B1910" s="5729"/>
      <c r="C1910" s="5730"/>
    </row>
    <row r="1911" spans="1:3">
      <c r="A1911" s="5731" t="s">
        <v>1910</v>
      </c>
      <c r="B1911" s="5732"/>
      <c r="C1911" s="5733"/>
    </row>
    <row r="1912" spans="1:3">
      <c r="A1912" s="5734" t="s">
        <v>1911</v>
      </c>
      <c r="B1912" s="5735"/>
      <c r="C1912" s="5736"/>
    </row>
    <row r="1913" spans="1:3">
      <c r="A1913" s="5737" t="s">
        <v>1912</v>
      </c>
      <c r="B1913" s="5738"/>
      <c r="C1913" s="5739"/>
    </row>
    <row r="1914" spans="1:3">
      <c r="A1914" s="5740" t="s">
        <v>1913</v>
      </c>
      <c r="B1914" s="5741"/>
      <c r="C1914" s="5742"/>
    </row>
    <row r="1915" spans="1:3">
      <c r="A1915" s="5743" t="s">
        <v>1914</v>
      </c>
      <c r="B1915" s="5744"/>
      <c r="C1915" s="5745"/>
    </row>
    <row r="1916" spans="1:3">
      <c r="A1916" s="5746" t="s">
        <v>1915</v>
      </c>
      <c r="B1916" s="5747"/>
      <c r="C1916" s="5748"/>
    </row>
    <row r="1917" spans="1:3">
      <c r="A1917" s="5749" t="s">
        <v>1916</v>
      </c>
      <c r="B1917" s="5750"/>
      <c r="C1917" s="5751"/>
    </row>
    <row r="1918" spans="1:3">
      <c r="A1918" s="5752" t="s">
        <v>1917</v>
      </c>
      <c r="B1918" s="5753"/>
      <c r="C1918" s="5754"/>
    </row>
    <row r="1919" spans="1:3">
      <c r="A1919" s="5755" t="s">
        <v>1918</v>
      </c>
      <c r="B1919" s="5756"/>
      <c r="C1919" s="5757"/>
    </row>
    <row r="1920" spans="1:3">
      <c r="A1920" s="5758" t="s">
        <v>1919</v>
      </c>
      <c r="B1920" s="5759"/>
      <c r="C1920" s="5760"/>
    </row>
    <row r="1921" spans="1:3">
      <c r="A1921" s="5761" t="s">
        <v>1920</v>
      </c>
      <c r="B1921" s="5762"/>
      <c r="C1921" s="5763"/>
    </row>
    <row r="1922" spans="1:3">
      <c r="A1922" s="5764" t="s">
        <v>1921</v>
      </c>
      <c r="B1922" s="5765"/>
      <c r="C1922" s="5766"/>
    </row>
    <row r="1923" spans="1:3">
      <c r="A1923" s="5767" t="s">
        <v>1922</v>
      </c>
      <c r="B1923" s="5768"/>
      <c r="C1923" s="5769"/>
    </row>
    <row r="1924" spans="1:3">
      <c r="A1924" s="5770" t="s">
        <v>1923</v>
      </c>
      <c r="B1924" s="5771"/>
      <c r="C1924" s="5772"/>
    </row>
    <row r="1925" spans="1:3">
      <c r="A1925" s="5773" t="s">
        <v>1924</v>
      </c>
      <c r="B1925" s="5774"/>
      <c r="C1925" s="5775"/>
    </row>
    <row r="1926" spans="1:3">
      <c r="A1926" s="5776" t="s">
        <v>1925</v>
      </c>
      <c r="B1926" s="5777"/>
      <c r="C1926" s="5778"/>
    </row>
    <row r="1927" spans="1:3">
      <c r="A1927" s="5779" t="s">
        <v>1926</v>
      </c>
      <c r="B1927" s="5780"/>
      <c r="C1927" s="5781"/>
    </row>
    <row r="1928" spans="1:3">
      <c r="A1928" s="5782" t="s">
        <v>1927</v>
      </c>
      <c r="B1928" s="5783"/>
      <c r="C1928" s="5784"/>
    </row>
    <row r="1929" spans="1:3">
      <c r="A1929" s="5785" t="s">
        <v>1928</v>
      </c>
      <c r="B1929" s="5786"/>
      <c r="C1929" s="5787"/>
    </row>
    <row r="1930" spans="1:3">
      <c r="A1930" s="5788" t="s">
        <v>1929</v>
      </c>
      <c r="B1930" s="5789"/>
      <c r="C1930" s="5790"/>
    </row>
    <row r="1931" spans="1:3">
      <c r="A1931" s="5791" t="s">
        <v>1930</v>
      </c>
      <c r="B1931" s="5792"/>
      <c r="C1931" s="5793"/>
    </row>
    <row r="1932" spans="1:3">
      <c r="A1932" s="5794" t="s">
        <v>1931</v>
      </c>
      <c r="B1932" s="5795"/>
      <c r="C1932" s="5796"/>
    </row>
    <row r="1933" spans="1:3">
      <c r="A1933" s="5797" t="s">
        <v>1932</v>
      </c>
      <c r="B1933" s="5798"/>
      <c r="C1933" s="5799"/>
    </row>
    <row r="1934" spans="1:3">
      <c r="A1934" s="5800" t="s">
        <v>1933</v>
      </c>
      <c r="B1934" s="5801"/>
      <c r="C1934" s="5802"/>
    </row>
    <row r="1935" spans="1:3">
      <c r="A1935" s="5803" t="s">
        <v>1934</v>
      </c>
      <c r="B1935" s="5804"/>
      <c r="C1935" s="5805"/>
    </row>
    <row r="1936" spans="1:3">
      <c r="A1936" s="5806" t="s">
        <v>1935</v>
      </c>
      <c r="B1936" s="5807"/>
      <c r="C1936" s="5808"/>
    </row>
    <row r="1937" spans="1:3">
      <c r="A1937" s="5809" t="s">
        <v>1936</v>
      </c>
      <c r="B1937" s="5810"/>
      <c r="C1937" s="5811"/>
    </row>
    <row r="1938" spans="1:3">
      <c r="A1938" s="5812" t="s">
        <v>1937</v>
      </c>
      <c r="B1938" s="5813"/>
      <c r="C1938" s="5814"/>
    </row>
    <row r="1939" spans="1:3">
      <c r="A1939" s="5815" t="s">
        <v>1938</v>
      </c>
      <c r="B1939" s="5816"/>
      <c r="C1939" s="5817"/>
    </row>
    <row r="1940" spans="1:3">
      <c r="A1940" s="5818" t="s">
        <v>1939</v>
      </c>
      <c r="B1940" s="5819"/>
      <c r="C1940" s="5820"/>
    </row>
    <row r="1941" spans="1:3">
      <c r="A1941" s="5821" t="s">
        <v>1940</v>
      </c>
      <c r="B1941" s="5822"/>
      <c r="C1941" s="5823"/>
    </row>
    <row r="1942" spans="1:3">
      <c r="A1942" s="5824" t="s">
        <v>1941</v>
      </c>
      <c r="B1942" s="5825"/>
      <c r="C1942" s="5826"/>
    </row>
    <row r="1943" spans="1:3">
      <c r="A1943" s="5827" t="s">
        <v>1942</v>
      </c>
      <c r="B1943" s="5828"/>
      <c r="C1943" s="5829"/>
    </row>
    <row r="1944" spans="1:3">
      <c r="A1944" s="5830" t="s">
        <v>1943</v>
      </c>
      <c r="B1944" s="5831"/>
      <c r="C1944" s="5832"/>
    </row>
    <row r="1945" spans="1:3">
      <c r="A1945" s="5833" t="s">
        <v>1944</v>
      </c>
      <c r="B1945" s="5834"/>
      <c r="C1945" s="5835"/>
    </row>
    <row r="1946" spans="1:3">
      <c r="A1946" s="5836" t="s">
        <v>1945</v>
      </c>
      <c r="B1946" s="5837"/>
      <c r="C1946" s="5838"/>
    </row>
    <row r="1947" spans="1:3">
      <c r="A1947" s="5839" t="s">
        <v>1946</v>
      </c>
      <c r="B1947" s="5840"/>
      <c r="C1947" s="5841"/>
    </row>
    <row r="1948" spans="1:3">
      <c r="A1948" s="5842" t="s">
        <v>1947</v>
      </c>
      <c r="B1948" s="5843"/>
      <c r="C1948" s="5844"/>
    </row>
    <row r="1949" spans="1:3">
      <c r="A1949" s="5845" t="s">
        <v>1948</v>
      </c>
      <c r="B1949" s="5846"/>
      <c r="C1949" s="5847"/>
    </row>
    <row r="1950" spans="1:3">
      <c r="A1950" s="5848" t="s">
        <v>1949</v>
      </c>
      <c r="B1950" s="5849"/>
      <c r="C1950" s="5850"/>
    </row>
    <row r="1951" spans="1:3">
      <c r="A1951" s="5851" t="s">
        <v>1950</v>
      </c>
      <c r="B1951" s="5852"/>
      <c r="C1951" s="5853"/>
    </row>
    <row r="1952" spans="1:3">
      <c r="A1952" s="5854" t="s">
        <v>1951</v>
      </c>
      <c r="B1952" s="5855"/>
      <c r="C1952" s="5856"/>
    </row>
    <row r="1953" spans="1:3">
      <c r="A1953" s="5857" t="s">
        <v>1952</v>
      </c>
      <c r="B1953" s="5858"/>
      <c r="C1953" s="5859"/>
    </row>
    <row r="1954" spans="1:3">
      <c r="A1954" s="5860" t="s">
        <v>1953</v>
      </c>
      <c r="B1954" s="5861"/>
      <c r="C1954" s="5862"/>
    </row>
    <row r="1955" spans="1:3">
      <c r="A1955" s="5863" t="s">
        <v>1954</v>
      </c>
      <c r="B1955" s="5864"/>
      <c r="C1955" s="5865"/>
    </row>
    <row r="1956" spans="1:3">
      <c r="A1956" s="5866" t="s">
        <v>1955</v>
      </c>
      <c r="B1956" s="5867"/>
      <c r="C1956" s="5868"/>
    </row>
    <row r="1957" spans="1:3">
      <c r="A1957" s="5869" t="s">
        <v>1956</v>
      </c>
      <c r="B1957" s="5870"/>
      <c r="C1957" s="5871"/>
    </row>
    <row r="1958" spans="1:3">
      <c r="A1958" s="5872" t="s">
        <v>1957</v>
      </c>
      <c r="B1958" s="5873"/>
      <c r="C1958" s="5874"/>
    </row>
    <row r="1959" spans="1:3">
      <c r="A1959" s="5875" t="s">
        <v>1958</v>
      </c>
      <c r="B1959" s="5876"/>
      <c r="C1959" s="5877"/>
    </row>
    <row r="1960" spans="1:3">
      <c r="A1960" s="5878" t="s">
        <v>1959</v>
      </c>
      <c r="B1960" s="5879"/>
      <c r="C1960" s="5880"/>
    </row>
    <row r="1961" spans="1:3">
      <c r="A1961" s="5881" t="s">
        <v>1960</v>
      </c>
      <c r="B1961" s="5882"/>
      <c r="C1961" s="5883"/>
    </row>
    <row r="1962" spans="1:3">
      <c r="A1962" s="5884" t="s">
        <v>1961</v>
      </c>
      <c r="B1962" s="5885"/>
      <c r="C1962" s="5886"/>
    </row>
    <row r="1963" spans="1:3">
      <c r="A1963" s="5887" t="s">
        <v>1962</v>
      </c>
      <c r="B1963" s="5888"/>
      <c r="C1963" s="5889"/>
    </row>
    <row r="1964" spans="1:3">
      <c r="A1964" s="5890" t="s">
        <v>1963</v>
      </c>
      <c r="B1964" s="5891"/>
      <c r="C1964" s="5892"/>
    </row>
    <row r="1965" spans="1:3">
      <c r="A1965" s="5893" t="s">
        <v>1964</v>
      </c>
      <c r="B1965" s="5894"/>
      <c r="C1965" s="5895"/>
    </row>
    <row r="1966" spans="1:3">
      <c r="A1966" s="5896" t="s">
        <v>1965</v>
      </c>
      <c r="B1966" s="5897"/>
      <c r="C1966" s="5898"/>
    </row>
    <row r="1967" spans="1:3">
      <c r="A1967" s="5899" t="s">
        <v>1966</v>
      </c>
      <c r="B1967" s="5900"/>
      <c r="C1967" s="5901"/>
    </row>
    <row r="1968" spans="1:3">
      <c r="A1968" s="5902" t="s">
        <v>1967</v>
      </c>
      <c r="B1968" s="5903"/>
      <c r="C1968" s="5904"/>
    </row>
    <row r="1969" spans="1:3">
      <c r="A1969" s="5905" t="s">
        <v>1968</v>
      </c>
      <c r="B1969" s="5906"/>
      <c r="C1969" s="5907"/>
    </row>
    <row r="1970" spans="1:3">
      <c r="A1970" s="5908" t="s">
        <v>1969</v>
      </c>
      <c r="B1970" s="5909"/>
      <c r="C1970" s="5910"/>
    </row>
    <row r="1971" spans="1:3">
      <c r="A1971" s="5911" t="s">
        <v>1970</v>
      </c>
      <c r="B1971" s="5912"/>
      <c r="C1971" s="5913"/>
    </row>
    <row r="1972" spans="1:3">
      <c r="A1972" s="5914" t="s">
        <v>1971</v>
      </c>
      <c r="B1972" s="5915"/>
      <c r="C1972" s="5916"/>
    </row>
    <row r="1973" spans="1:3">
      <c r="A1973" s="5917" t="s">
        <v>1972</v>
      </c>
      <c r="B1973" s="5918"/>
      <c r="C1973" s="5919"/>
    </row>
    <row r="1974" spans="1:3">
      <c r="A1974" s="5920" t="s">
        <v>1973</v>
      </c>
      <c r="B1974" s="5921"/>
      <c r="C1974" s="5922"/>
    </row>
    <row r="1975" spans="1:3">
      <c r="A1975" s="5923" t="s">
        <v>1974</v>
      </c>
      <c r="B1975" s="5924"/>
      <c r="C1975" s="5925"/>
    </row>
    <row r="1976" spans="1:3">
      <c r="A1976" s="5926" t="s">
        <v>1975</v>
      </c>
      <c r="B1976" s="5927"/>
      <c r="C1976" s="5928"/>
    </row>
    <row r="1977" spans="1:3">
      <c r="A1977" s="5929" t="s">
        <v>1976</v>
      </c>
      <c r="B1977" s="5930"/>
      <c r="C1977" s="5931"/>
    </row>
    <row r="1978" spans="1:3">
      <c r="A1978" s="5932" t="s">
        <v>1977</v>
      </c>
      <c r="B1978" s="5933"/>
      <c r="C1978" s="5934"/>
    </row>
    <row r="1979" spans="1:3">
      <c r="A1979" s="5935" t="s">
        <v>1978</v>
      </c>
      <c r="B1979" s="5936"/>
      <c r="C1979" s="5937"/>
    </row>
    <row r="1980" spans="1:3">
      <c r="A1980" s="5938" t="s">
        <v>1979</v>
      </c>
      <c r="B1980" s="5939"/>
      <c r="C1980" s="5940"/>
    </row>
    <row r="1981" spans="1:3">
      <c r="A1981" s="5941" t="s">
        <v>1980</v>
      </c>
      <c r="B1981" s="5942"/>
      <c r="C1981" s="5943"/>
    </row>
    <row r="1982" spans="1:3">
      <c r="A1982" s="5944" t="s">
        <v>1981</v>
      </c>
      <c r="B1982" s="5945"/>
      <c r="C1982" s="5946"/>
    </row>
    <row r="1983" spans="1:3">
      <c r="A1983" s="5947" t="s">
        <v>1982</v>
      </c>
      <c r="B1983" s="5948"/>
      <c r="C1983" s="5949"/>
    </row>
    <row r="1984" spans="1:3">
      <c r="A1984" s="5950" t="s">
        <v>1983</v>
      </c>
      <c r="B1984" s="5951"/>
      <c r="C1984" s="5952"/>
    </row>
    <row r="1985" spans="1:3" ht="15.75">
      <c r="A1985" s="5953" t="s">
        <v>1984</v>
      </c>
      <c r="B1985" s="5954"/>
      <c r="C1985" s="5955"/>
    </row>
    <row r="1986" spans="1:3">
      <c r="A1986" s="5956" t="s">
        <v>1985</v>
      </c>
      <c r="B1986" s="5957"/>
      <c r="C1986" s="5958"/>
    </row>
    <row r="1987" spans="1:3">
      <c r="A1987" s="5959" t="s">
        <v>1986</v>
      </c>
      <c r="B1987" s="5960"/>
      <c r="C1987" s="5961"/>
    </row>
    <row r="1988" spans="1:3">
      <c r="A1988" s="5962" t="s">
        <v>1987</v>
      </c>
      <c r="B1988" s="5963"/>
      <c r="C1988" s="5964"/>
    </row>
    <row r="1989" spans="1:3">
      <c r="A1989" s="5965" t="s">
        <v>1988</v>
      </c>
      <c r="B1989" s="5966"/>
      <c r="C1989" s="5967"/>
    </row>
    <row r="1990" spans="1:3">
      <c r="A1990" s="5968" t="s">
        <v>1989</v>
      </c>
      <c r="B1990" s="5969"/>
      <c r="C1990" s="5970"/>
    </row>
    <row r="1991" spans="1:3">
      <c r="A1991" s="5971" t="s">
        <v>1990</v>
      </c>
      <c r="B1991" s="5972"/>
      <c r="C1991" s="5973"/>
    </row>
    <row r="1992" spans="1:3">
      <c r="A1992" s="5974" t="s">
        <v>1991</v>
      </c>
      <c r="B1992" s="5975"/>
      <c r="C1992" s="5976"/>
    </row>
    <row r="1993" spans="1:3">
      <c r="A1993" s="5977" t="s">
        <v>1992</v>
      </c>
      <c r="B1993" s="5978"/>
      <c r="C1993" s="5979"/>
    </row>
    <row r="1994" spans="1:3">
      <c r="A1994" s="5980" t="s">
        <v>1993</v>
      </c>
      <c r="B1994" s="5981"/>
      <c r="C1994" s="5982"/>
    </row>
    <row r="1995" spans="1:3">
      <c r="A1995" s="5983" t="s">
        <v>1994</v>
      </c>
      <c r="B1995" s="5984"/>
      <c r="C1995" s="5985"/>
    </row>
    <row r="1996" spans="1:3">
      <c r="A1996" s="5986" t="s">
        <v>1995</v>
      </c>
      <c r="B1996" s="5987"/>
      <c r="C1996" s="5988"/>
    </row>
    <row r="1997" spans="1:3">
      <c r="A1997" s="5989" t="s">
        <v>1996</v>
      </c>
      <c r="B1997" s="5990"/>
      <c r="C1997" s="5991"/>
    </row>
    <row r="1998" spans="1:3">
      <c r="A1998" s="5992" t="s">
        <v>1997</v>
      </c>
      <c r="B1998" s="5993"/>
      <c r="C1998" s="5994"/>
    </row>
    <row r="1999" spans="1:3">
      <c r="A1999" s="5995" t="s">
        <v>1998</v>
      </c>
      <c r="B1999" s="5996"/>
      <c r="C1999" s="5997"/>
    </row>
    <row r="2000" spans="1:3">
      <c r="A2000" s="5998" t="s">
        <v>1999</v>
      </c>
      <c r="B2000" s="5999"/>
      <c r="C2000" s="6000"/>
    </row>
    <row r="2001" spans="1:3">
      <c r="A2001" s="6001" t="s">
        <v>2000</v>
      </c>
      <c r="B2001" s="6002"/>
      <c r="C2001" s="6003"/>
    </row>
    <row r="2002" spans="1:3">
      <c r="A2002" s="6004" t="s">
        <v>2001</v>
      </c>
      <c r="B2002" s="6005"/>
      <c r="C2002" s="6006"/>
    </row>
    <row r="2003" spans="1:3">
      <c r="A2003" s="6007" t="s">
        <v>2002</v>
      </c>
      <c r="B2003" s="6008"/>
      <c r="C2003" s="6009"/>
    </row>
    <row r="2004" spans="1:3">
      <c r="A2004" s="6010" t="s">
        <v>2003</v>
      </c>
      <c r="B2004" s="6011"/>
      <c r="C2004" s="6012"/>
    </row>
    <row r="2005" spans="1:3">
      <c r="A2005" s="6013" t="s">
        <v>2004</v>
      </c>
      <c r="B2005" s="6014"/>
      <c r="C2005" s="6015"/>
    </row>
    <row r="2006" spans="1:3">
      <c r="A2006" s="6016" t="s">
        <v>2005</v>
      </c>
      <c r="B2006" s="6017"/>
      <c r="C2006" s="6018"/>
    </row>
    <row r="2007" spans="1:3">
      <c r="A2007" s="6019" t="s">
        <v>2006</v>
      </c>
      <c r="B2007" s="6020"/>
      <c r="C2007" s="6021"/>
    </row>
    <row r="2008" spans="1:3">
      <c r="A2008" s="6022" t="s">
        <v>2007</v>
      </c>
      <c r="B2008" s="6023"/>
      <c r="C2008" s="6024"/>
    </row>
    <row r="2009" spans="1:3">
      <c r="A2009" s="6025" t="s">
        <v>2008</v>
      </c>
      <c r="B2009" s="6026"/>
      <c r="C2009" s="6027"/>
    </row>
    <row r="2010" spans="1:3">
      <c r="A2010" s="6028" t="s">
        <v>2009</v>
      </c>
      <c r="B2010" s="6029"/>
      <c r="C2010" s="6030"/>
    </row>
    <row r="2011" spans="1:3">
      <c r="A2011" s="6031" t="s">
        <v>2010</v>
      </c>
      <c r="B2011" s="6032"/>
      <c r="C2011" s="6033"/>
    </row>
    <row r="2012" spans="1:3">
      <c r="A2012" s="6034" t="s">
        <v>2011</v>
      </c>
      <c r="B2012" s="6035"/>
      <c r="C2012" s="6036"/>
    </row>
    <row r="2013" spans="1:3">
      <c r="A2013" s="6037" t="s">
        <v>2012</v>
      </c>
      <c r="B2013" s="6038"/>
      <c r="C2013" s="6039"/>
    </row>
    <row r="2014" spans="1:3">
      <c r="A2014" s="6040" t="s">
        <v>2013</v>
      </c>
      <c r="B2014" s="6041"/>
      <c r="C2014" s="6042"/>
    </row>
    <row r="2015" spans="1:3">
      <c r="A2015" s="6043" t="s">
        <v>2014</v>
      </c>
      <c r="B2015" s="6044"/>
      <c r="C2015" s="6045"/>
    </row>
    <row r="2016" spans="1:3">
      <c r="A2016" s="6046" t="s">
        <v>2015</v>
      </c>
      <c r="B2016" s="6047"/>
      <c r="C2016" s="6048"/>
    </row>
    <row r="2017" spans="1:3">
      <c r="A2017" s="6049" t="s">
        <v>2016</v>
      </c>
      <c r="B2017" s="6050"/>
      <c r="C2017" s="6051"/>
    </row>
    <row r="2018" spans="1:3">
      <c r="A2018" s="6052" t="s">
        <v>2017</v>
      </c>
      <c r="B2018" s="6053"/>
      <c r="C2018" s="6054"/>
    </row>
    <row r="2019" spans="1:3">
      <c r="A2019" s="6055" t="s">
        <v>2018</v>
      </c>
      <c r="B2019" s="6056"/>
      <c r="C2019" s="6057"/>
    </row>
    <row r="2020" spans="1:3">
      <c r="A2020" s="6058" t="s">
        <v>2019</v>
      </c>
      <c r="B2020" s="6059"/>
      <c r="C2020" s="6060"/>
    </row>
    <row r="2021" spans="1:3">
      <c r="A2021" s="6061" t="s">
        <v>2020</v>
      </c>
      <c r="B2021" s="6062"/>
      <c r="C2021" s="6063"/>
    </row>
    <row r="2022" spans="1:3">
      <c r="A2022" s="6064" t="s">
        <v>2021</v>
      </c>
      <c r="B2022" s="6065"/>
      <c r="C2022" s="6066"/>
    </row>
    <row r="2023" spans="1:3">
      <c r="A2023" s="6067" t="s">
        <v>2022</v>
      </c>
      <c r="B2023" s="6068"/>
      <c r="C2023" s="6069"/>
    </row>
    <row r="2024" spans="1:3">
      <c r="A2024" s="6070"/>
      <c r="B2024" s="6071"/>
      <c r="C2024" s="60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6"/>
  <sheetViews>
    <sheetView workbookViewId="0">
      <selection activeCell="D12" sqref="D12"/>
    </sheetView>
  </sheetViews>
  <sheetFormatPr defaultRowHeight="15"/>
  <cols>
    <col min="1" max="1" width="18.28515625" bestFit="1" customWidth="1"/>
    <col min="2" max="2" width="11.28515625" bestFit="1" customWidth="1"/>
    <col min="3" max="3" width="13.140625" bestFit="1" customWidth="1"/>
    <col min="4" max="4" width="121.28515625" bestFit="1" customWidth="1"/>
    <col min="6" max="7" width="11.7109375" bestFit="1" customWidth="1"/>
  </cols>
  <sheetData>
    <row r="2" spans="1:8">
      <c r="A2" t="s">
        <v>2023</v>
      </c>
      <c r="B2" t="s">
        <v>2024</v>
      </c>
      <c r="C2" t="s">
        <v>2025</v>
      </c>
      <c r="D2" t="s">
        <v>2026</v>
      </c>
      <c r="E2" t="s">
        <v>2027</v>
      </c>
      <c r="F2" t="s">
        <v>2028</v>
      </c>
      <c r="G2" t="s">
        <v>2029</v>
      </c>
      <c r="H2" t="s">
        <v>2030</v>
      </c>
    </row>
    <row r="3" spans="1:8">
      <c r="A3" t="str">
        <f>"01-04-2026 13:52:51"</f>
        <v>01-04-2026 13:52:51</v>
      </c>
      <c r="B3" t="str">
        <f>"31 Mar 2026"</f>
        <v>31 Mar 2026</v>
      </c>
      <c r="C3" t="str">
        <f>""</f>
        <v/>
      </c>
      <c r="D3" t="s">
        <v>2031</v>
      </c>
      <c r="E3">
        <v>280</v>
      </c>
      <c r="F3" s="6073">
        <v>5460</v>
      </c>
      <c r="H3" s="6073">
        <v>-1279254.99</v>
      </c>
    </row>
    <row r="4" spans="1:8">
      <c r="A4" t="str">
        <f>"01-04-2026 13:52:51"</f>
        <v>01-04-2026 13:52:51</v>
      </c>
      <c r="B4" t="str">
        <f>"01 Apr 2026"</f>
        <v>01 Apr 2026</v>
      </c>
      <c r="C4" t="str">
        <f>""</f>
        <v/>
      </c>
      <c r="D4" t="s">
        <v>2032</v>
      </c>
      <c r="E4">
        <v>280</v>
      </c>
      <c r="F4" t="str">
        <f>"3.00"</f>
        <v>3.00</v>
      </c>
      <c r="H4" s="6073">
        <v>-1279257.99</v>
      </c>
    </row>
    <row r="5" spans="1:8">
      <c r="A5" t="str">
        <f>"01-04-2026 14:45:43"</f>
        <v>01-04-2026 14:45:43</v>
      </c>
      <c r="B5" t="str">
        <f>"31 Mar 2026"</f>
        <v>31 Mar 2026</v>
      </c>
      <c r="C5" t="str">
        <f>""</f>
        <v/>
      </c>
      <c r="D5" t="s">
        <v>2033</v>
      </c>
      <c r="E5">
        <v>280</v>
      </c>
      <c r="F5" s="6073">
        <v>7991</v>
      </c>
      <c r="H5" s="6073">
        <v>-1287248.99</v>
      </c>
    </row>
    <row r="6" spans="1:8">
      <c r="A6" t="str">
        <f>"01-04-2026 14:45:43"</f>
        <v>01-04-2026 14:45:43</v>
      </c>
      <c r="B6" t="str">
        <f>"01 Apr 2026"</f>
        <v>01 Apr 2026</v>
      </c>
      <c r="C6" t="str">
        <f>""</f>
        <v/>
      </c>
      <c r="D6" t="s">
        <v>2032</v>
      </c>
      <c r="E6">
        <v>280</v>
      </c>
      <c r="F6" t="str">
        <f>"3.00"</f>
        <v>3.00</v>
      </c>
      <c r="H6" s="6073">
        <v>-1287251.99</v>
      </c>
    </row>
    <row r="7" spans="1:8">
      <c r="A7" t="str">
        <f>"02-04-2026 01:49:58"</f>
        <v>02-04-2026 01:49:58</v>
      </c>
      <c r="B7" t="str">
        <f t="shared" ref="B7:B17" si="0">"02 Apr 2026"</f>
        <v>02 Apr 2026</v>
      </c>
      <c r="C7" t="str">
        <f>""</f>
        <v/>
      </c>
      <c r="D7" t="s">
        <v>2034</v>
      </c>
      <c r="E7">
        <v>280</v>
      </c>
      <c r="F7" s="6073">
        <v>59000</v>
      </c>
      <c r="H7" s="6073">
        <v>-1346251.99</v>
      </c>
    </row>
    <row r="8" spans="1:8">
      <c r="A8" t="str">
        <f>"02-04-2026 12:22:00"</f>
        <v>02-04-2026 12:22:00</v>
      </c>
      <c r="B8" t="str">
        <f t="shared" si="0"/>
        <v>02 Apr 2026</v>
      </c>
      <c r="C8" t="str">
        <f>""</f>
        <v/>
      </c>
      <c r="D8" t="s">
        <v>2035</v>
      </c>
      <c r="E8">
        <v>280</v>
      </c>
      <c r="F8" s="6073">
        <v>9460</v>
      </c>
      <c r="H8" s="6073">
        <v>-1355711.99</v>
      </c>
    </row>
    <row r="9" spans="1:8">
      <c r="A9" t="str">
        <f>"02-04-2026 12:22:00"</f>
        <v>02-04-2026 12:22:00</v>
      </c>
      <c r="B9" t="str">
        <f t="shared" si="0"/>
        <v>02 Apr 2026</v>
      </c>
      <c r="C9" t="str">
        <f>""</f>
        <v/>
      </c>
      <c r="D9" t="s">
        <v>2032</v>
      </c>
      <c r="E9">
        <v>280</v>
      </c>
      <c r="F9" t="str">
        <f>"3.00"</f>
        <v>3.00</v>
      </c>
      <c r="H9" s="6073">
        <v>-1355714.99</v>
      </c>
    </row>
    <row r="10" spans="1:8">
      <c r="A10" t="str">
        <f>"02-04-2026 12:24:18"</f>
        <v>02-04-2026 12:24:18</v>
      </c>
      <c r="B10" t="str">
        <f t="shared" si="0"/>
        <v>02 Apr 2026</v>
      </c>
      <c r="C10" t="str">
        <f>""</f>
        <v/>
      </c>
      <c r="D10" t="s">
        <v>2036</v>
      </c>
      <c r="E10">
        <v>280</v>
      </c>
      <c r="F10" s="6073">
        <v>2030</v>
      </c>
      <c r="H10" s="6073">
        <v>-1357744.99</v>
      </c>
    </row>
    <row r="11" spans="1:8">
      <c r="A11" t="str">
        <f>"02-04-2026 12:24:18"</f>
        <v>02-04-2026 12:24:18</v>
      </c>
      <c r="B11" t="str">
        <f t="shared" si="0"/>
        <v>02 Apr 2026</v>
      </c>
      <c r="C11" t="str">
        <f>""</f>
        <v/>
      </c>
      <c r="D11" t="s">
        <v>2032</v>
      </c>
      <c r="E11">
        <v>280</v>
      </c>
      <c r="F11" t="str">
        <f>"3.00"</f>
        <v>3.00</v>
      </c>
      <c r="H11" s="6073">
        <v>-1357747.99</v>
      </c>
    </row>
    <row r="12" spans="1:8">
      <c r="A12" t="str">
        <f>"02-04-2026 12:53:33"</f>
        <v>02-04-2026 12:53:33</v>
      </c>
      <c r="B12" t="str">
        <f t="shared" si="0"/>
        <v>02 Apr 2026</v>
      </c>
      <c r="C12" t="str">
        <f>""</f>
        <v/>
      </c>
      <c r="D12" t="s">
        <v>2037</v>
      </c>
      <c r="E12">
        <v>280</v>
      </c>
      <c r="F12" s="6073">
        <v>1000</v>
      </c>
      <c r="H12" s="6073">
        <v>-1358747.99</v>
      </c>
    </row>
    <row r="13" spans="1:8">
      <c r="A13" t="str">
        <f>"02-04-2026 12:53:33"</f>
        <v>02-04-2026 12:53:33</v>
      </c>
      <c r="B13" t="str">
        <f t="shared" si="0"/>
        <v>02 Apr 2026</v>
      </c>
      <c r="C13" t="str">
        <f>""</f>
        <v/>
      </c>
      <c r="D13" t="s">
        <v>2032</v>
      </c>
      <c r="E13">
        <v>280</v>
      </c>
      <c r="F13" t="str">
        <f>"3.00"</f>
        <v>3.00</v>
      </c>
      <c r="H13" s="6073">
        <v>-1358750.99</v>
      </c>
    </row>
    <row r="14" spans="1:8">
      <c r="A14" t="str">
        <f>"02-04-2026 13:35:29"</f>
        <v>02-04-2026 13:35:29</v>
      </c>
      <c r="B14" t="str">
        <f t="shared" si="0"/>
        <v>02 Apr 2026</v>
      </c>
      <c r="C14" t="str">
        <f>""</f>
        <v/>
      </c>
      <c r="D14" t="s">
        <v>2038</v>
      </c>
      <c r="E14">
        <v>280</v>
      </c>
      <c r="F14" s="6073">
        <v>1043000</v>
      </c>
      <c r="H14" s="6073">
        <v>-2401750.9900000002</v>
      </c>
    </row>
    <row r="15" spans="1:8">
      <c r="A15" t="str">
        <f>"02-04-2026 13:35:29"</f>
        <v>02-04-2026 13:35:29</v>
      </c>
      <c r="B15" t="str">
        <f t="shared" si="0"/>
        <v>02 Apr 2026</v>
      </c>
      <c r="C15" t="str">
        <f>""</f>
        <v/>
      </c>
      <c r="D15" t="s">
        <v>2032</v>
      </c>
      <c r="E15">
        <v>280</v>
      </c>
      <c r="F15" t="str">
        <f>"29.00"</f>
        <v>29.00</v>
      </c>
      <c r="H15" s="6073">
        <v>-2401779.9900000002</v>
      </c>
    </row>
    <row r="16" spans="1:8">
      <c r="A16" t="str">
        <f>"02-04-2026 13:42:47"</f>
        <v>02-04-2026 13:42:47</v>
      </c>
      <c r="B16" t="str">
        <f t="shared" si="0"/>
        <v>02 Apr 2026</v>
      </c>
      <c r="C16" t="str">
        <f>""</f>
        <v/>
      </c>
      <c r="D16" t="s">
        <v>2039</v>
      </c>
      <c r="E16">
        <v>280</v>
      </c>
      <c r="F16" s="6073">
        <v>22500</v>
      </c>
      <c r="H16" s="6073">
        <v>-2424279.9900000002</v>
      </c>
    </row>
    <row r="17" spans="1:8">
      <c r="A17" t="str">
        <f>"02-04-2026 13:42:47"</f>
        <v>02-04-2026 13:42:47</v>
      </c>
      <c r="B17" t="str">
        <f t="shared" si="0"/>
        <v>02 Apr 2026</v>
      </c>
      <c r="C17" t="str">
        <f>""</f>
        <v/>
      </c>
      <c r="D17" t="s">
        <v>2032</v>
      </c>
      <c r="E17">
        <v>280</v>
      </c>
      <c r="F17" t="str">
        <f>"6.00"</f>
        <v>6.00</v>
      </c>
      <c r="H17" s="6073">
        <v>-2424285.9900000002</v>
      </c>
    </row>
    <row r="18" spans="1:8">
      <c r="A18" t="str">
        <f>"03-04-2026 11:43:05"</f>
        <v>03-04-2026 11:43:05</v>
      </c>
      <c r="B18" t="str">
        <f t="shared" ref="B18:B27" si="1">"03 Apr 2026"</f>
        <v>03 Apr 2026</v>
      </c>
      <c r="C18" t="str">
        <f>""</f>
        <v/>
      </c>
      <c r="D18" t="s">
        <v>2040</v>
      </c>
      <c r="E18">
        <v>280</v>
      </c>
      <c r="G18" s="6073">
        <v>346580</v>
      </c>
      <c r="H18" s="6073">
        <v>-2077705.99</v>
      </c>
    </row>
    <row r="19" spans="1:8">
      <c r="A19" t="str">
        <f>"03-04-2026 11:44:19"</f>
        <v>03-04-2026 11:44:19</v>
      </c>
      <c r="B19" t="str">
        <f t="shared" si="1"/>
        <v>03 Apr 2026</v>
      </c>
      <c r="C19" t="str">
        <f>""</f>
        <v/>
      </c>
      <c r="D19" t="s">
        <v>2041</v>
      </c>
      <c r="E19">
        <v>280</v>
      </c>
      <c r="F19" s="6073">
        <v>236956</v>
      </c>
      <c r="H19" s="6073">
        <v>-2314661.9900000002</v>
      </c>
    </row>
    <row r="20" spans="1:8">
      <c r="A20" t="str">
        <f>"03-04-2026 11:44:19"</f>
        <v>03-04-2026 11:44:19</v>
      </c>
      <c r="B20" t="str">
        <f t="shared" si="1"/>
        <v>03 Apr 2026</v>
      </c>
      <c r="C20" t="str">
        <f>""</f>
        <v/>
      </c>
      <c r="D20" t="s">
        <v>2032</v>
      </c>
      <c r="E20">
        <v>280</v>
      </c>
      <c r="F20" t="str">
        <f>"29.00"</f>
        <v>29.00</v>
      </c>
      <c r="H20" s="6073">
        <v>-2314690.9900000002</v>
      </c>
    </row>
    <row r="21" spans="1:8">
      <c r="A21" t="str">
        <f>"03-04-2026 13:22:49"</f>
        <v>03-04-2026 13:22:49</v>
      </c>
      <c r="B21" t="str">
        <f t="shared" si="1"/>
        <v>03 Apr 2026</v>
      </c>
      <c r="C21" t="str">
        <f>""</f>
        <v/>
      </c>
      <c r="D21" t="s">
        <v>2042</v>
      </c>
      <c r="E21">
        <v>280</v>
      </c>
      <c r="F21" s="6073">
        <v>7952</v>
      </c>
      <c r="H21" s="6073">
        <v>-2322642.9900000002</v>
      </c>
    </row>
    <row r="22" spans="1:8">
      <c r="A22" t="str">
        <f>"03-04-2026 13:22:49"</f>
        <v>03-04-2026 13:22:49</v>
      </c>
      <c r="B22" t="str">
        <f t="shared" si="1"/>
        <v>03 Apr 2026</v>
      </c>
      <c r="C22" t="str">
        <f>""</f>
        <v/>
      </c>
      <c r="D22" t="s">
        <v>2032</v>
      </c>
      <c r="E22">
        <v>280</v>
      </c>
      <c r="F22" t="str">
        <f>"3.00"</f>
        <v>3.00</v>
      </c>
      <c r="H22" s="6073">
        <v>-2322645.9900000002</v>
      </c>
    </row>
    <row r="23" spans="1:8">
      <c r="A23" t="str">
        <f>"03-04-2026 16:00:11"</f>
        <v>03-04-2026 16:00:11</v>
      </c>
      <c r="B23" t="str">
        <f t="shared" si="1"/>
        <v>03 Apr 2026</v>
      </c>
      <c r="C23" t="str">
        <f>""</f>
        <v/>
      </c>
      <c r="D23" t="s">
        <v>2043</v>
      </c>
      <c r="E23">
        <v>280</v>
      </c>
      <c r="G23" s="6073">
        <v>745520</v>
      </c>
      <c r="H23" s="6073">
        <v>-1577125.99</v>
      </c>
    </row>
    <row r="24" spans="1:8">
      <c r="A24" t="str">
        <f>"03-04-2026 16:05:01"</f>
        <v>03-04-2026 16:05:01</v>
      </c>
      <c r="B24" t="str">
        <f t="shared" si="1"/>
        <v>03 Apr 2026</v>
      </c>
      <c r="C24" t="str">
        <f>""</f>
        <v/>
      </c>
      <c r="D24" t="s">
        <v>2044</v>
      </c>
      <c r="E24">
        <v>280</v>
      </c>
      <c r="F24" s="6073">
        <v>33275</v>
      </c>
      <c r="H24" s="6073">
        <v>-1610400.99</v>
      </c>
    </row>
    <row r="25" spans="1:8">
      <c r="A25" t="str">
        <f>"03-04-2026 16:05:01"</f>
        <v>03-04-2026 16:05:01</v>
      </c>
      <c r="B25" t="str">
        <f t="shared" si="1"/>
        <v>03 Apr 2026</v>
      </c>
      <c r="C25" t="str">
        <f>""</f>
        <v/>
      </c>
      <c r="D25" t="s">
        <v>2032</v>
      </c>
      <c r="E25">
        <v>280</v>
      </c>
      <c r="F25" t="str">
        <f>"6.00"</f>
        <v>6.00</v>
      </c>
      <c r="H25" s="6073">
        <v>-1610406.99</v>
      </c>
    </row>
    <row r="26" spans="1:8">
      <c r="A26" t="str">
        <f>"03-04-2026 16:29:29"</f>
        <v>03-04-2026 16:29:29</v>
      </c>
      <c r="B26" t="str">
        <f t="shared" si="1"/>
        <v>03 Apr 2026</v>
      </c>
      <c r="C26" t="str">
        <f>""</f>
        <v/>
      </c>
      <c r="D26" t="s">
        <v>2045</v>
      </c>
      <c r="E26">
        <v>280</v>
      </c>
      <c r="F26" s="6073">
        <v>1711725</v>
      </c>
      <c r="H26" s="6073">
        <v>-3322131.99</v>
      </c>
    </row>
    <row r="27" spans="1:8">
      <c r="A27" t="str">
        <f>"03-04-2026 16:29:29"</f>
        <v>03-04-2026 16:29:29</v>
      </c>
      <c r="B27" t="str">
        <f t="shared" si="1"/>
        <v>03 Apr 2026</v>
      </c>
      <c r="C27" t="str">
        <f>""</f>
        <v/>
      </c>
      <c r="D27" t="s">
        <v>2032</v>
      </c>
      <c r="E27">
        <v>280</v>
      </c>
      <c r="F27" t="str">
        <f>"29.00"</f>
        <v>29.00</v>
      </c>
      <c r="H27" s="6073">
        <v>-3322160.99</v>
      </c>
    </row>
    <row r="28" spans="1:8">
      <c r="A28" t="str">
        <f>"05-04-2026 00:48:48"</f>
        <v>05-04-2026 00:48:48</v>
      </c>
      <c r="B28" t="str">
        <f>"05 Apr 2026"</f>
        <v>05 Apr 2026</v>
      </c>
      <c r="C28" t="str">
        <f>""</f>
        <v/>
      </c>
      <c r="D28" t="s">
        <v>2046</v>
      </c>
      <c r="E28">
        <v>280</v>
      </c>
      <c r="F28" s="6073">
        <v>22500</v>
      </c>
      <c r="H28" s="6073">
        <v>-3344660.99</v>
      </c>
    </row>
    <row r="29" spans="1:8">
      <c r="A29" t="str">
        <f>"05-04-2026 00:48:48"</f>
        <v>05-04-2026 00:48:48</v>
      </c>
      <c r="B29" t="str">
        <f>"05 Apr 2026"</f>
        <v>05 Apr 2026</v>
      </c>
      <c r="C29" t="str">
        <f>""</f>
        <v/>
      </c>
      <c r="D29" t="s">
        <v>2032</v>
      </c>
      <c r="E29">
        <v>280</v>
      </c>
      <c r="F29" t="str">
        <f>"6.00"</f>
        <v>6.00</v>
      </c>
      <c r="H29" s="6073">
        <v>-3344666.99</v>
      </c>
    </row>
    <row r="30" spans="1:8">
      <c r="A30" t="str">
        <f>"05-04-2026 08:39:10"</f>
        <v>05-04-2026 08:39:10</v>
      </c>
      <c r="B30" t="str">
        <f>"05 Apr 2026"</f>
        <v>05 Apr 2026</v>
      </c>
      <c r="C30" t="str">
        <f>""</f>
        <v/>
      </c>
      <c r="D30" t="s">
        <v>2047</v>
      </c>
      <c r="E30">
        <v>280</v>
      </c>
      <c r="F30" s="6073">
        <v>1770</v>
      </c>
      <c r="H30" s="6073">
        <v>-3346436.99</v>
      </c>
    </row>
    <row r="31" spans="1:8">
      <c r="A31" t="str">
        <f>"05-04-2026 23:02:43"</f>
        <v>05-04-2026 23:02:43</v>
      </c>
      <c r="B31" t="str">
        <f>"05 Apr 2026"</f>
        <v>05 Apr 2026</v>
      </c>
      <c r="C31" t="str">
        <f>""</f>
        <v/>
      </c>
      <c r="D31" t="s">
        <v>2048</v>
      </c>
      <c r="E31">
        <v>280</v>
      </c>
      <c r="F31" s="6073">
        <v>114232</v>
      </c>
      <c r="H31" s="6073">
        <v>-3460668.99</v>
      </c>
    </row>
    <row r="32" spans="1:8">
      <c r="A32" t="str">
        <f>"06-04-2026 12:01:31"</f>
        <v>06-04-2026 12:01:31</v>
      </c>
      <c r="B32" t="str">
        <f>"06 Apr 2026"</f>
        <v>06 Apr 2026</v>
      </c>
      <c r="C32" t="str">
        <f>""</f>
        <v/>
      </c>
      <c r="D32" t="s">
        <v>2049</v>
      </c>
      <c r="E32">
        <v>280</v>
      </c>
      <c r="F32" s="6073">
        <v>48519.96</v>
      </c>
      <c r="H32" s="6073">
        <v>-3509188.95</v>
      </c>
    </row>
    <row r="33" spans="1:8">
      <c r="A33" t="str">
        <f>"06-04-2026 12:06:17"</f>
        <v>06-04-2026 12:06:17</v>
      </c>
      <c r="B33" t="str">
        <f>"06 Apr 2026"</f>
        <v>06 Apr 2026</v>
      </c>
      <c r="C33" t="str">
        <f>""</f>
        <v/>
      </c>
      <c r="D33" t="s">
        <v>2050</v>
      </c>
      <c r="E33">
        <v>280</v>
      </c>
      <c r="G33" s="6073">
        <v>84804</v>
      </c>
      <c r="H33" s="6073">
        <v>-3424384.95</v>
      </c>
    </row>
    <row r="34" spans="1:8">
      <c r="A34" t="str">
        <f>"06-04-2026 17:23:49"</f>
        <v>06-04-2026 17:23:49</v>
      </c>
      <c r="B34" t="str">
        <f>"06 Apr 2026"</f>
        <v>06 Apr 2026</v>
      </c>
      <c r="C34" t="str">
        <f>""</f>
        <v/>
      </c>
      <c r="D34" t="s">
        <v>2051</v>
      </c>
      <c r="E34">
        <v>280</v>
      </c>
      <c r="G34" s="6073">
        <v>405199</v>
      </c>
      <c r="H34" s="6073">
        <v>-3019185.95</v>
      </c>
    </row>
    <row r="35" spans="1:8">
      <c r="A35" t="str">
        <f>"07-04-2026 12:52:54"</f>
        <v>07-04-2026 12:52:54</v>
      </c>
      <c r="B35" t="str">
        <f t="shared" ref="B35:B44" si="2">"07 Apr 2026"</f>
        <v>07 Apr 2026</v>
      </c>
      <c r="C35" t="str">
        <f>""</f>
        <v/>
      </c>
      <c r="D35" t="s">
        <v>2052</v>
      </c>
      <c r="E35">
        <v>280</v>
      </c>
      <c r="G35" s="6073">
        <v>1374075</v>
      </c>
      <c r="H35" s="6073">
        <v>-1645110.95</v>
      </c>
    </row>
    <row r="36" spans="1:8">
      <c r="A36" t="str">
        <f>"07-04-2026 12:55:36"</f>
        <v>07-04-2026 12:55:36</v>
      </c>
      <c r="B36" t="str">
        <f t="shared" si="2"/>
        <v>07 Apr 2026</v>
      </c>
      <c r="C36" t="str">
        <f>""</f>
        <v/>
      </c>
      <c r="D36" t="s">
        <v>2053</v>
      </c>
      <c r="E36">
        <v>280</v>
      </c>
      <c r="F36" s="6073">
        <v>159076</v>
      </c>
      <c r="H36" s="6073">
        <v>-1804186.95</v>
      </c>
    </row>
    <row r="37" spans="1:8">
      <c r="A37" t="str">
        <f>"07-04-2026 12:55:36"</f>
        <v>07-04-2026 12:55:36</v>
      </c>
      <c r="B37" t="str">
        <f t="shared" si="2"/>
        <v>07 Apr 2026</v>
      </c>
      <c r="C37" t="str">
        <f>""</f>
        <v/>
      </c>
      <c r="D37" t="s">
        <v>2032</v>
      </c>
      <c r="E37">
        <v>280</v>
      </c>
      <c r="F37" t="str">
        <f>"17.00"</f>
        <v>17.00</v>
      </c>
      <c r="H37" s="6073">
        <v>-1804203.95</v>
      </c>
    </row>
    <row r="38" spans="1:8">
      <c r="A38" t="str">
        <f>"07-04-2026 12:58:28"</f>
        <v>07-04-2026 12:58:28</v>
      </c>
      <c r="B38" t="str">
        <f t="shared" si="2"/>
        <v>07 Apr 2026</v>
      </c>
      <c r="C38" t="str">
        <f>""</f>
        <v/>
      </c>
      <c r="D38" t="s">
        <v>2054</v>
      </c>
      <c r="E38">
        <v>280</v>
      </c>
      <c r="F38" s="6073">
        <v>140420</v>
      </c>
      <c r="H38" s="6073">
        <v>-1944623.95</v>
      </c>
    </row>
    <row r="39" spans="1:8">
      <c r="A39" t="str">
        <f>"07-04-2026 12:58:28"</f>
        <v>07-04-2026 12:58:28</v>
      </c>
      <c r="B39" t="str">
        <f t="shared" si="2"/>
        <v>07 Apr 2026</v>
      </c>
      <c r="C39" t="str">
        <f>""</f>
        <v/>
      </c>
      <c r="D39" t="s">
        <v>2032</v>
      </c>
      <c r="E39">
        <v>280</v>
      </c>
      <c r="F39" t="str">
        <f>"17.00"</f>
        <v>17.00</v>
      </c>
      <c r="H39" s="6073">
        <v>-1944640.95</v>
      </c>
    </row>
    <row r="40" spans="1:8">
      <c r="A40" t="str">
        <f>"07-04-2026 23:27:23"</f>
        <v>07-04-2026 23:27:23</v>
      </c>
      <c r="B40" t="str">
        <f t="shared" si="2"/>
        <v>07 Apr 2026</v>
      </c>
      <c r="C40" t="str">
        <f>""</f>
        <v/>
      </c>
      <c r="D40" t="s">
        <v>2055</v>
      </c>
      <c r="E40">
        <v>280</v>
      </c>
      <c r="F40" s="6073">
        <v>89187</v>
      </c>
      <c r="H40" s="6073">
        <v>-2033827.95</v>
      </c>
    </row>
    <row r="41" spans="1:8">
      <c r="A41" t="str">
        <f>"07-04-2026 23:33:47"</f>
        <v>07-04-2026 23:33:47</v>
      </c>
      <c r="B41" t="str">
        <f t="shared" si="2"/>
        <v>07 Apr 2026</v>
      </c>
      <c r="C41" t="str">
        <f>""</f>
        <v/>
      </c>
      <c r="D41" t="s">
        <v>2056</v>
      </c>
      <c r="E41">
        <v>280</v>
      </c>
      <c r="F41" s="6073">
        <v>92400</v>
      </c>
      <c r="H41" s="6073">
        <v>-2126227.9500000002</v>
      </c>
    </row>
    <row r="42" spans="1:8">
      <c r="A42" t="str">
        <f>"07-04-2026 23:37:49"</f>
        <v>07-04-2026 23:37:49</v>
      </c>
      <c r="B42" t="str">
        <f t="shared" si="2"/>
        <v>07 Apr 2026</v>
      </c>
      <c r="C42" t="str">
        <f>""</f>
        <v/>
      </c>
      <c r="D42" t="s">
        <v>2057</v>
      </c>
      <c r="E42">
        <v>280</v>
      </c>
      <c r="F42" s="6073">
        <v>19838</v>
      </c>
      <c r="H42" s="6073">
        <v>-2146065.9500000002</v>
      </c>
    </row>
    <row r="43" spans="1:8">
      <c r="A43" t="str">
        <f>"07-04-2026 23:40:52"</f>
        <v>07-04-2026 23:40:52</v>
      </c>
      <c r="B43" t="str">
        <f t="shared" si="2"/>
        <v>07 Apr 2026</v>
      </c>
      <c r="C43" t="str">
        <f>""</f>
        <v/>
      </c>
      <c r="D43" t="s">
        <v>2058</v>
      </c>
      <c r="E43">
        <v>280</v>
      </c>
      <c r="F43" s="6073">
        <v>5325</v>
      </c>
      <c r="H43" s="6073">
        <v>-2151390.9500000002</v>
      </c>
    </row>
    <row r="44" spans="1:8">
      <c r="A44" t="str">
        <f>"07-04-2026 23:44:53"</f>
        <v>07-04-2026 23:44:53</v>
      </c>
      <c r="B44" t="str">
        <f t="shared" si="2"/>
        <v>07 Apr 2026</v>
      </c>
      <c r="C44" t="str">
        <f>""</f>
        <v/>
      </c>
      <c r="D44" t="s">
        <v>2059</v>
      </c>
      <c r="E44">
        <v>280</v>
      </c>
      <c r="F44" t="str">
        <f>"840.00"</f>
        <v>840.00</v>
      </c>
      <c r="H44" s="6073">
        <v>-2152230.9500000002</v>
      </c>
    </row>
    <row r="45" spans="1:8">
      <c r="A45" t="str">
        <f>"08-04-2026 17:32:30"</f>
        <v>08-04-2026 17:32:30</v>
      </c>
      <c r="B45" t="str">
        <f t="shared" ref="B45:B95" si="3">"08 Apr 2026"</f>
        <v>08 Apr 2026</v>
      </c>
      <c r="C45" t="str">
        <f>""</f>
        <v/>
      </c>
      <c r="D45" t="s">
        <v>2060</v>
      </c>
      <c r="E45">
        <v>280</v>
      </c>
      <c r="F45" s="6073">
        <v>200000</v>
      </c>
      <c r="H45" s="6073">
        <v>-2352230.9500000002</v>
      </c>
    </row>
    <row r="46" spans="1:8">
      <c r="A46" t="str">
        <f>"08-04-2026 17:32:30"</f>
        <v>08-04-2026 17:32:30</v>
      </c>
      <c r="B46" t="str">
        <f t="shared" si="3"/>
        <v>08 Apr 2026</v>
      </c>
      <c r="C46" t="str">
        <f>""</f>
        <v/>
      </c>
      <c r="D46" t="s">
        <v>2032</v>
      </c>
      <c r="E46">
        <v>280</v>
      </c>
      <c r="F46" t="str">
        <f>"17.00"</f>
        <v>17.00</v>
      </c>
      <c r="H46" s="6073">
        <v>-2352247.9500000002</v>
      </c>
    </row>
    <row r="47" spans="1:8">
      <c r="A47" t="str">
        <f>"08-04-2026 18:20:00"</f>
        <v>08-04-2026 18:20:00</v>
      </c>
      <c r="B47" t="str">
        <f t="shared" si="3"/>
        <v>08 Apr 2026</v>
      </c>
      <c r="C47" t="str">
        <f>""</f>
        <v/>
      </c>
      <c r="D47" t="s">
        <v>2061</v>
      </c>
      <c r="E47">
        <v>280</v>
      </c>
      <c r="G47" s="6073">
        <v>383801.8</v>
      </c>
      <c r="H47" s="6073">
        <v>-1968446.15</v>
      </c>
    </row>
    <row r="48" spans="1:8">
      <c r="A48" t="str">
        <f>"08-04-2026 18:22:48"</f>
        <v>08-04-2026 18:22:48</v>
      </c>
      <c r="B48" t="str">
        <f t="shared" si="3"/>
        <v>08 Apr 2026</v>
      </c>
      <c r="C48" t="str">
        <f>""</f>
        <v/>
      </c>
      <c r="D48" t="s">
        <v>2062</v>
      </c>
      <c r="E48">
        <v>280</v>
      </c>
      <c r="F48" s="6073">
        <v>7218</v>
      </c>
      <c r="H48" s="6073">
        <v>-1975664.15</v>
      </c>
    </row>
    <row r="49" spans="1:8">
      <c r="A49" t="str">
        <f>"08-04-2026 18:22:48"</f>
        <v>08-04-2026 18:22:48</v>
      </c>
      <c r="B49" t="str">
        <f t="shared" si="3"/>
        <v>08 Apr 2026</v>
      </c>
      <c r="C49" t="str">
        <f>""</f>
        <v/>
      </c>
      <c r="D49" t="s">
        <v>2032</v>
      </c>
      <c r="E49">
        <v>280</v>
      </c>
      <c r="F49" t="str">
        <f>"3.00"</f>
        <v>3.00</v>
      </c>
      <c r="H49" s="6073">
        <v>-1975667.15</v>
      </c>
    </row>
    <row r="50" spans="1:8">
      <c r="A50" t="str">
        <f>"08-04-2026 18:25:25"</f>
        <v>08-04-2026 18:25:25</v>
      </c>
      <c r="B50" t="str">
        <f t="shared" si="3"/>
        <v>08 Apr 2026</v>
      </c>
      <c r="C50" t="str">
        <f>""</f>
        <v/>
      </c>
      <c r="D50" t="s">
        <v>2063</v>
      </c>
      <c r="E50">
        <v>280</v>
      </c>
      <c r="F50" s="6073">
        <v>18450</v>
      </c>
      <c r="H50" s="6073">
        <v>-1994117.15</v>
      </c>
    </row>
    <row r="51" spans="1:8">
      <c r="A51" t="str">
        <f>"08-04-2026 18:25:26"</f>
        <v>08-04-2026 18:25:26</v>
      </c>
      <c r="B51" t="str">
        <f t="shared" si="3"/>
        <v>08 Apr 2026</v>
      </c>
      <c r="C51" t="str">
        <f>""</f>
        <v/>
      </c>
      <c r="D51" t="s">
        <v>2032</v>
      </c>
      <c r="E51">
        <v>280</v>
      </c>
      <c r="F51" t="str">
        <f>"6.00"</f>
        <v>6.00</v>
      </c>
      <c r="H51" s="6073">
        <v>-1994123.15</v>
      </c>
    </row>
    <row r="52" spans="1:8">
      <c r="A52" t="str">
        <f>"08-04-2026 18:27:03"</f>
        <v>08-04-2026 18:27:03</v>
      </c>
      <c r="B52" t="str">
        <f t="shared" si="3"/>
        <v>08 Apr 2026</v>
      </c>
      <c r="C52" t="str">
        <f>""</f>
        <v/>
      </c>
      <c r="D52" t="s">
        <v>2064</v>
      </c>
      <c r="E52">
        <v>280</v>
      </c>
      <c r="F52" s="6073">
        <v>22000</v>
      </c>
      <c r="H52" s="6073">
        <v>-2016123.15</v>
      </c>
    </row>
    <row r="53" spans="1:8">
      <c r="A53" t="str">
        <f>"08-04-2026 18:27:03"</f>
        <v>08-04-2026 18:27:03</v>
      </c>
      <c r="B53" t="str">
        <f t="shared" si="3"/>
        <v>08 Apr 2026</v>
      </c>
      <c r="C53" t="str">
        <f>""</f>
        <v/>
      </c>
      <c r="D53" t="s">
        <v>2032</v>
      </c>
      <c r="E53">
        <v>280</v>
      </c>
      <c r="F53" t="str">
        <f>"6.00"</f>
        <v>6.00</v>
      </c>
      <c r="H53" s="6073">
        <v>-2016129.15</v>
      </c>
    </row>
    <row r="54" spans="1:8">
      <c r="A54" t="str">
        <f>"08-04-2026 18:34:39"</f>
        <v>08-04-2026 18:34:39</v>
      </c>
      <c r="B54" t="str">
        <f t="shared" si="3"/>
        <v>08 Apr 2026</v>
      </c>
      <c r="C54" t="str">
        <f>""</f>
        <v/>
      </c>
      <c r="D54" t="s">
        <v>2065</v>
      </c>
      <c r="E54">
        <v>280</v>
      </c>
      <c r="F54" s="6073">
        <v>12012</v>
      </c>
      <c r="H54" s="6073">
        <v>-2028141.15</v>
      </c>
    </row>
    <row r="55" spans="1:8">
      <c r="A55" t="str">
        <f>"08-04-2026 18:34:39"</f>
        <v>08-04-2026 18:34:39</v>
      </c>
      <c r="B55" t="str">
        <f t="shared" si="3"/>
        <v>08 Apr 2026</v>
      </c>
      <c r="C55" t="str">
        <f>""</f>
        <v/>
      </c>
      <c r="D55" t="s">
        <v>2032</v>
      </c>
      <c r="E55">
        <v>280</v>
      </c>
      <c r="F55" t="str">
        <f>"6.00"</f>
        <v>6.00</v>
      </c>
      <c r="H55" s="6073">
        <v>-2028147.15</v>
      </c>
    </row>
    <row r="56" spans="1:8">
      <c r="A56" t="str">
        <f>"08-04-2026 18:36:37"</f>
        <v>08-04-2026 18:36:37</v>
      </c>
      <c r="B56" t="str">
        <f t="shared" si="3"/>
        <v>08 Apr 2026</v>
      </c>
      <c r="C56" t="str">
        <f>""</f>
        <v/>
      </c>
      <c r="D56" t="s">
        <v>2066</v>
      </c>
      <c r="E56">
        <v>280</v>
      </c>
      <c r="F56" s="6073">
        <v>36468</v>
      </c>
      <c r="H56" s="6073">
        <v>-2064615.15</v>
      </c>
    </row>
    <row r="57" spans="1:8">
      <c r="A57" t="str">
        <f>"08-04-2026 18:36:37"</f>
        <v>08-04-2026 18:36:37</v>
      </c>
      <c r="B57" t="str">
        <f t="shared" si="3"/>
        <v>08 Apr 2026</v>
      </c>
      <c r="C57" t="str">
        <f>""</f>
        <v/>
      </c>
      <c r="D57" t="s">
        <v>2032</v>
      </c>
      <c r="E57">
        <v>280</v>
      </c>
      <c r="F57" t="str">
        <f>"6.00"</f>
        <v>6.00</v>
      </c>
      <c r="H57" s="6073">
        <v>-2064621.15</v>
      </c>
    </row>
    <row r="58" spans="1:8">
      <c r="A58" t="str">
        <f>"08-04-2026 18:37:49"</f>
        <v>08-04-2026 18:37:49</v>
      </c>
      <c r="B58" t="str">
        <f t="shared" si="3"/>
        <v>08 Apr 2026</v>
      </c>
      <c r="C58" t="str">
        <f>""</f>
        <v/>
      </c>
      <c r="D58" t="s">
        <v>2067</v>
      </c>
      <c r="E58">
        <v>280</v>
      </c>
      <c r="F58" s="6073">
        <v>9474</v>
      </c>
      <c r="H58" s="6073">
        <v>-2074095.15</v>
      </c>
    </row>
    <row r="59" spans="1:8">
      <c r="A59" t="str">
        <f>"08-04-2026 18:37:49"</f>
        <v>08-04-2026 18:37:49</v>
      </c>
      <c r="B59" t="str">
        <f t="shared" si="3"/>
        <v>08 Apr 2026</v>
      </c>
      <c r="C59" t="str">
        <f>""</f>
        <v/>
      </c>
      <c r="D59" t="s">
        <v>2032</v>
      </c>
      <c r="E59">
        <v>280</v>
      </c>
      <c r="F59" t="str">
        <f>"3.00"</f>
        <v>3.00</v>
      </c>
      <c r="H59" s="6073">
        <v>-2074098.15</v>
      </c>
    </row>
    <row r="60" spans="1:8">
      <c r="A60" t="str">
        <f>"08-04-2026 18:40:02"</f>
        <v>08-04-2026 18:40:02</v>
      </c>
      <c r="B60" t="str">
        <f t="shared" si="3"/>
        <v>08 Apr 2026</v>
      </c>
      <c r="C60" t="str">
        <f>""</f>
        <v/>
      </c>
      <c r="D60" t="s">
        <v>2068</v>
      </c>
      <c r="E60">
        <v>280</v>
      </c>
      <c r="F60" s="6073">
        <v>9170</v>
      </c>
      <c r="H60" s="6073">
        <v>-2083268.15</v>
      </c>
    </row>
    <row r="61" spans="1:8">
      <c r="A61" t="str">
        <f>"08-04-2026 18:40:02"</f>
        <v>08-04-2026 18:40:02</v>
      </c>
      <c r="B61" t="str">
        <f t="shared" si="3"/>
        <v>08 Apr 2026</v>
      </c>
      <c r="C61" t="str">
        <f>""</f>
        <v/>
      </c>
      <c r="D61" t="s">
        <v>2032</v>
      </c>
      <c r="E61">
        <v>280</v>
      </c>
      <c r="F61" t="str">
        <f>"3.00"</f>
        <v>3.00</v>
      </c>
      <c r="H61" s="6073">
        <v>-2083271.15</v>
      </c>
    </row>
    <row r="62" spans="1:8">
      <c r="A62" t="str">
        <f>"08-04-2026 18:41:54"</f>
        <v>08-04-2026 18:41:54</v>
      </c>
      <c r="B62" t="str">
        <f t="shared" si="3"/>
        <v>08 Apr 2026</v>
      </c>
      <c r="C62" t="str">
        <f>""</f>
        <v/>
      </c>
      <c r="D62" t="s">
        <v>2069</v>
      </c>
      <c r="E62">
        <v>280</v>
      </c>
      <c r="F62" s="6073">
        <v>9258</v>
      </c>
      <c r="H62" s="6073">
        <v>-2092529.15</v>
      </c>
    </row>
    <row r="63" spans="1:8">
      <c r="A63" t="str">
        <f>"08-04-2026 18:41:54"</f>
        <v>08-04-2026 18:41:54</v>
      </c>
      <c r="B63" t="str">
        <f t="shared" si="3"/>
        <v>08 Apr 2026</v>
      </c>
      <c r="C63" t="str">
        <f>""</f>
        <v/>
      </c>
      <c r="D63" t="s">
        <v>2032</v>
      </c>
      <c r="E63">
        <v>280</v>
      </c>
      <c r="F63" t="str">
        <f>"3.00"</f>
        <v>3.00</v>
      </c>
      <c r="H63" s="6073">
        <v>-2092532.15</v>
      </c>
    </row>
    <row r="64" spans="1:8">
      <c r="A64" t="str">
        <f>"08-04-2026 18:43:23"</f>
        <v>08-04-2026 18:43:23</v>
      </c>
      <c r="B64" t="str">
        <f t="shared" si="3"/>
        <v>08 Apr 2026</v>
      </c>
      <c r="C64" t="str">
        <f>""</f>
        <v/>
      </c>
      <c r="D64" t="s">
        <v>2070</v>
      </c>
      <c r="E64">
        <v>280</v>
      </c>
      <c r="F64" s="6073">
        <v>17074</v>
      </c>
      <c r="H64" s="6073">
        <v>-2109606.15</v>
      </c>
    </row>
    <row r="65" spans="1:8">
      <c r="A65" t="str">
        <f>"08-04-2026 18:43:24"</f>
        <v>08-04-2026 18:43:24</v>
      </c>
      <c r="B65" t="str">
        <f t="shared" si="3"/>
        <v>08 Apr 2026</v>
      </c>
      <c r="C65" t="str">
        <f>""</f>
        <v/>
      </c>
      <c r="D65" t="s">
        <v>2032</v>
      </c>
      <c r="E65">
        <v>280</v>
      </c>
      <c r="F65" t="str">
        <f>"6.00"</f>
        <v>6.00</v>
      </c>
      <c r="H65" s="6073">
        <v>-2109612.15</v>
      </c>
    </row>
    <row r="66" spans="1:8">
      <c r="A66" t="str">
        <f>"08-04-2026 18:45:05"</f>
        <v>08-04-2026 18:45:05</v>
      </c>
      <c r="B66" t="str">
        <f t="shared" si="3"/>
        <v>08 Apr 2026</v>
      </c>
      <c r="C66" t="str">
        <f>""</f>
        <v/>
      </c>
      <c r="D66" t="s">
        <v>2071</v>
      </c>
      <c r="E66">
        <v>280</v>
      </c>
      <c r="F66" s="6073">
        <v>9258</v>
      </c>
      <c r="H66" s="6073">
        <v>-2118870.15</v>
      </c>
    </row>
    <row r="67" spans="1:8">
      <c r="A67" t="str">
        <f>"08-04-2026 18:45:05"</f>
        <v>08-04-2026 18:45:05</v>
      </c>
      <c r="B67" t="str">
        <f t="shared" si="3"/>
        <v>08 Apr 2026</v>
      </c>
      <c r="C67" t="str">
        <f>""</f>
        <v/>
      </c>
      <c r="D67" t="s">
        <v>2032</v>
      </c>
      <c r="E67">
        <v>280</v>
      </c>
      <c r="F67" t="str">
        <f>"3.00"</f>
        <v>3.00</v>
      </c>
      <c r="H67" s="6073">
        <v>-2118873.15</v>
      </c>
    </row>
    <row r="68" spans="1:8">
      <c r="A68" t="str">
        <f>"08-04-2026 18:46:51"</f>
        <v>08-04-2026 18:46:51</v>
      </c>
      <c r="B68" t="str">
        <f t="shared" si="3"/>
        <v>08 Apr 2026</v>
      </c>
      <c r="C68" t="str">
        <f>""</f>
        <v/>
      </c>
      <c r="D68" t="s">
        <v>2072</v>
      </c>
      <c r="E68">
        <v>280</v>
      </c>
      <c r="F68" s="6073">
        <v>7202</v>
      </c>
      <c r="H68" s="6073">
        <v>-2126075.15</v>
      </c>
    </row>
    <row r="69" spans="1:8">
      <c r="A69" t="str">
        <f>"08-04-2026 18:46:51"</f>
        <v>08-04-2026 18:46:51</v>
      </c>
      <c r="B69" t="str">
        <f t="shared" si="3"/>
        <v>08 Apr 2026</v>
      </c>
      <c r="C69" t="str">
        <f>""</f>
        <v/>
      </c>
      <c r="D69" t="s">
        <v>2032</v>
      </c>
      <c r="E69">
        <v>280</v>
      </c>
      <c r="F69" t="str">
        <f>"3.00"</f>
        <v>3.00</v>
      </c>
      <c r="H69" s="6073">
        <v>-2126078.15</v>
      </c>
    </row>
    <row r="70" spans="1:8">
      <c r="A70" t="str">
        <f>"08-04-2026 18:51:22"</f>
        <v>08-04-2026 18:51:22</v>
      </c>
      <c r="B70" t="str">
        <f t="shared" si="3"/>
        <v>08 Apr 2026</v>
      </c>
      <c r="C70" t="str">
        <f>""</f>
        <v/>
      </c>
      <c r="D70" t="s">
        <v>2073</v>
      </c>
      <c r="E70">
        <v>280</v>
      </c>
      <c r="F70" s="6073">
        <v>44000</v>
      </c>
      <c r="H70" s="6073">
        <v>-2170078.15</v>
      </c>
    </row>
    <row r="71" spans="1:8">
      <c r="A71" t="str">
        <f>"08-04-2026 18:51:23"</f>
        <v>08-04-2026 18:51:23</v>
      </c>
      <c r="B71" t="str">
        <f t="shared" si="3"/>
        <v>08 Apr 2026</v>
      </c>
      <c r="C71" t="str">
        <f>""</f>
        <v/>
      </c>
      <c r="D71" t="s">
        <v>2032</v>
      </c>
      <c r="E71">
        <v>280</v>
      </c>
      <c r="F71" t="str">
        <f>"6.00"</f>
        <v>6.00</v>
      </c>
      <c r="H71" s="6073">
        <v>-2170084.15</v>
      </c>
    </row>
    <row r="72" spans="1:8">
      <c r="A72" t="str">
        <f>"08-04-2026 18:53:10"</f>
        <v>08-04-2026 18:53:10</v>
      </c>
      <c r="B72" t="str">
        <f t="shared" si="3"/>
        <v>08 Apr 2026</v>
      </c>
      <c r="C72" t="str">
        <f>""</f>
        <v/>
      </c>
      <c r="D72" t="s">
        <v>2074</v>
      </c>
      <c r="E72">
        <v>280</v>
      </c>
      <c r="F72" s="6073">
        <v>83000</v>
      </c>
      <c r="H72" s="6073">
        <v>-2253084.15</v>
      </c>
    </row>
    <row r="73" spans="1:8">
      <c r="A73" t="str">
        <f>"08-04-2026 18:53:10"</f>
        <v>08-04-2026 18:53:10</v>
      </c>
      <c r="B73" t="str">
        <f t="shared" si="3"/>
        <v>08 Apr 2026</v>
      </c>
      <c r="C73" t="str">
        <f>""</f>
        <v/>
      </c>
      <c r="D73" t="s">
        <v>2032</v>
      </c>
      <c r="E73">
        <v>280</v>
      </c>
      <c r="F73" t="str">
        <f>"6.00"</f>
        <v>6.00</v>
      </c>
      <c r="H73" s="6073">
        <v>-2253090.15</v>
      </c>
    </row>
    <row r="74" spans="1:8">
      <c r="A74" t="str">
        <f>"08-04-2026 18:55:57"</f>
        <v>08-04-2026 18:55:57</v>
      </c>
      <c r="B74" t="str">
        <f t="shared" si="3"/>
        <v>08 Apr 2026</v>
      </c>
      <c r="C74" t="str">
        <f>""</f>
        <v/>
      </c>
      <c r="D74" t="s">
        <v>2075</v>
      </c>
      <c r="E74">
        <v>280</v>
      </c>
      <c r="F74" s="6073">
        <v>178000</v>
      </c>
      <c r="H74" s="6073">
        <v>-2431090.15</v>
      </c>
    </row>
    <row r="75" spans="1:8">
      <c r="A75" t="str">
        <f>"08-04-2026 18:55:57"</f>
        <v>08-04-2026 18:55:57</v>
      </c>
      <c r="B75" t="str">
        <f t="shared" si="3"/>
        <v>08 Apr 2026</v>
      </c>
      <c r="C75" t="str">
        <f>""</f>
        <v/>
      </c>
      <c r="D75" t="s">
        <v>2032</v>
      </c>
      <c r="E75">
        <v>280</v>
      </c>
      <c r="F75" t="str">
        <f>"17.00"</f>
        <v>17.00</v>
      </c>
      <c r="H75" s="6073">
        <v>-2431107.15</v>
      </c>
    </row>
    <row r="76" spans="1:8">
      <c r="A76" t="str">
        <f>"08-04-2026 18:58:07"</f>
        <v>08-04-2026 18:58:07</v>
      </c>
      <c r="B76" t="str">
        <f t="shared" si="3"/>
        <v>08 Apr 2026</v>
      </c>
      <c r="C76" t="str">
        <f>""</f>
        <v/>
      </c>
      <c r="D76" t="s">
        <v>2076</v>
      </c>
      <c r="E76">
        <v>280</v>
      </c>
      <c r="F76" s="6073">
        <v>167200</v>
      </c>
      <c r="H76" s="6073">
        <v>-2598307.15</v>
      </c>
    </row>
    <row r="77" spans="1:8">
      <c r="A77" t="str">
        <f>"08-04-2026 18:58:07"</f>
        <v>08-04-2026 18:58:07</v>
      </c>
      <c r="B77" t="str">
        <f t="shared" si="3"/>
        <v>08 Apr 2026</v>
      </c>
      <c r="C77" t="str">
        <f>""</f>
        <v/>
      </c>
      <c r="D77" t="s">
        <v>2032</v>
      </c>
      <c r="E77">
        <v>280</v>
      </c>
      <c r="F77" t="str">
        <f>"17.00"</f>
        <v>17.00</v>
      </c>
      <c r="H77" s="6073">
        <v>-2598324.15</v>
      </c>
    </row>
    <row r="78" spans="1:8">
      <c r="A78" t="str">
        <f>"08-04-2026 18:59:38"</f>
        <v>08-04-2026 18:59:38</v>
      </c>
      <c r="B78" t="str">
        <f t="shared" si="3"/>
        <v>08 Apr 2026</v>
      </c>
      <c r="C78" t="str">
        <f>""</f>
        <v/>
      </c>
      <c r="D78" t="s">
        <v>2077</v>
      </c>
      <c r="E78">
        <v>280</v>
      </c>
      <c r="F78" s="6073">
        <v>156400</v>
      </c>
      <c r="H78" s="6073">
        <v>-2754724.15</v>
      </c>
    </row>
    <row r="79" spans="1:8">
      <c r="A79" t="str">
        <f>"08-04-2026 18:59:38"</f>
        <v>08-04-2026 18:59:38</v>
      </c>
      <c r="B79" t="str">
        <f t="shared" si="3"/>
        <v>08 Apr 2026</v>
      </c>
      <c r="C79" t="str">
        <f>""</f>
        <v/>
      </c>
      <c r="D79" t="s">
        <v>2032</v>
      </c>
      <c r="E79">
        <v>280</v>
      </c>
      <c r="F79" t="str">
        <f>"17.00"</f>
        <v>17.00</v>
      </c>
      <c r="H79" s="6073">
        <v>-2754741.15</v>
      </c>
    </row>
    <row r="80" spans="1:8">
      <c r="A80" t="str">
        <f>"08-04-2026 19:00:56"</f>
        <v>08-04-2026 19:00:56</v>
      </c>
      <c r="B80" t="str">
        <f t="shared" si="3"/>
        <v>08 Apr 2026</v>
      </c>
      <c r="C80" t="str">
        <f>""</f>
        <v/>
      </c>
      <c r="D80" t="s">
        <v>2078</v>
      </c>
      <c r="E80">
        <v>280</v>
      </c>
      <c r="F80" s="6073">
        <v>8915</v>
      </c>
      <c r="H80" s="6073">
        <v>-2763656.15</v>
      </c>
    </row>
    <row r="81" spans="1:8">
      <c r="A81" t="str">
        <f>"08-04-2026 19:02:23"</f>
        <v>08-04-2026 19:02:23</v>
      </c>
      <c r="B81" t="str">
        <f t="shared" si="3"/>
        <v>08 Apr 2026</v>
      </c>
      <c r="C81" t="str">
        <f>""</f>
        <v/>
      </c>
      <c r="D81" t="s">
        <v>2079</v>
      </c>
      <c r="E81">
        <v>280</v>
      </c>
      <c r="F81" s="6073">
        <v>4629</v>
      </c>
      <c r="H81" s="6073">
        <v>-2768285.15</v>
      </c>
    </row>
    <row r="82" spans="1:8">
      <c r="A82" t="str">
        <f>"08-04-2026 19:02:23"</f>
        <v>08-04-2026 19:02:23</v>
      </c>
      <c r="B82" t="str">
        <f t="shared" si="3"/>
        <v>08 Apr 2026</v>
      </c>
      <c r="C82" t="str">
        <f>""</f>
        <v/>
      </c>
      <c r="D82" t="s">
        <v>2032</v>
      </c>
      <c r="E82">
        <v>280</v>
      </c>
      <c r="F82" t="str">
        <f>"3.00"</f>
        <v>3.00</v>
      </c>
      <c r="H82" s="6073">
        <v>-2768288.15</v>
      </c>
    </row>
    <row r="83" spans="1:8">
      <c r="A83" t="str">
        <f>"08-04-2026 19:04:17"</f>
        <v>08-04-2026 19:04:17</v>
      </c>
      <c r="B83" t="str">
        <f t="shared" si="3"/>
        <v>08 Apr 2026</v>
      </c>
      <c r="C83" t="str">
        <f>""</f>
        <v/>
      </c>
      <c r="D83" t="s">
        <v>2080</v>
      </c>
      <c r="E83">
        <v>280</v>
      </c>
      <c r="F83" s="6073">
        <v>9854</v>
      </c>
      <c r="H83" s="6073">
        <v>-2778142.15</v>
      </c>
    </row>
    <row r="84" spans="1:8">
      <c r="A84" t="str">
        <f>"08-04-2026 19:04:18"</f>
        <v>08-04-2026 19:04:18</v>
      </c>
      <c r="B84" t="str">
        <f t="shared" si="3"/>
        <v>08 Apr 2026</v>
      </c>
      <c r="C84" t="str">
        <f>""</f>
        <v/>
      </c>
      <c r="D84" t="s">
        <v>2032</v>
      </c>
      <c r="E84">
        <v>280</v>
      </c>
      <c r="F84" t="str">
        <f>"3.00"</f>
        <v>3.00</v>
      </c>
      <c r="H84" s="6073">
        <v>-2778145.15</v>
      </c>
    </row>
    <row r="85" spans="1:8">
      <c r="A85" t="str">
        <f>"08-04-2026 19:07:03"</f>
        <v>08-04-2026 19:07:03</v>
      </c>
      <c r="B85" t="str">
        <f t="shared" si="3"/>
        <v>08 Apr 2026</v>
      </c>
      <c r="C85" t="str">
        <f>""</f>
        <v/>
      </c>
      <c r="D85" t="s">
        <v>2081</v>
      </c>
      <c r="E85">
        <v>280</v>
      </c>
      <c r="F85" s="6073">
        <v>3086</v>
      </c>
      <c r="H85" s="6073">
        <v>-2781231.15</v>
      </c>
    </row>
    <row r="86" spans="1:8">
      <c r="A86" t="str">
        <f>"08-04-2026 19:07:03"</f>
        <v>08-04-2026 19:07:03</v>
      </c>
      <c r="B86" t="str">
        <f t="shared" si="3"/>
        <v>08 Apr 2026</v>
      </c>
      <c r="C86" t="str">
        <f>""</f>
        <v/>
      </c>
      <c r="D86" t="s">
        <v>2032</v>
      </c>
      <c r="E86">
        <v>280</v>
      </c>
      <c r="F86" t="str">
        <f>"3.00"</f>
        <v>3.00</v>
      </c>
      <c r="H86" s="6073">
        <v>-2781234.15</v>
      </c>
    </row>
    <row r="87" spans="1:8">
      <c r="A87" t="str">
        <f>"08-04-2026 19:08:22"</f>
        <v>08-04-2026 19:08:22</v>
      </c>
      <c r="B87" t="str">
        <f t="shared" si="3"/>
        <v>08 Apr 2026</v>
      </c>
      <c r="C87" t="str">
        <f>""</f>
        <v/>
      </c>
      <c r="D87" t="s">
        <v>2082</v>
      </c>
      <c r="E87">
        <v>280</v>
      </c>
      <c r="F87" s="6073">
        <v>81200</v>
      </c>
      <c r="H87" s="6073">
        <v>-2862434.15</v>
      </c>
    </row>
    <row r="88" spans="1:8">
      <c r="A88" t="str">
        <f>"08-04-2026 19:08:22"</f>
        <v>08-04-2026 19:08:22</v>
      </c>
      <c r="B88" t="str">
        <f t="shared" si="3"/>
        <v>08 Apr 2026</v>
      </c>
      <c r="C88" t="str">
        <f>""</f>
        <v/>
      </c>
      <c r="D88" t="s">
        <v>2032</v>
      </c>
      <c r="E88">
        <v>280</v>
      </c>
      <c r="F88" t="str">
        <f>"6.00"</f>
        <v>6.00</v>
      </c>
      <c r="H88" s="6073">
        <v>-2862440.15</v>
      </c>
    </row>
    <row r="89" spans="1:8">
      <c r="A89" t="str">
        <f>"08-04-2026 19:09:39"</f>
        <v>08-04-2026 19:09:39</v>
      </c>
      <c r="B89" t="str">
        <f t="shared" si="3"/>
        <v>08 Apr 2026</v>
      </c>
      <c r="C89" t="str">
        <f>""</f>
        <v/>
      </c>
      <c r="D89" t="s">
        <v>2083</v>
      </c>
      <c r="E89">
        <v>280</v>
      </c>
      <c r="F89" s="6073">
        <v>48200</v>
      </c>
      <c r="H89" s="6073">
        <v>-2910640.15</v>
      </c>
    </row>
    <row r="90" spans="1:8">
      <c r="A90" t="str">
        <f>"08-04-2026 19:09:39"</f>
        <v>08-04-2026 19:09:39</v>
      </c>
      <c r="B90" t="str">
        <f t="shared" si="3"/>
        <v>08 Apr 2026</v>
      </c>
      <c r="C90" t="str">
        <f>""</f>
        <v/>
      </c>
      <c r="D90" t="s">
        <v>2032</v>
      </c>
      <c r="E90">
        <v>280</v>
      </c>
      <c r="F90" t="str">
        <f>"6.00"</f>
        <v>6.00</v>
      </c>
      <c r="H90" s="6073">
        <v>-2910646.15</v>
      </c>
    </row>
    <row r="91" spans="1:8">
      <c r="A91" t="str">
        <f>"08-04-2026 19:11:00"</f>
        <v>08-04-2026 19:11:00</v>
      </c>
      <c r="B91" t="str">
        <f t="shared" si="3"/>
        <v>08 Apr 2026</v>
      </c>
      <c r="C91" t="str">
        <f>""</f>
        <v/>
      </c>
      <c r="D91" t="s">
        <v>2084</v>
      </c>
      <c r="E91">
        <v>280</v>
      </c>
      <c r="F91" s="6073">
        <v>15230</v>
      </c>
      <c r="H91" s="6073">
        <v>-2925876.15</v>
      </c>
    </row>
    <row r="92" spans="1:8">
      <c r="A92" t="str">
        <f>"08-04-2026 19:11:00"</f>
        <v>08-04-2026 19:11:00</v>
      </c>
      <c r="B92" t="str">
        <f t="shared" si="3"/>
        <v>08 Apr 2026</v>
      </c>
      <c r="C92" t="str">
        <f>""</f>
        <v/>
      </c>
      <c r="D92" t="s">
        <v>2032</v>
      </c>
      <c r="E92">
        <v>280</v>
      </c>
      <c r="F92" t="str">
        <f>"6.00"</f>
        <v>6.00</v>
      </c>
      <c r="H92" s="6073">
        <v>-2925882.15</v>
      </c>
    </row>
    <row r="93" spans="1:8">
      <c r="A93" t="str">
        <f>"08-04-2026 19:13:07"</f>
        <v>08-04-2026 19:13:07</v>
      </c>
      <c r="B93" t="str">
        <f t="shared" si="3"/>
        <v>08 Apr 2026</v>
      </c>
      <c r="C93" t="str">
        <f>""</f>
        <v/>
      </c>
      <c r="D93" t="s">
        <v>2085</v>
      </c>
      <c r="E93">
        <v>280</v>
      </c>
      <c r="F93" s="6073">
        <v>35000</v>
      </c>
      <c r="H93" s="6073">
        <v>-2960882.15</v>
      </c>
    </row>
    <row r="94" spans="1:8">
      <c r="A94" t="str">
        <f>"08-04-2026 19:13:07"</f>
        <v>08-04-2026 19:13:07</v>
      </c>
      <c r="B94" t="str">
        <f t="shared" si="3"/>
        <v>08 Apr 2026</v>
      </c>
      <c r="C94" t="str">
        <f>""</f>
        <v/>
      </c>
      <c r="D94" t="s">
        <v>2032</v>
      </c>
      <c r="E94">
        <v>280</v>
      </c>
      <c r="F94" t="str">
        <f>"6.00"</f>
        <v>6.00</v>
      </c>
      <c r="H94" s="6073">
        <v>-2960888.15</v>
      </c>
    </row>
    <row r="95" spans="1:8">
      <c r="A95" t="str">
        <f>"08-04-2026 22:00:50"</f>
        <v>08-04-2026 22:00:50</v>
      </c>
      <c r="B95" t="str">
        <f t="shared" si="3"/>
        <v>08 Apr 2026</v>
      </c>
      <c r="C95" t="str">
        <f>""</f>
        <v/>
      </c>
      <c r="D95" t="s">
        <v>2086</v>
      </c>
      <c r="E95">
        <v>280</v>
      </c>
      <c r="F95" s="6073">
        <v>25000</v>
      </c>
      <c r="H95" s="6073">
        <v>-2985888.15</v>
      </c>
    </row>
    <row r="96" spans="1:8">
      <c r="A96" t="str">
        <f>"09-04-2026 00:25:12"</f>
        <v>09-04-2026 00:25:12</v>
      </c>
      <c r="B96" t="str">
        <f t="shared" ref="B96:B116" si="4">"09 Apr 2026"</f>
        <v>09 Apr 2026</v>
      </c>
      <c r="C96" t="str">
        <f>""</f>
        <v/>
      </c>
      <c r="D96" t="s">
        <v>2087</v>
      </c>
      <c r="E96">
        <v>280</v>
      </c>
      <c r="F96" s="6073">
        <v>200000</v>
      </c>
      <c r="H96" s="6073">
        <v>-3185888.15</v>
      </c>
    </row>
    <row r="97" spans="1:8">
      <c r="A97" t="str">
        <f>"09-04-2026 00:25:12"</f>
        <v>09-04-2026 00:25:12</v>
      </c>
      <c r="B97" t="str">
        <f t="shared" si="4"/>
        <v>09 Apr 2026</v>
      </c>
      <c r="C97" t="str">
        <f>""</f>
        <v/>
      </c>
      <c r="D97" t="s">
        <v>2032</v>
      </c>
      <c r="E97">
        <v>280</v>
      </c>
      <c r="F97" t="str">
        <f>"17.00"</f>
        <v>17.00</v>
      </c>
      <c r="H97" s="6073">
        <v>-3185905.15</v>
      </c>
    </row>
    <row r="98" spans="1:8">
      <c r="A98" t="str">
        <f>"09-04-2026 00:26:53"</f>
        <v>09-04-2026 00:26:53</v>
      </c>
      <c r="B98" t="str">
        <f t="shared" si="4"/>
        <v>09 Apr 2026</v>
      </c>
      <c r="C98" t="str">
        <f>""</f>
        <v/>
      </c>
      <c r="D98" t="s">
        <v>2088</v>
      </c>
      <c r="E98">
        <v>280</v>
      </c>
      <c r="F98" s="6073">
        <v>100000</v>
      </c>
      <c r="H98" s="6073">
        <v>-3285905.15</v>
      </c>
    </row>
    <row r="99" spans="1:8">
      <c r="A99" t="str">
        <f>"09-04-2026 00:26:53"</f>
        <v>09-04-2026 00:26:53</v>
      </c>
      <c r="B99" t="str">
        <f t="shared" si="4"/>
        <v>09 Apr 2026</v>
      </c>
      <c r="C99" t="str">
        <f>""</f>
        <v/>
      </c>
      <c r="D99" t="s">
        <v>2032</v>
      </c>
      <c r="E99">
        <v>280</v>
      </c>
      <c r="F99" t="str">
        <f>"6.00"</f>
        <v>6.00</v>
      </c>
      <c r="H99" s="6073">
        <v>-3285911.15</v>
      </c>
    </row>
    <row r="100" spans="1:8">
      <c r="A100" t="str">
        <f>"09-04-2026 00:29:41"</f>
        <v>09-04-2026 00:29:41</v>
      </c>
      <c r="B100" t="str">
        <f t="shared" si="4"/>
        <v>09 Apr 2026</v>
      </c>
      <c r="C100" t="str">
        <f>""</f>
        <v/>
      </c>
      <c r="D100" t="s">
        <v>2089</v>
      </c>
      <c r="E100">
        <v>280</v>
      </c>
      <c r="F100" s="6073">
        <v>119720</v>
      </c>
      <c r="H100" s="6073">
        <v>-3405631.15</v>
      </c>
    </row>
    <row r="101" spans="1:8">
      <c r="A101" t="str">
        <f>"09-04-2026 00:29:41"</f>
        <v>09-04-2026 00:29:41</v>
      </c>
      <c r="B101" t="str">
        <f t="shared" si="4"/>
        <v>09 Apr 2026</v>
      </c>
      <c r="C101" t="str">
        <f>""</f>
        <v/>
      </c>
      <c r="D101" t="s">
        <v>2032</v>
      </c>
      <c r="E101">
        <v>280</v>
      </c>
      <c r="F101" t="str">
        <f>"17.00"</f>
        <v>17.00</v>
      </c>
      <c r="H101" s="6073">
        <v>-3405648.15</v>
      </c>
    </row>
    <row r="102" spans="1:8">
      <c r="A102" t="str">
        <f>"09-04-2026 00:32:44"</f>
        <v>09-04-2026 00:32:44</v>
      </c>
      <c r="B102" t="str">
        <f t="shared" si="4"/>
        <v>09 Apr 2026</v>
      </c>
      <c r="C102" t="str">
        <f>""</f>
        <v/>
      </c>
      <c r="D102" t="s">
        <v>2090</v>
      </c>
      <c r="E102">
        <v>280</v>
      </c>
      <c r="F102" s="6073">
        <v>50489</v>
      </c>
      <c r="H102" s="6073">
        <v>-3456137.15</v>
      </c>
    </row>
    <row r="103" spans="1:8">
      <c r="A103" t="str">
        <f>"09-04-2026 00:32:44"</f>
        <v>09-04-2026 00:32:44</v>
      </c>
      <c r="B103" t="str">
        <f t="shared" si="4"/>
        <v>09 Apr 2026</v>
      </c>
      <c r="C103" t="str">
        <f>""</f>
        <v/>
      </c>
      <c r="D103" t="s">
        <v>2032</v>
      </c>
      <c r="E103">
        <v>280</v>
      </c>
      <c r="F103" t="str">
        <f>"6.00"</f>
        <v>6.00</v>
      </c>
      <c r="H103" s="6073">
        <v>-3456143.15</v>
      </c>
    </row>
    <row r="104" spans="1:8">
      <c r="A104" t="str">
        <f>"09-04-2026 11:43:05"</f>
        <v>09-04-2026 11:43:05</v>
      </c>
      <c r="B104" t="str">
        <f t="shared" si="4"/>
        <v>09 Apr 2026</v>
      </c>
      <c r="C104" t="str">
        <f>"170071307993"</f>
        <v>170071307993</v>
      </c>
      <c r="D104" t="s">
        <v>2091</v>
      </c>
      <c r="E104">
        <v>33</v>
      </c>
      <c r="G104" t="str">
        <f>"250.00"</f>
        <v>250.00</v>
      </c>
      <c r="H104" s="6073">
        <v>-3455893.15</v>
      </c>
    </row>
    <row r="105" spans="1:8">
      <c r="A105" t="str">
        <f>"09-04-2026 12:04:21"</f>
        <v>09-04-2026 12:04:21</v>
      </c>
      <c r="B105" t="str">
        <f t="shared" si="4"/>
        <v>09 Apr 2026</v>
      </c>
      <c r="C105" t="str">
        <f>""</f>
        <v/>
      </c>
      <c r="D105" t="s">
        <v>2092</v>
      </c>
      <c r="E105">
        <v>280</v>
      </c>
      <c r="F105" s="6073">
        <v>96390</v>
      </c>
      <c r="H105" s="6073">
        <v>-3552283.15</v>
      </c>
    </row>
    <row r="106" spans="1:8">
      <c r="A106" t="str">
        <f>"09-04-2026 12:04:21"</f>
        <v>09-04-2026 12:04:21</v>
      </c>
      <c r="B106" t="str">
        <f t="shared" si="4"/>
        <v>09 Apr 2026</v>
      </c>
      <c r="C106" t="str">
        <f>""</f>
        <v/>
      </c>
      <c r="D106" t="s">
        <v>2032</v>
      </c>
      <c r="E106">
        <v>280</v>
      </c>
      <c r="F106" t="str">
        <f>"6.00"</f>
        <v>6.00</v>
      </c>
      <c r="H106" s="6073">
        <v>-3552289.15</v>
      </c>
    </row>
    <row r="107" spans="1:8">
      <c r="A107" t="str">
        <f>"09-04-2026 16:57:03"</f>
        <v>09-04-2026 16:57:03</v>
      </c>
      <c r="B107" t="str">
        <f t="shared" si="4"/>
        <v>09 Apr 2026</v>
      </c>
      <c r="C107" t="str">
        <f>""</f>
        <v/>
      </c>
      <c r="D107" t="s">
        <v>2093</v>
      </c>
      <c r="E107">
        <v>280</v>
      </c>
      <c r="F107" s="6073">
        <v>24236.28</v>
      </c>
      <c r="H107" s="6073">
        <v>-3576525.43</v>
      </c>
    </row>
    <row r="108" spans="1:8">
      <c r="A108" t="str">
        <f>"09-04-2026 17:08:23"</f>
        <v>09-04-2026 17:08:23</v>
      </c>
      <c r="B108" t="str">
        <f t="shared" si="4"/>
        <v>09 Apr 2026</v>
      </c>
      <c r="C108" t="str">
        <f>""</f>
        <v/>
      </c>
      <c r="D108" t="s">
        <v>2094</v>
      </c>
      <c r="E108">
        <v>280</v>
      </c>
      <c r="F108" s="6073">
        <v>33630</v>
      </c>
      <c r="H108" s="6073">
        <v>-3610155.43</v>
      </c>
    </row>
    <row r="109" spans="1:8">
      <c r="A109" t="str">
        <f>"09-04-2026 17:08:23"</f>
        <v>09-04-2026 17:08:23</v>
      </c>
      <c r="B109" t="str">
        <f t="shared" si="4"/>
        <v>09 Apr 2026</v>
      </c>
      <c r="C109" t="str">
        <f>""</f>
        <v/>
      </c>
      <c r="D109" t="s">
        <v>2032</v>
      </c>
      <c r="E109">
        <v>280</v>
      </c>
      <c r="F109" t="str">
        <f>"6.00"</f>
        <v>6.00</v>
      </c>
      <c r="H109" s="6073">
        <v>-3610161.43</v>
      </c>
    </row>
    <row r="110" spans="1:8">
      <c r="A110" t="str">
        <f>"09-04-2026 17:10:18"</f>
        <v>09-04-2026 17:10:18</v>
      </c>
      <c r="B110" t="str">
        <f t="shared" si="4"/>
        <v>09 Apr 2026</v>
      </c>
      <c r="C110" t="str">
        <f>""</f>
        <v/>
      </c>
      <c r="D110" t="s">
        <v>2095</v>
      </c>
      <c r="E110">
        <v>280</v>
      </c>
      <c r="F110" s="6073">
        <v>18620</v>
      </c>
      <c r="H110" s="6073">
        <v>-3628781.43</v>
      </c>
    </row>
    <row r="111" spans="1:8">
      <c r="A111" t="str">
        <f>"09-04-2026 17:10:18"</f>
        <v>09-04-2026 17:10:18</v>
      </c>
      <c r="B111" t="str">
        <f t="shared" si="4"/>
        <v>09 Apr 2026</v>
      </c>
      <c r="C111" t="str">
        <f>""</f>
        <v/>
      </c>
      <c r="D111" t="s">
        <v>2032</v>
      </c>
      <c r="E111">
        <v>280</v>
      </c>
      <c r="F111" t="str">
        <f>"6.00"</f>
        <v>6.00</v>
      </c>
      <c r="H111" s="6073">
        <v>-3628787.43</v>
      </c>
    </row>
    <row r="112" spans="1:8">
      <c r="A112" t="str">
        <f>"09-04-2026 17:11:35"</f>
        <v>09-04-2026 17:11:35</v>
      </c>
      <c r="B112" t="str">
        <f t="shared" si="4"/>
        <v>09 Apr 2026</v>
      </c>
      <c r="C112" t="str">
        <f>""</f>
        <v/>
      </c>
      <c r="D112" t="s">
        <v>2096</v>
      </c>
      <c r="E112">
        <v>280</v>
      </c>
      <c r="F112" s="6073">
        <v>3448</v>
      </c>
      <c r="H112" s="6073">
        <v>-3632235.43</v>
      </c>
    </row>
    <row r="113" spans="1:8">
      <c r="A113" t="str">
        <f>"09-04-2026 17:11:35"</f>
        <v>09-04-2026 17:11:35</v>
      </c>
      <c r="B113" t="str">
        <f t="shared" si="4"/>
        <v>09 Apr 2026</v>
      </c>
      <c r="C113" t="str">
        <f>""</f>
        <v/>
      </c>
      <c r="D113" t="s">
        <v>2032</v>
      </c>
      <c r="E113">
        <v>280</v>
      </c>
      <c r="F113" t="str">
        <f>"3.00"</f>
        <v>3.00</v>
      </c>
      <c r="H113" s="6073">
        <v>-3632238.43</v>
      </c>
    </row>
    <row r="114" spans="1:8">
      <c r="A114" t="str">
        <f>"09-04-2026 18:10:45"</f>
        <v>09-04-2026 18:10:45</v>
      </c>
      <c r="B114" t="str">
        <f t="shared" si="4"/>
        <v>09 Apr 2026</v>
      </c>
      <c r="C114" t="str">
        <f>""</f>
        <v/>
      </c>
      <c r="D114" t="s">
        <v>2097</v>
      </c>
      <c r="E114">
        <v>280</v>
      </c>
      <c r="G114" s="6073">
        <v>67864.070000000007</v>
      </c>
      <c r="H114" s="6073">
        <v>-3564374.36</v>
      </c>
    </row>
    <row r="115" spans="1:8">
      <c r="A115" t="str">
        <f>"09-04-2026 18:12:45"</f>
        <v>09-04-2026 18:12:45</v>
      </c>
      <c r="B115" t="str">
        <f t="shared" si="4"/>
        <v>09 Apr 2026</v>
      </c>
      <c r="C115" t="str">
        <f>""</f>
        <v/>
      </c>
      <c r="D115" t="s">
        <v>2098</v>
      </c>
      <c r="E115">
        <v>280</v>
      </c>
      <c r="F115" s="6073">
        <v>300000</v>
      </c>
      <c r="H115" s="6073">
        <v>-3864374.36</v>
      </c>
    </row>
    <row r="116" spans="1:8">
      <c r="A116" t="str">
        <f>"09-04-2026 18:12:45"</f>
        <v>09-04-2026 18:12:45</v>
      </c>
      <c r="B116" t="str">
        <f t="shared" si="4"/>
        <v>09 Apr 2026</v>
      </c>
      <c r="C116" t="str">
        <f>""</f>
        <v/>
      </c>
      <c r="D116" t="s">
        <v>2032</v>
      </c>
      <c r="E116">
        <v>280</v>
      </c>
      <c r="F116" t="str">
        <f>"29.00"</f>
        <v>29.00</v>
      </c>
      <c r="H116" s="6073">
        <v>-3864403.36</v>
      </c>
    </row>
    <row r="117" spans="1:8">
      <c r="A117" t="str">
        <f>"10-04-2026 02:28:09"</f>
        <v>10-04-2026 02:28:09</v>
      </c>
      <c r="B117" t="str">
        <f t="shared" ref="B117:B123" si="5">"10 Apr 2026"</f>
        <v>10 Apr 2026</v>
      </c>
      <c r="C117" t="str">
        <f>""</f>
        <v/>
      </c>
      <c r="D117" t="s">
        <v>2099</v>
      </c>
      <c r="E117">
        <v>280</v>
      </c>
      <c r="G117" s="6073">
        <v>300299</v>
      </c>
      <c r="H117" s="6073">
        <v>-3564104.36</v>
      </c>
    </row>
    <row r="118" spans="1:8">
      <c r="A118" t="str">
        <f>"10-04-2026 11:49:40"</f>
        <v>10-04-2026 11:49:40</v>
      </c>
      <c r="B118" t="str">
        <f t="shared" si="5"/>
        <v>10 Apr 2026</v>
      </c>
      <c r="C118" t="str">
        <f>"001113467892"</f>
        <v>001113467892</v>
      </c>
      <c r="D118" t="s">
        <v>2100</v>
      </c>
      <c r="E118">
        <v>136</v>
      </c>
      <c r="F118" s="6073">
        <v>23038</v>
      </c>
      <c r="H118" s="6073">
        <v>-3587142.36</v>
      </c>
    </row>
    <row r="119" spans="1:8">
      <c r="A119" t="str">
        <f>"10-04-2026 12:37:14"</f>
        <v>10-04-2026 12:37:14</v>
      </c>
      <c r="B119" t="str">
        <f t="shared" si="5"/>
        <v>10 Apr 2026</v>
      </c>
      <c r="C119" t="str">
        <f>""</f>
        <v/>
      </c>
      <c r="D119" t="s">
        <v>2101</v>
      </c>
      <c r="E119">
        <v>280</v>
      </c>
      <c r="F119" s="6073">
        <v>12000</v>
      </c>
      <c r="H119" s="6073">
        <v>-3599142.36</v>
      </c>
    </row>
    <row r="120" spans="1:8">
      <c r="A120" t="str">
        <f>"10-04-2026 12:37:14"</f>
        <v>10-04-2026 12:37:14</v>
      </c>
      <c r="B120" t="str">
        <f t="shared" si="5"/>
        <v>10 Apr 2026</v>
      </c>
      <c r="C120" t="str">
        <f>""</f>
        <v/>
      </c>
      <c r="D120" t="s">
        <v>2032</v>
      </c>
      <c r="E120">
        <v>280</v>
      </c>
      <c r="F120" t="str">
        <f>"6.00"</f>
        <v>6.00</v>
      </c>
      <c r="H120" s="6073">
        <v>-3599148.36</v>
      </c>
    </row>
    <row r="121" spans="1:8">
      <c r="A121" t="str">
        <f>"10-04-2026 16:23:41"</f>
        <v>10-04-2026 16:23:41</v>
      </c>
      <c r="B121" t="str">
        <f t="shared" si="5"/>
        <v>10 Apr 2026</v>
      </c>
      <c r="C121" t="str">
        <f>""</f>
        <v/>
      </c>
      <c r="D121" t="s">
        <v>2102</v>
      </c>
      <c r="E121">
        <v>280</v>
      </c>
      <c r="F121" s="6073">
        <v>3708</v>
      </c>
      <c r="H121" s="6073">
        <v>-3602856.36</v>
      </c>
    </row>
    <row r="122" spans="1:8">
      <c r="A122" t="str">
        <f>"10-04-2026 16:23:41"</f>
        <v>10-04-2026 16:23:41</v>
      </c>
      <c r="B122" t="str">
        <f t="shared" si="5"/>
        <v>10 Apr 2026</v>
      </c>
      <c r="C122" t="str">
        <f>""</f>
        <v/>
      </c>
      <c r="D122" t="s">
        <v>2032</v>
      </c>
      <c r="E122">
        <v>280</v>
      </c>
      <c r="F122" t="str">
        <f>"3.00"</f>
        <v>3.00</v>
      </c>
      <c r="H122" s="6073">
        <v>-3602859.36</v>
      </c>
    </row>
    <row r="123" spans="1:8">
      <c r="A123" t="str">
        <f>"10-04-2026 22:02:12"</f>
        <v>10-04-2026 22:02:12</v>
      </c>
      <c r="B123" t="str">
        <f t="shared" si="5"/>
        <v>10 Apr 2026</v>
      </c>
      <c r="C123" t="str">
        <f>""</f>
        <v/>
      </c>
      <c r="D123" t="s">
        <v>2103</v>
      </c>
      <c r="E123">
        <v>280</v>
      </c>
      <c r="F123" s="6073">
        <v>20000</v>
      </c>
      <c r="H123" s="6073">
        <v>-3622859.36</v>
      </c>
    </row>
    <row r="124" spans="1:8">
      <c r="A124" t="str">
        <f>"10-04-2026 22:02:12"</f>
        <v>10-04-2026 22:02:12</v>
      </c>
      <c r="B124" t="str">
        <f>"11 Apr 2026"</f>
        <v>11 Apr 2026</v>
      </c>
      <c r="C124" t="str">
        <f>""</f>
        <v/>
      </c>
      <c r="D124" t="s">
        <v>2032</v>
      </c>
      <c r="E124">
        <v>280</v>
      </c>
      <c r="F124" t="str">
        <f>"6.00"</f>
        <v>6.00</v>
      </c>
      <c r="H124" s="6073">
        <v>-3622865.36</v>
      </c>
    </row>
    <row r="125" spans="1:8">
      <c r="A125" t="str">
        <f>"10-04-2026 22:04:17"</f>
        <v>10-04-2026 22:04:17</v>
      </c>
      <c r="B125" t="str">
        <f>"10 Apr 2026"</f>
        <v>10 Apr 2026</v>
      </c>
      <c r="C125" t="str">
        <f>""</f>
        <v/>
      </c>
      <c r="D125" t="s">
        <v>2104</v>
      </c>
      <c r="E125">
        <v>280</v>
      </c>
      <c r="F125" s="6073">
        <v>16500</v>
      </c>
      <c r="H125" s="6073">
        <v>-3639365.36</v>
      </c>
    </row>
    <row r="126" spans="1:8">
      <c r="A126" t="str">
        <f>"10-04-2026 22:04:17"</f>
        <v>10-04-2026 22:04:17</v>
      </c>
      <c r="B126" t="str">
        <f>"11 Apr 2026"</f>
        <v>11 Apr 2026</v>
      </c>
      <c r="C126" t="str">
        <f>""</f>
        <v/>
      </c>
      <c r="D126" t="s">
        <v>2032</v>
      </c>
      <c r="E126">
        <v>280</v>
      </c>
      <c r="F126" t="str">
        <f>"6.00"</f>
        <v>6.00</v>
      </c>
      <c r="H126" s="6073">
        <v>-3639371.36</v>
      </c>
    </row>
    <row r="127" spans="1:8">
      <c r="A127" t="str">
        <f>"10-04-2026 22:06:19"</f>
        <v>10-04-2026 22:06:19</v>
      </c>
      <c r="B127" t="str">
        <f>"10 Apr 2026"</f>
        <v>10 Apr 2026</v>
      </c>
      <c r="C127" t="str">
        <f>""</f>
        <v/>
      </c>
      <c r="D127" t="s">
        <v>2105</v>
      </c>
      <c r="E127">
        <v>280</v>
      </c>
      <c r="F127" s="6073">
        <v>47925</v>
      </c>
      <c r="H127" s="6073">
        <v>-3687296.36</v>
      </c>
    </row>
    <row r="128" spans="1:8">
      <c r="A128" t="str">
        <f>"10-04-2026 22:06:19"</f>
        <v>10-04-2026 22:06:19</v>
      </c>
      <c r="B128" t="str">
        <f t="shared" ref="B128:B137" si="6">"11 Apr 2026"</f>
        <v>11 Apr 2026</v>
      </c>
      <c r="C128" t="str">
        <f>""</f>
        <v/>
      </c>
      <c r="D128" t="s">
        <v>2032</v>
      </c>
      <c r="E128">
        <v>280</v>
      </c>
      <c r="F128" t="str">
        <f>"6.00"</f>
        <v>6.00</v>
      </c>
      <c r="H128" s="6073">
        <v>-3687302.36</v>
      </c>
    </row>
    <row r="129" spans="1:8">
      <c r="A129" t="str">
        <f>"11-04-2026 12:05:42"</f>
        <v>11-04-2026 12:05:42</v>
      </c>
      <c r="B129" t="str">
        <f t="shared" si="6"/>
        <v>11 Apr 2026</v>
      </c>
      <c r="C129" t="str">
        <f>""</f>
        <v/>
      </c>
      <c r="D129" t="s">
        <v>2106</v>
      </c>
      <c r="E129">
        <v>280</v>
      </c>
      <c r="G129" s="6073">
        <v>191984</v>
      </c>
      <c r="H129" s="6073">
        <v>-3495318.36</v>
      </c>
    </row>
    <row r="130" spans="1:8">
      <c r="A130" t="str">
        <f>"11-04-2026 12:09:44"</f>
        <v>11-04-2026 12:09:44</v>
      </c>
      <c r="B130" t="str">
        <f t="shared" si="6"/>
        <v>11 Apr 2026</v>
      </c>
      <c r="C130" t="str">
        <f>""</f>
        <v/>
      </c>
      <c r="D130" t="s">
        <v>2107</v>
      </c>
      <c r="E130">
        <v>280</v>
      </c>
      <c r="F130" s="6073">
        <v>23615</v>
      </c>
      <c r="H130" s="6073">
        <v>-3518933.36</v>
      </c>
    </row>
    <row r="131" spans="1:8">
      <c r="A131" t="str">
        <f>"11-04-2026 12:09:44"</f>
        <v>11-04-2026 12:09:44</v>
      </c>
      <c r="B131" t="str">
        <f t="shared" si="6"/>
        <v>11 Apr 2026</v>
      </c>
      <c r="C131" t="str">
        <f>""</f>
        <v/>
      </c>
      <c r="D131" t="s">
        <v>2032</v>
      </c>
      <c r="E131">
        <v>280</v>
      </c>
      <c r="F131" t="str">
        <f>"6.00"</f>
        <v>6.00</v>
      </c>
      <c r="H131" s="6073">
        <v>-3518939.36</v>
      </c>
    </row>
    <row r="132" spans="1:8">
      <c r="A132" t="str">
        <f>"11-04-2026 12:11:26"</f>
        <v>11-04-2026 12:11:26</v>
      </c>
      <c r="B132" t="str">
        <f t="shared" si="6"/>
        <v>11 Apr 2026</v>
      </c>
      <c r="C132" t="str">
        <f>""</f>
        <v/>
      </c>
      <c r="D132" t="s">
        <v>2108</v>
      </c>
      <c r="E132">
        <v>280</v>
      </c>
      <c r="F132" s="6073">
        <v>18088</v>
      </c>
      <c r="H132" s="6073">
        <v>-3537027.36</v>
      </c>
    </row>
    <row r="133" spans="1:8">
      <c r="A133" t="str">
        <f>"11-04-2026 12:11:26"</f>
        <v>11-04-2026 12:11:26</v>
      </c>
      <c r="B133" t="str">
        <f t="shared" si="6"/>
        <v>11 Apr 2026</v>
      </c>
      <c r="C133" t="str">
        <f>""</f>
        <v/>
      </c>
      <c r="D133" t="s">
        <v>2032</v>
      </c>
      <c r="E133">
        <v>280</v>
      </c>
      <c r="F133" t="str">
        <f>"6.00"</f>
        <v>6.00</v>
      </c>
      <c r="H133" s="6073">
        <v>-3537033.36</v>
      </c>
    </row>
    <row r="134" spans="1:8">
      <c r="A134" t="str">
        <f>"11-04-2026 12:12:37"</f>
        <v>11-04-2026 12:12:37</v>
      </c>
      <c r="B134" t="str">
        <f t="shared" si="6"/>
        <v>11 Apr 2026</v>
      </c>
      <c r="C134" t="str">
        <f>""</f>
        <v/>
      </c>
      <c r="D134" t="s">
        <v>2109</v>
      </c>
      <c r="E134">
        <v>280</v>
      </c>
      <c r="F134" s="6073">
        <v>35910</v>
      </c>
      <c r="H134" s="6073">
        <v>-3572943.36</v>
      </c>
    </row>
    <row r="135" spans="1:8">
      <c r="A135" t="str">
        <f>"11-04-2026 12:12:37"</f>
        <v>11-04-2026 12:12:37</v>
      </c>
      <c r="B135" t="str">
        <f t="shared" si="6"/>
        <v>11 Apr 2026</v>
      </c>
      <c r="C135" t="str">
        <f>""</f>
        <v/>
      </c>
      <c r="D135" t="s">
        <v>2032</v>
      </c>
      <c r="E135">
        <v>280</v>
      </c>
      <c r="F135" t="str">
        <f>"6.00"</f>
        <v>6.00</v>
      </c>
      <c r="H135" s="6073">
        <v>-3572949.36</v>
      </c>
    </row>
    <row r="136" spans="1:8">
      <c r="A136" t="str">
        <f>"11-04-2026 12:32:15"</f>
        <v>11-04-2026 12:32:15</v>
      </c>
      <c r="B136" t="str">
        <f t="shared" si="6"/>
        <v>11 Apr 2026</v>
      </c>
      <c r="C136" t="str">
        <f>""</f>
        <v/>
      </c>
      <c r="D136" t="s">
        <v>2110</v>
      </c>
      <c r="E136">
        <v>280</v>
      </c>
      <c r="F136" s="6073">
        <v>5000</v>
      </c>
      <c r="H136" s="6073">
        <v>-3577949.36</v>
      </c>
    </row>
    <row r="137" spans="1:8">
      <c r="A137" t="str">
        <f>"11-04-2026 18:56:56"</f>
        <v>11-04-2026 18:56:56</v>
      </c>
      <c r="B137" t="str">
        <f t="shared" si="6"/>
        <v>11 Apr 2026</v>
      </c>
      <c r="C137" t="str">
        <f>""</f>
        <v/>
      </c>
      <c r="D137" t="s">
        <v>2111</v>
      </c>
      <c r="E137">
        <v>280</v>
      </c>
      <c r="F137" s="6073">
        <v>26945.98</v>
      </c>
      <c r="H137" s="6073">
        <v>-3604895.34</v>
      </c>
    </row>
    <row r="138" spans="1:8">
      <c r="A138" t="str">
        <f>"13-04-2026 14:14:58"</f>
        <v>13-04-2026 14:14:58</v>
      </c>
      <c r="B138" t="str">
        <f>"13 Apr 2026"</f>
        <v>13 Apr 2026</v>
      </c>
      <c r="C138" t="str">
        <f>""</f>
        <v/>
      </c>
      <c r="D138" t="s">
        <v>2112</v>
      </c>
      <c r="E138">
        <v>280</v>
      </c>
      <c r="F138" s="6073">
        <v>1475</v>
      </c>
      <c r="H138" s="6073">
        <v>-3606370.34</v>
      </c>
    </row>
    <row r="139" spans="1:8">
      <c r="A139" t="str">
        <f>"13-04-2026 14:14:58"</f>
        <v>13-04-2026 14:14:58</v>
      </c>
      <c r="B139" t="str">
        <f>"13 Apr 2026"</f>
        <v>13 Apr 2026</v>
      </c>
      <c r="C139" t="str">
        <f>""</f>
        <v/>
      </c>
      <c r="D139" t="s">
        <v>2032</v>
      </c>
      <c r="E139">
        <v>280</v>
      </c>
      <c r="F139" t="str">
        <f>"3.00"</f>
        <v>3.00</v>
      </c>
      <c r="H139" s="6073">
        <v>-3606373.34</v>
      </c>
    </row>
    <row r="140" spans="1:8">
      <c r="A140" t="str">
        <f>"14-04-2026 06:31:41"</f>
        <v>14-04-2026 06:31:41</v>
      </c>
      <c r="B140" t="str">
        <f t="shared" ref="B140:B156" si="7">"14 Apr 2026"</f>
        <v>14 Apr 2026</v>
      </c>
      <c r="C140" t="str">
        <f>""</f>
        <v/>
      </c>
      <c r="D140" t="s">
        <v>2113</v>
      </c>
      <c r="E140">
        <v>280</v>
      </c>
      <c r="F140" s="6073">
        <v>92714</v>
      </c>
      <c r="H140" s="6073">
        <v>-3699087.34</v>
      </c>
    </row>
    <row r="141" spans="1:8">
      <c r="A141" t="str">
        <f>"14-04-2026 11:00:17"</f>
        <v>14-04-2026 11:00:17</v>
      </c>
      <c r="B141" t="str">
        <f t="shared" si="7"/>
        <v>14 Apr 2026</v>
      </c>
      <c r="C141" t="str">
        <f>""</f>
        <v/>
      </c>
      <c r="D141" t="s">
        <v>2114</v>
      </c>
      <c r="E141">
        <v>280</v>
      </c>
      <c r="G141" s="6073">
        <v>1317124</v>
      </c>
      <c r="H141" s="6073">
        <v>-2381963.34</v>
      </c>
    </row>
    <row r="142" spans="1:8">
      <c r="A142" t="str">
        <f>"14-04-2026 11:02:53"</f>
        <v>14-04-2026 11:02:53</v>
      </c>
      <c r="B142" t="str">
        <f t="shared" si="7"/>
        <v>14 Apr 2026</v>
      </c>
      <c r="C142" t="str">
        <f>""</f>
        <v/>
      </c>
      <c r="D142" t="s">
        <v>2115</v>
      </c>
      <c r="E142">
        <v>280</v>
      </c>
      <c r="F142" s="6073">
        <v>1180</v>
      </c>
      <c r="H142" s="6073">
        <v>-2383143.34</v>
      </c>
    </row>
    <row r="143" spans="1:8">
      <c r="A143" t="str">
        <f>"14-04-2026 11:02:53"</f>
        <v>14-04-2026 11:02:53</v>
      </c>
      <c r="B143" t="str">
        <f t="shared" si="7"/>
        <v>14 Apr 2026</v>
      </c>
      <c r="C143" t="str">
        <f>""</f>
        <v/>
      </c>
      <c r="D143" t="s">
        <v>2032</v>
      </c>
      <c r="E143">
        <v>280</v>
      </c>
      <c r="F143" t="str">
        <f>"3.00"</f>
        <v>3.00</v>
      </c>
      <c r="H143" s="6073">
        <v>-2383146.34</v>
      </c>
    </row>
    <row r="144" spans="1:8">
      <c r="A144" t="str">
        <f>"14-04-2026 11:24:04"</f>
        <v>14-04-2026 11:24:04</v>
      </c>
      <c r="B144" t="str">
        <f t="shared" si="7"/>
        <v>14 Apr 2026</v>
      </c>
      <c r="C144" t="str">
        <f>""</f>
        <v/>
      </c>
      <c r="D144" t="s">
        <v>2116</v>
      </c>
      <c r="E144">
        <v>280</v>
      </c>
      <c r="F144" s="6073">
        <v>12000</v>
      </c>
      <c r="H144" s="6073">
        <v>-2395146.34</v>
      </c>
    </row>
    <row r="145" spans="1:8">
      <c r="A145" t="str">
        <f>"14-04-2026 11:24:04"</f>
        <v>14-04-2026 11:24:04</v>
      </c>
      <c r="B145" t="str">
        <f t="shared" si="7"/>
        <v>14 Apr 2026</v>
      </c>
      <c r="C145" t="str">
        <f>""</f>
        <v/>
      </c>
      <c r="D145" t="s">
        <v>2032</v>
      </c>
      <c r="E145">
        <v>280</v>
      </c>
      <c r="F145" t="str">
        <f>"6.00"</f>
        <v>6.00</v>
      </c>
      <c r="H145" s="6073">
        <v>-2395152.34</v>
      </c>
    </row>
    <row r="146" spans="1:8">
      <c r="A146" t="str">
        <f>"14-04-2026 11:26:14"</f>
        <v>14-04-2026 11:26:14</v>
      </c>
      <c r="B146" t="str">
        <f t="shared" si="7"/>
        <v>14 Apr 2026</v>
      </c>
      <c r="C146" t="str">
        <f>""</f>
        <v/>
      </c>
      <c r="D146" t="s">
        <v>2117</v>
      </c>
      <c r="E146">
        <v>280</v>
      </c>
      <c r="F146" s="6073">
        <v>677910</v>
      </c>
      <c r="H146" s="6073">
        <v>-3073062.34</v>
      </c>
    </row>
    <row r="147" spans="1:8">
      <c r="A147" t="str">
        <f>"14-04-2026 11:26:14"</f>
        <v>14-04-2026 11:26:14</v>
      </c>
      <c r="B147" t="str">
        <f t="shared" si="7"/>
        <v>14 Apr 2026</v>
      </c>
      <c r="C147" t="str">
        <f>""</f>
        <v/>
      </c>
      <c r="D147" t="s">
        <v>2032</v>
      </c>
      <c r="E147">
        <v>280</v>
      </c>
      <c r="F147" t="str">
        <f>"29.00"</f>
        <v>29.00</v>
      </c>
      <c r="H147" s="6073">
        <v>-3073091.34</v>
      </c>
    </row>
    <row r="148" spans="1:8">
      <c r="A148" t="str">
        <f>"14-04-2026 11:30:17"</f>
        <v>14-04-2026 11:30:17</v>
      </c>
      <c r="B148" t="str">
        <f t="shared" si="7"/>
        <v>14 Apr 2026</v>
      </c>
      <c r="C148" t="str">
        <f>""</f>
        <v/>
      </c>
      <c r="D148" t="s">
        <v>2118</v>
      </c>
      <c r="E148">
        <v>280</v>
      </c>
      <c r="F148" s="6073">
        <v>455521</v>
      </c>
      <c r="H148" s="6073">
        <v>-3528612.34</v>
      </c>
    </row>
    <row r="149" spans="1:8">
      <c r="A149" t="str">
        <f>"14-04-2026 11:30:17"</f>
        <v>14-04-2026 11:30:17</v>
      </c>
      <c r="B149" t="str">
        <f t="shared" si="7"/>
        <v>14 Apr 2026</v>
      </c>
      <c r="C149" t="str">
        <f>""</f>
        <v/>
      </c>
      <c r="D149" t="s">
        <v>2032</v>
      </c>
      <c r="E149">
        <v>280</v>
      </c>
      <c r="F149" t="str">
        <f>"29.00"</f>
        <v>29.00</v>
      </c>
      <c r="H149" s="6073">
        <v>-3528641.34</v>
      </c>
    </row>
    <row r="150" spans="1:8">
      <c r="A150" t="str">
        <f>"14-04-2026 11:33:49"</f>
        <v>14-04-2026 11:33:49</v>
      </c>
      <c r="B150" t="str">
        <f t="shared" si="7"/>
        <v>14 Apr 2026</v>
      </c>
      <c r="C150" t="str">
        <f>""</f>
        <v/>
      </c>
      <c r="D150" t="s">
        <v>2119</v>
      </c>
      <c r="E150">
        <v>33</v>
      </c>
      <c r="G150" s="6073">
        <v>1180</v>
      </c>
      <c r="H150" s="6073">
        <v>-3527461.34</v>
      </c>
    </row>
    <row r="151" spans="1:8">
      <c r="A151" t="str">
        <f>"14-04-2026 11:39:13"</f>
        <v>14-04-2026 11:39:13</v>
      </c>
      <c r="B151" t="str">
        <f t="shared" si="7"/>
        <v>14 Apr 2026</v>
      </c>
      <c r="C151" t="str">
        <f>""</f>
        <v/>
      </c>
      <c r="D151" t="s">
        <v>2120</v>
      </c>
      <c r="E151">
        <v>280</v>
      </c>
      <c r="F151" s="6073">
        <v>4679</v>
      </c>
      <c r="H151" s="6073">
        <v>-3532140.34</v>
      </c>
    </row>
    <row r="152" spans="1:8">
      <c r="A152" t="str">
        <f>"14-04-2026 12:56:30"</f>
        <v>14-04-2026 12:56:30</v>
      </c>
      <c r="B152" t="str">
        <f t="shared" si="7"/>
        <v>14 Apr 2026</v>
      </c>
      <c r="C152" t="str">
        <f>""</f>
        <v/>
      </c>
      <c r="D152" t="s">
        <v>2121</v>
      </c>
      <c r="E152">
        <v>280</v>
      </c>
      <c r="F152" s="6073">
        <v>70472</v>
      </c>
      <c r="H152" s="6073">
        <v>-3602612.34</v>
      </c>
    </row>
    <row r="153" spans="1:8">
      <c r="A153" t="str">
        <f>"14-04-2026 18:45:47"</f>
        <v>14-04-2026 18:45:47</v>
      </c>
      <c r="B153" t="str">
        <f t="shared" si="7"/>
        <v>14 Apr 2026</v>
      </c>
      <c r="C153" t="str">
        <f>""</f>
        <v/>
      </c>
      <c r="D153" t="s">
        <v>2122</v>
      </c>
      <c r="E153">
        <v>280</v>
      </c>
      <c r="F153" s="6073">
        <v>100000</v>
      </c>
      <c r="H153" s="6073">
        <v>-3702612.34</v>
      </c>
    </row>
    <row r="154" spans="1:8">
      <c r="A154" t="str">
        <f>"14-04-2026 18:45:47"</f>
        <v>14-04-2026 18:45:47</v>
      </c>
      <c r="B154" t="str">
        <f t="shared" si="7"/>
        <v>14 Apr 2026</v>
      </c>
      <c r="C154" t="str">
        <f>""</f>
        <v/>
      </c>
      <c r="D154" t="s">
        <v>2032</v>
      </c>
      <c r="E154">
        <v>280</v>
      </c>
      <c r="F154" t="str">
        <f>"6.00"</f>
        <v>6.00</v>
      </c>
      <c r="H154" s="6073">
        <v>-3702618.34</v>
      </c>
    </row>
    <row r="155" spans="1:8">
      <c r="A155" t="str">
        <f>"14-04-2026 18:51:53"</f>
        <v>14-04-2026 18:51:53</v>
      </c>
      <c r="B155" t="str">
        <f t="shared" si="7"/>
        <v>14 Apr 2026</v>
      </c>
      <c r="C155" t="str">
        <f>""</f>
        <v/>
      </c>
      <c r="D155" t="s">
        <v>2123</v>
      </c>
      <c r="E155">
        <v>280</v>
      </c>
      <c r="F155" s="6073">
        <v>20000</v>
      </c>
      <c r="H155" s="6073">
        <v>-3722618.34</v>
      </c>
    </row>
    <row r="156" spans="1:8">
      <c r="A156" t="str">
        <f>"14-04-2026 18:51:53"</f>
        <v>14-04-2026 18:51:53</v>
      </c>
      <c r="B156" t="str">
        <f t="shared" si="7"/>
        <v>14 Apr 2026</v>
      </c>
      <c r="C156" t="str">
        <f>""</f>
        <v/>
      </c>
      <c r="D156" t="s">
        <v>2032</v>
      </c>
      <c r="E156">
        <v>280</v>
      </c>
      <c r="F156" t="str">
        <f>"6.00"</f>
        <v>6.00</v>
      </c>
      <c r="H156" s="6073">
        <v>-3722624.34</v>
      </c>
    </row>
    <row r="157" spans="1:8">
      <c r="A157" t="str">
        <f>"14-04-2026 22:06:46"</f>
        <v>14-04-2026 22:06:46</v>
      </c>
      <c r="B157" t="str">
        <f>"15 Apr 2026"</f>
        <v>15 Apr 2026</v>
      </c>
      <c r="C157" t="str">
        <f>"610480949778"</f>
        <v>610480949778</v>
      </c>
      <c r="D157" t="s">
        <v>2124</v>
      </c>
      <c r="E157">
        <v>33</v>
      </c>
      <c r="G157" s="6073">
        <v>11538</v>
      </c>
      <c r="H157" s="6073">
        <v>-3711086.34</v>
      </c>
    </row>
    <row r="158" spans="1:8">
      <c r="A158" t="str">
        <f>"16-04-2026 11:37:34"</f>
        <v>16-04-2026 11:37:34</v>
      </c>
      <c r="B158" t="str">
        <f t="shared" ref="B158:B166" si="8">"16 Apr 2026"</f>
        <v>16 Apr 2026</v>
      </c>
      <c r="C158" t="str">
        <f>""</f>
        <v/>
      </c>
      <c r="D158" t="s">
        <v>2125</v>
      </c>
      <c r="E158">
        <v>280</v>
      </c>
      <c r="G158" s="6073">
        <v>477994</v>
      </c>
      <c r="H158" s="6073">
        <v>-3233092.34</v>
      </c>
    </row>
    <row r="159" spans="1:8">
      <c r="A159" t="str">
        <f>"16-04-2026 11:40:06"</f>
        <v>16-04-2026 11:40:06</v>
      </c>
      <c r="B159" t="str">
        <f t="shared" si="8"/>
        <v>16 Apr 2026</v>
      </c>
      <c r="C159" t="str">
        <f>""</f>
        <v/>
      </c>
      <c r="D159" t="s">
        <v>2126</v>
      </c>
      <c r="E159">
        <v>280</v>
      </c>
      <c r="F159" s="6073">
        <v>11589</v>
      </c>
      <c r="H159" s="6073">
        <v>-3244681.34</v>
      </c>
    </row>
    <row r="160" spans="1:8">
      <c r="A160" t="str">
        <f>"16-04-2026 11:40:06"</f>
        <v>16-04-2026 11:40:06</v>
      </c>
      <c r="B160" t="str">
        <f t="shared" si="8"/>
        <v>16 Apr 2026</v>
      </c>
      <c r="C160" t="str">
        <f>""</f>
        <v/>
      </c>
      <c r="D160" t="s">
        <v>2032</v>
      </c>
      <c r="E160">
        <v>280</v>
      </c>
      <c r="F160" t="str">
        <f>"6.00"</f>
        <v>6.00</v>
      </c>
      <c r="H160" s="6073">
        <v>-3244687.34</v>
      </c>
    </row>
    <row r="161" spans="1:8">
      <c r="A161" t="str">
        <f>"16-04-2026 11:41:39"</f>
        <v>16-04-2026 11:41:39</v>
      </c>
      <c r="B161" t="str">
        <f t="shared" si="8"/>
        <v>16 Apr 2026</v>
      </c>
      <c r="C161" t="str">
        <f>""</f>
        <v/>
      </c>
      <c r="D161" t="s">
        <v>2127</v>
      </c>
      <c r="E161">
        <v>280</v>
      </c>
      <c r="F161" s="6073">
        <v>3000</v>
      </c>
      <c r="H161" s="6073">
        <v>-3247687.34</v>
      </c>
    </row>
    <row r="162" spans="1:8">
      <c r="A162" t="str">
        <f>"16-04-2026 11:41:39"</f>
        <v>16-04-2026 11:41:39</v>
      </c>
      <c r="B162" t="str">
        <f t="shared" si="8"/>
        <v>16 Apr 2026</v>
      </c>
      <c r="C162" t="str">
        <f>""</f>
        <v/>
      </c>
      <c r="D162" t="s">
        <v>2032</v>
      </c>
      <c r="E162">
        <v>280</v>
      </c>
      <c r="F162" t="str">
        <f>"3.00"</f>
        <v>3.00</v>
      </c>
      <c r="H162" s="6073">
        <v>-3247690.34</v>
      </c>
    </row>
    <row r="163" spans="1:8">
      <c r="A163" t="str">
        <f>"16-04-2026 13:39:06"</f>
        <v>16-04-2026 13:39:06</v>
      </c>
      <c r="B163" t="str">
        <f t="shared" si="8"/>
        <v>16 Apr 2026</v>
      </c>
      <c r="C163" t="str">
        <f>""</f>
        <v/>
      </c>
      <c r="D163" t="s">
        <v>2128</v>
      </c>
      <c r="E163">
        <v>280</v>
      </c>
      <c r="F163" s="6073">
        <v>8540</v>
      </c>
      <c r="H163" s="6073">
        <v>-3256230.34</v>
      </c>
    </row>
    <row r="164" spans="1:8">
      <c r="A164" t="str">
        <f>"16-04-2026 13:39:06"</f>
        <v>16-04-2026 13:39:06</v>
      </c>
      <c r="B164" t="str">
        <f t="shared" si="8"/>
        <v>16 Apr 2026</v>
      </c>
      <c r="C164" t="str">
        <f>""</f>
        <v/>
      </c>
      <c r="D164" t="s">
        <v>2032</v>
      </c>
      <c r="E164">
        <v>280</v>
      </c>
      <c r="F164" t="str">
        <f>"3.00"</f>
        <v>3.00</v>
      </c>
      <c r="H164" s="6073">
        <v>-3256233.34</v>
      </c>
    </row>
    <row r="165" spans="1:8">
      <c r="A165" t="str">
        <f>"16-04-2026 16:04:24"</f>
        <v>16-04-2026 16:04:24</v>
      </c>
      <c r="B165" t="str">
        <f t="shared" si="8"/>
        <v>16 Apr 2026</v>
      </c>
      <c r="C165" t="str">
        <f>""</f>
        <v/>
      </c>
      <c r="D165" t="s">
        <v>2129</v>
      </c>
      <c r="E165">
        <v>280</v>
      </c>
      <c r="F165" s="6073">
        <v>28875</v>
      </c>
      <c r="H165" s="6073">
        <v>-3285108.34</v>
      </c>
    </row>
    <row r="166" spans="1:8">
      <c r="A166" t="str">
        <f>"16-04-2026 16:04:24"</f>
        <v>16-04-2026 16:04:24</v>
      </c>
      <c r="B166" t="str">
        <f t="shared" si="8"/>
        <v>16 Apr 2026</v>
      </c>
      <c r="C166" t="str">
        <f>""</f>
        <v/>
      </c>
      <c r="D166" t="s">
        <v>2032</v>
      </c>
      <c r="E166">
        <v>280</v>
      </c>
      <c r="F166" t="str">
        <f>"6.00"</f>
        <v>6.00</v>
      </c>
      <c r="H166" s="6073">
        <v>-3285114.34</v>
      </c>
    </row>
    <row r="167" spans="1:8">
      <c r="A167" t="str">
        <f>"17-04-2026 12:15:13"</f>
        <v>17-04-2026 12:15:13</v>
      </c>
      <c r="B167" t="str">
        <f>"17 Apr 2026"</f>
        <v>17 Apr 2026</v>
      </c>
      <c r="C167" t="str">
        <f>""</f>
        <v/>
      </c>
      <c r="D167" t="s">
        <v>2130</v>
      </c>
      <c r="E167">
        <v>280</v>
      </c>
      <c r="F167" s="6073">
        <v>1475</v>
      </c>
      <c r="H167" s="6073">
        <v>-3286589.34</v>
      </c>
    </row>
    <row r="168" spans="1:8">
      <c r="A168" t="str">
        <f>"17-04-2026 12:15:13"</f>
        <v>17-04-2026 12:15:13</v>
      </c>
      <c r="B168" t="str">
        <f>"17 Apr 2026"</f>
        <v>17 Apr 2026</v>
      </c>
      <c r="C168" t="str">
        <f>""</f>
        <v/>
      </c>
      <c r="D168" t="s">
        <v>2032</v>
      </c>
      <c r="E168">
        <v>280</v>
      </c>
      <c r="F168" t="str">
        <f>"3.00"</f>
        <v>3.00</v>
      </c>
      <c r="H168" s="6073">
        <v>-3286592.34</v>
      </c>
    </row>
    <row r="169" spans="1:8">
      <c r="A169" t="str">
        <f>"18-04-2026 11:50:12"</f>
        <v>18-04-2026 11:50:12</v>
      </c>
      <c r="B169" t="str">
        <f t="shared" ref="B169:B179" si="9">"18 Apr 2026"</f>
        <v>18 Apr 2026</v>
      </c>
      <c r="C169" t="str">
        <f>""</f>
        <v/>
      </c>
      <c r="D169" t="s">
        <v>2131</v>
      </c>
      <c r="E169">
        <v>280</v>
      </c>
      <c r="F169" s="6073">
        <v>48519.96</v>
      </c>
      <c r="H169" s="6073">
        <v>-3335112.3</v>
      </c>
    </row>
    <row r="170" spans="1:8">
      <c r="A170" t="str">
        <f>"18-04-2026 16:51:55"</f>
        <v>18-04-2026 16:51:55</v>
      </c>
      <c r="B170" t="str">
        <f t="shared" si="9"/>
        <v>18 Apr 2026</v>
      </c>
      <c r="C170" t="str">
        <f>""</f>
        <v/>
      </c>
      <c r="D170" t="s">
        <v>2132</v>
      </c>
      <c r="E170">
        <v>280</v>
      </c>
      <c r="G170" s="6073">
        <v>499682.84</v>
      </c>
      <c r="H170" s="6073">
        <v>-2835429.46</v>
      </c>
    </row>
    <row r="171" spans="1:8">
      <c r="A171" t="str">
        <f>"18-04-2026 16:54:31"</f>
        <v>18-04-2026 16:54:31</v>
      </c>
      <c r="B171" t="str">
        <f t="shared" si="9"/>
        <v>18 Apr 2026</v>
      </c>
      <c r="C171" t="str">
        <f>""</f>
        <v/>
      </c>
      <c r="D171" t="s">
        <v>2133</v>
      </c>
      <c r="E171">
        <v>280</v>
      </c>
      <c r="F171" s="6073">
        <v>7182</v>
      </c>
      <c r="H171" s="6073">
        <v>-2842611.46</v>
      </c>
    </row>
    <row r="172" spans="1:8">
      <c r="A172" t="str">
        <f>"18-04-2026 16:54:31"</f>
        <v>18-04-2026 16:54:31</v>
      </c>
      <c r="B172" t="str">
        <f t="shared" si="9"/>
        <v>18 Apr 2026</v>
      </c>
      <c r="C172" t="str">
        <f>""</f>
        <v/>
      </c>
      <c r="D172" t="s">
        <v>2032</v>
      </c>
      <c r="E172">
        <v>280</v>
      </c>
      <c r="F172" t="str">
        <f>"3.00"</f>
        <v>3.00</v>
      </c>
      <c r="H172" s="6073">
        <v>-2842614.46</v>
      </c>
    </row>
    <row r="173" spans="1:8">
      <c r="A173" t="str">
        <f>"18-04-2026 17:08:54"</f>
        <v>18-04-2026 17:08:54</v>
      </c>
      <c r="B173" t="str">
        <f t="shared" si="9"/>
        <v>18 Apr 2026</v>
      </c>
      <c r="C173" t="str">
        <f>""</f>
        <v/>
      </c>
      <c r="D173" t="s">
        <v>2134</v>
      </c>
      <c r="E173">
        <v>280</v>
      </c>
      <c r="F173" s="6073">
        <v>47200</v>
      </c>
      <c r="H173" s="6073">
        <v>-2889814.46</v>
      </c>
    </row>
    <row r="174" spans="1:8">
      <c r="A174" t="str">
        <f>"18-04-2026 17:08:54"</f>
        <v>18-04-2026 17:08:54</v>
      </c>
      <c r="B174" t="str">
        <f t="shared" si="9"/>
        <v>18 Apr 2026</v>
      </c>
      <c r="C174" t="str">
        <f>""</f>
        <v/>
      </c>
      <c r="D174" t="s">
        <v>2032</v>
      </c>
      <c r="E174">
        <v>280</v>
      </c>
      <c r="F174" t="str">
        <f>"6.00"</f>
        <v>6.00</v>
      </c>
      <c r="H174" s="6073">
        <v>-2889820.46</v>
      </c>
    </row>
    <row r="175" spans="1:8">
      <c r="A175" t="str">
        <f>"18-04-2026 17:19:43"</f>
        <v>18-04-2026 17:19:43</v>
      </c>
      <c r="B175" t="str">
        <f t="shared" si="9"/>
        <v>18 Apr 2026</v>
      </c>
      <c r="C175" t="str">
        <f>""</f>
        <v/>
      </c>
      <c r="D175" t="s">
        <v>2135</v>
      </c>
      <c r="E175">
        <v>280</v>
      </c>
      <c r="F175" s="6073">
        <v>59400</v>
      </c>
      <c r="H175" s="6073">
        <v>-2949220.46</v>
      </c>
    </row>
    <row r="176" spans="1:8">
      <c r="A176" t="str">
        <f>"18-04-2026 17:19:43"</f>
        <v>18-04-2026 17:19:43</v>
      </c>
      <c r="B176" t="str">
        <f t="shared" si="9"/>
        <v>18 Apr 2026</v>
      </c>
      <c r="C176" t="str">
        <f>""</f>
        <v/>
      </c>
      <c r="D176" t="s">
        <v>2032</v>
      </c>
      <c r="E176">
        <v>280</v>
      </c>
      <c r="F176" t="str">
        <f>"6.00"</f>
        <v>6.00</v>
      </c>
      <c r="H176" s="6073">
        <v>-2949226.46</v>
      </c>
    </row>
    <row r="177" spans="1:8">
      <c r="A177" t="str">
        <f>"18-04-2026 17:24:26"</f>
        <v>18-04-2026 17:24:26</v>
      </c>
      <c r="B177" t="str">
        <f t="shared" si="9"/>
        <v>18 Apr 2026</v>
      </c>
      <c r="C177" t="str">
        <f>""</f>
        <v/>
      </c>
      <c r="D177" t="s">
        <v>2136</v>
      </c>
      <c r="E177">
        <v>280</v>
      </c>
      <c r="F177" s="6073">
        <v>106379</v>
      </c>
      <c r="H177" s="6073">
        <v>-3055605.46</v>
      </c>
    </row>
    <row r="178" spans="1:8">
      <c r="A178" t="str">
        <f>"18-04-2026 17:24:26"</f>
        <v>18-04-2026 17:24:26</v>
      </c>
      <c r="B178" t="str">
        <f t="shared" si="9"/>
        <v>18 Apr 2026</v>
      </c>
      <c r="C178" t="str">
        <f>""</f>
        <v/>
      </c>
      <c r="D178" t="s">
        <v>2032</v>
      </c>
      <c r="E178">
        <v>280</v>
      </c>
      <c r="F178" t="str">
        <f>"17.00"</f>
        <v>17.00</v>
      </c>
      <c r="H178" s="6073">
        <v>-3055622.46</v>
      </c>
    </row>
    <row r="179" spans="1:8">
      <c r="A179" t="str">
        <f>"18-04-2026 22:01:20"</f>
        <v>18-04-2026 22:01:20</v>
      </c>
      <c r="B179" t="str">
        <f t="shared" si="9"/>
        <v>18 Apr 2026</v>
      </c>
      <c r="C179" t="str">
        <f>""</f>
        <v/>
      </c>
      <c r="D179" t="s">
        <v>2137</v>
      </c>
      <c r="E179">
        <v>280</v>
      </c>
      <c r="F179" s="6073">
        <v>3000</v>
      </c>
      <c r="H179" s="6073">
        <v>-3058622.46</v>
      </c>
    </row>
    <row r="180" spans="1:8">
      <c r="A180" t="str">
        <f>"18-04-2026 22:01:20"</f>
        <v>18-04-2026 22:01:20</v>
      </c>
      <c r="B180" t="str">
        <f>"19 Apr 2026"</f>
        <v>19 Apr 2026</v>
      </c>
      <c r="C180" t="str">
        <f>""</f>
        <v/>
      </c>
      <c r="D180" t="s">
        <v>2032</v>
      </c>
      <c r="E180">
        <v>280</v>
      </c>
      <c r="F180" t="str">
        <f>"3.00"</f>
        <v>3.00</v>
      </c>
      <c r="H180" s="6073">
        <v>-3058625.46</v>
      </c>
    </row>
    <row r="181" spans="1:8">
      <c r="A181" t="str">
        <f>"19-04-2026 09:32:41"</f>
        <v>19-04-2026 09:32:41</v>
      </c>
      <c r="B181" t="str">
        <f>"19 Apr 2026"</f>
        <v>19 Apr 2026</v>
      </c>
      <c r="C181" t="str">
        <f>""</f>
        <v/>
      </c>
      <c r="D181" t="s">
        <v>2138</v>
      </c>
      <c r="E181">
        <v>280</v>
      </c>
      <c r="F181" s="6073">
        <v>5000</v>
      </c>
      <c r="H181" s="6073">
        <v>-3063625.46</v>
      </c>
    </row>
    <row r="182" spans="1:8">
      <c r="A182" t="str">
        <f>"19-04-2026 14:51:15"</f>
        <v>19-04-2026 14:51:15</v>
      </c>
      <c r="B182" t="str">
        <f>"19 Apr 2026"</f>
        <v>19 Apr 2026</v>
      </c>
      <c r="C182" t="str">
        <f>""</f>
        <v/>
      </c>
      <c r="D182" t="s">
        <v>2139</v>
      </c>
      <c r="E182">
        <v>280</v>
      </c>
      <c r="F182" s="6073">
        <v>40500</v>
      </c>
      <c r="H182" s="6073">
        <v>-3104125.46</v>
      </c>
    </row>
    <row r="183" spans="1:8">
      <c r="A183" t="str">
        <f>"19-04-2026 14:51:15"</f>
        <v>19-04-2026 14:51:15</v>
      </c>
      <c r="B183" t="str">
        <f>"19 Apr 2026"</f>
        <v>19 Apr 2026</v>
      </c>
      <c r="C183" t="str">
        <f>""</f>
        <v/>
      </c>
      <c r="D183" t="s">
        <v>2032</v>
      </c>
      <c r="E183">
        <v>280</v>
      </c>
      <c r="F183" t="str">
        <f>"6.00"</f>
        <v>6.00</v>
      </c>
      <c r="H183" s="6073">
        <v>-3104131.46</v>
      </c>
    </row>
    <row r="184" spans="1:8">
      <c r="A184" t="str">
        <f>"20-04-2026 23:36:51"</f>
        <v>20-04-2026 23:36:51</v>
      </c>
      <c r="B184" t="str">
        <f>"20 Apr 2026"</f>
        <v>20 Apr 2026</v>
      </c>
      <c r="C184" t="str">
        <f>""</f>
        <v/>
      </c>
      <c r="D184" t="s">
        <v>2140</v>
      </c>
      <c r="E184">
        <v>280</v>
      </c>
      <c r="G184" s="6073">
        <v>376515</v>
      </c>
      <c r="H184" s="6073">
        <v>-2727616.46</v>
      </c>
    </row>
    <row r="185" spans="1:8">
      <c r="A185" t="str">
        <f>"20-04-2026 23:38:18"</f>
        <v>20-04-2026 23:38:18</v>
      </c>
      <c r="B185" t="str">
        <f>"20 Apr 2026"</f>
        <v>20 Apr 2026</v>
      </c>
      <c r="C185" t="str">
        <f>""</f>
        <v/>
      </c>
      <c r="D185" t="s">
        <v>2141</v>
      </c>
      <c r="E185">
        <v>280</v>
      </c>
      <c r="F185" s="6073">
        <v>3500</v>
      </c>
      <c r="H185" s="6073">
        <v>-2731116.46</v>
      </c>
    </row>
    <row r="186" spans="1:8">
      <c r="A186" t="str">
        <f>"20-04-2026 23:38:18"</f>
        <v>20-04-2026 23:38:18</v>
      </c>
      <c r="B186" t="str">
        <f>"21 Apr 2026"</f>
        <v>21 Apr 2026</v>
      </c>
      <c r="C186" t="str">
        <f>""</f>
        <v/>
      </c>
      <c r="D186" t="s">
        <v>2032</v>
      </c>
      <c r="E186">
        <v>280</v>
      </c>
      <c r="F186" t="str">
        <f>"3.00"</f>
        <v>3.00</v>
      </c>
      <c r="H186" s="6073">
        <v>-2731119.46</v>
      </c>
    </row>
    <row r="187" spans="1:8">
      <c r="A187" t="str">
        <f>"20-04-2026 23:40:45"</f>
        <v>20-04-2026 23:40:45</v>
      </c>
      <c r="B187" t="str">
        <f>"20 Apr 2026"</f>
        <v>20 Apr 2026</v>
      </c>
      <c r="C187" t="str">
        <f>""</f>
        <v/>
      </c>
      <c r="D187" t="s">
        <v>2142</v>
      </c>
      <c r="E187">
        <v>280</v>
      </c>
      <c r="F187" s="6073">
        <v>245225</v>
      </c>
      <c r="H187" s="6073">
        <v>-2976344.46</v>
      </c>
    </row>
    <row r="188" spans="1:8">
      <c r="A188" t="str">
        <f>"20-04-2026 23:40:45"</f>
        <v>20-04-2026 23:40:45</v>
      </c>
      <c r="B188" t="str">
        <f>"21 Apr 2026"</f>
        <v>21 Apr 2026</v>
      </c>
      <c r="C188" t="str">
        <f>""</f>
        <v/>
      </c>
      <c r="D188" t="s">
        <v>2032</v>
      </c>
      <c r="E188">
        <v>280</v>
      </c>
      <c r="F188" t="str">
        <f>"29.00"</f>
        <v>29.00</v>
      </c>
      <c r="H188" s="6073">
        <v>-2976373.46</v>
      </c>
    </row>
    <row r="189" spans="1:8">
      <c r="A189" t="str">
        <f>"20-04-2026 23:42:27"</f>
        <v>20-04-2026 23:42:27</v>
      </c>
      <c r="B189" t="str">
        <f>"20 Apr 2026"</f>
        <v>20 Apr 2026</v>
      </c>
      <c r="C189" t="str">
        <f>""</f>
        <v/>
      </c>
      <c r="D189" t="s">
        <v>2143</v>
      </c>
      <c r="E189">
        <v>280</v>
      </c>
      <c r="F189" s="6073">
        <v>140420</v>
      </c>
      <c r="H189" s="6073">
        <v>-3116793.46</v>
      </c>
    </row>
    <row r="190" spans="1:8">
      <c r="A190" t="str">
        <f>"20-04-2026 23:42:27"</f>
        <v>20-04-2026 23:42:27</v>
      </c>
      <c r="B190" t="str">
        <f>"21 Apr 2026"</f>
        <v>21 Apr 2026</v>
      </c>
      <c r="C190" t="str">
        <f>""</f>
        <v/>
      </c>
      <c r="D190" t="s">
        <v>2032</v>
      </c>
      <c r="E190">
        <v>280</v>
      </c>
      <c r="F190" t="str">
        <f>"17.00"</f>
        <v>17.00</v>
      </c>
      <c r="H190" s="6073">
        <v>-3116810.46</v>
      </c>
    </row>
    <row r="191" spans="1:8">
      <c r="A191" t="str">
        <f>"20-04-2026 23:46:12"</f>
        <v>20-04-2026 23:46:12</v>
      </c>
      <c r="B191" t="str">
        <f>"20 Apr 2026"</f>
        <v>20 Apr 2026</v>
      </c>
      <c r="C191" t="str">
        <f>""</f>
        <v/>
      </c>
      <c r="D191" t="s">
        <v>2144</v>
      </c>
      <c r="E191">
        <v>280</v>
      </c>
      <c r="F191" s="6073">
        <v>14455</v>
      </c>
      <c r="H191" s="6073">
        <v>-3131265.46</v>
      </c>
    </row>
    <row r="192" spans="1:8">
      <c r="A192" t="str">
        <f>"20-04-2026 23:46:12"</f>
        <v>20-04-2026 23:46:12</v>
      </c>
      <c r="B192" t="str">
        <f>"21 Apr 2026"</f>
        <v>21 Apr 2026</v>
      </c>
      <c r="C192" t="str">
        <f>""</f>
        <v/>
      </c>
      <c r="D192" t="s">
        <v>2032</v>
      </c>
      <c r="E192">
        <v>280</v>
      </c>
      <c r="F192" t="str">
        <f>"6.00"</f>
        <v>6.00</v>
      </c>
      <c r="H192" s="6073">
        <v>-3131271.46</v>
      </c>
    </row>
    <row r="193" spans="1:8">
      <c r="A193" t="str">
        <f>"20-04-2026 23:55:11"</f>
        <v>20-04-2026 23:55:11</v>
      </c>
      <c r="B193" t="str">
        <f>"20 Apr 2026"</f>
        <v>20 Apr 2026</v>
      </c>
      <c r="C193" t="str">
        <f>""</f>
        <v/>
      </c>
      <c r="D193" t="s">
        <v>2145</v>
      </c>
      <c r="E193">
        <v>280</v>
      </c>
      <c r="F193" s="6073">
        <v>6000</v>
      </c>
      <c r="H193" s="6073">
        <v>-3137271.46</v>
      </c>
    </row>
    <row r="194" spans="1:8">
      <c r="A194" t="str">
        <f>"20-04-2026 23:55:11"</f>
        <v>20-04-2026 23:55:11</v>
      </c>
      <c r="B194" t="str">
        <f>"21 Apr 2026"</f>
        <v>21 Apr 2026</v>
      </c>
      <c r="C194" t="str">
        <f>""</f>
        <v/>
      </c>
      <c r="D194" t="s">
        <v>2032</v>
      </c>
      <c r="E194">
        <v>280</v>
      </c>
      <c r="F194" t="str">
        <f>"3.00"</f>
        <v>3.00</v>
      </c>
      <c r="H194" s="6073">
        <v>-3137274.46</v>
      </c>
    </row>
    <row r="195" spans="1:8">
      <c r="A195" t="str">
        <f>"21-04-2026 00:01:10"</f>
        <v>21-04-2026 00:01:10</v>
      </c>
      <c r="B195" t="str">
        <f>"20 Apr 2026"</f>
        <v>20 Apr 2026</v>
      </c>
      <c r="C195" t="str">
        <f>""</f>
        <v/>
      </c>
      <c r="D195" t="s">
        <v>2146</v>
      </c>
      <c r="E195">
        <v>280</v>
      </c>
      <c r="F195" s="6073">
        <v>5599</v>
      </c>
      <c r="H195" s="6073">
        <v>-3142873.46</v>
      </c>
    </row>
    <row r="196" spans="1:8">
      <c r="A196" t="str">
        <f>"21-04-2026 00:01:10"</f>
        <v>21-04-2026 00:01:10</v>
      </c>
      <c r="B196" t="str">
        <f>"21 Apr 2026"</f>
        <v>21 Apr 2026</v>
      </c>
      <c r="C196" t="str">
        <f>""</f>
        <v/>
      </c>
      <c r="D196" t="s">
        <v>2032</v>
      </c>
      <c r="E196">
        <v>280</v>
      </c>
      <c r="F196" t="str">
        <f>"3.00"</f>
        <v>3.00</v>
      </c>
      <c r="H196" s="6073">
        <v>-3142876.46</v>
      </c>
    </row>
    <row r="197" spans="1:8">
      <c r="A197" t="str">
        <f>"21-04-2026 00:02:26"</f>
        <v>21-04-2026 00:02:26</v>
      </c>
      <c r="B197" t="str">
        <f>"20 Apr 2026"</f>
        <v>20 Apr 2026</v>
      </c>
      <c r="C197" t="str">
        <f>""</f>
        <v/>
      </c>
      <c r="D197" t="s">
        <v>2147</v>
      </c>
      <c r="E197">
        <v>280</v>
      </c>
      <c r="F197" s="6073">
        <v>3800</v>
      </c>
      <c r="H197" s="6073">
        <v>-3146676.46</v>
      </c>
    </row>
    <row r="198" spans="1:8">
      <c r="A198" t="str">
        <f>"21-04-2026 00:02:26"</f>
        <v>21-04-2026 00:02:26</v>
      </c>
      <c r="B198" t="str">
        <f>"21 Apr 2026"</f>
        <v>21 Apr 2026</v>
      </c>
      <c r="C198" t="str">
        <f>""</f>
        <v/>
      </c>
      <c r="D198" t="s">
        <v>2032</v>
      </c>
      <c r="E198">
        <v>280</v>
      </c>
      <c r="F198" t="str">
        <f>"3.00"</f>
        <v>3.00</v>
      </c>
      <c r="H198" s="6073">
        <v>-3146679.46</v>
      </c>
    </row>
    <row r="199" spans="1:8">
      <c r="A199" t="str">
        <f>"21-04-2026 00:05:25"</f>
        <v>21-04-2026 00:05:25</v>
      </c>
      <c r="B199" t="str">
        <f>"20 Apr 2026"</f>
        <v>20 Apr 2026</v>
      </c>
      <c r="C199" t="str">
        <f>""</f>
        <v/>
      </c>
      <c r="D199" t="s">
        <v>2148</v>
      </c>
      <c r="E199">
        <v>280</v>
      </c>
      <c r="F199" s="6073">
        <v>8750</v>
      </c>
      <c r="H199" s="6073">
        <v>-3155429.46</v>
      </c>
    </row>
    <row r="200" spans="1:8">
      <c r="A200" t="str">
        <f>"21-04-2026 00:05:25"</f>
        <v>21-04-2026 00:05:25</v>
      </c>
      <c r="B200" t="str">
        <f>"21 Apr 2026"</f>
        <v>21 Apr 2026</v>
      </c>
      <c r="C200" t="str">
        <f>""</f>
        <v/>
      </c>
      <c r="D200" t="s">
        <v>2032</v>
      </c>
      <c r="E200">
        <v>280</v>
      </c>
      <c r="F200" t="str">
        <f>"3.00"</f>
        <v>3.00</v>
      </c>
      <c r="H200" s="6073">
        <v>-3155432.46</v>
      </c>
    </row>
    <row r="201" spans="1:8">
      <c r="A201" t="str">
        <f>"21-04-2026 00:07:26"</f>
        <v>21-04-2026 00:07:26</v>
      </c>
      <c r="B201" t="str">
        <f>"20 Apr 2026"</f>
        <v>20 Apr 2026</v>
      </c>
      <c r="C201" t="str">
        <f>""</f>
        <v/>
      </c>
      <c r="D201" t="s">
        <v>2149</v>
      </c>
      <c r="E201">
        <v>280</v>
      </c>
      <c r="F201" s="6073">
        <v>21573</v>
      </c>
      <c r="H201" s="6073">
        <v>-3177005.46</v>
      </c>
    </row>
    <row r="202" spans="1:8">
      <c r="A202" t="str">
        <f>"21-04-2026 00:07:26"</f>
        <v>21-04-2026 00:07:26</v>
      </c>
      <c r="B202" t="str">
        <f>"21 Apr 2026"</f>
        <v>21 Apr 2026</v>
      </c>
      <c r="C202" t="str">
        <f>""</f>
        <v/>
      </c>
      <c r="D202" t="s">
        <v>2032</v>
      </c>
      <c r="E202">
        <v>280</v>
      </c>
      <c r="F202" t="str">
        <f>"6.00"</f>
        <v>6.00</v>
      </c>
      <c r="H202" s="6073">
        <v>-3177011.46</v>
      </c>
    </row>
    <row r="203" spans="1:8">
      <c r="A203" t="str">
        <f>"21-04-2026 00:08:46"</f>
        <v>21-04-2026 00:08:46</v>
      </c>
      <c r="B203" t="str">
        <f>"20 Apr 2026"</f>
        <v>20 Apr 2026</v>
      </c>
      <c r="C203" t="str">
        <f>""</f>
        <v/>
      </c>
      <c r="D203" t="s">
        <v>2150</v>
      </c>
      <c r="E203">
        <v>280</v>
      </c>
      <c r="F203" s="6073">
        <v>4997</v>
      </c>
      <c r="H203" s="6073">
        <v>-3182008.46</v>
      </c>
    </row>
    <row r="204" spans="1:8">
      <c r="A204" t="str">
        <f>"21-04-2026 00:08:46"</f>
        <v>21-04-2026 00:08:46</v>
      </c>
      <c r="B204" t="str">
        <f>"21 Apr 2026"</f>
        <v>21 Apr 2026</v>
      </c>
      <c r="C204" t="str">
        <f>""</f>
        <v/>
      </c>
      <c r="D204" t="s">
        <v>2032</v>
      </c>
      <c r="E204">
        <v>280</v>
      </c>
      <c r="F204" t="str">
        <f>"3.00"</f>
        <v>3.00</v>
      </c>
      <c r="H204" s="6073">
        <v>-3182011.46</v>
      </c>
    </row>
    <row r="205" spans="1:8">
      <c r="A205" t="str">
        <f>"21-04-2026 00:09:51"</f>
        <v>21-04-2026 00:09:51</v>
      </c>
      <c r="B205" t="str">
        <f>"20 Apr 2026"</f>
        <v>20 Apr 2026</v>
      </c>
      <c r="C205" t="str">
        <f>""</f>
        <v/>
      </c>
      <c r="D205" t="s">
        <v>2151</v>
      </c>
      <c r="E205">
        <v>280</v>
      </c>
      <c r="F205" s="6073">
        <v>6600</v>
      </c>
      <c r="H205" s="6073">
        <v>-3188611.46</v>
      </c>
    </row>
    <row r="206" spans="1:8">
      <c r="A206" t="str">
        <f>"21-04-2026 00:09:51"</f>
        <v>21-04-2026 00:09:51</v>
      </c>
      <c r="B206" t="str">
        <f t="shared" ref="B206:B222" si="10">"21 Apr 2026"</f>
        <v>21 Apr 2026</v>
      </c>
      <c r="C206" t="str">
        <f>""</f>
        <v/>
      </c>
      <c r="D206" t="s">
        <v>2032</v>
      </c>
      <c r="E206">
        <v>280</v>
      </c>
      <c r="F206" t="str">
        <f>"3.00"</f>
        <v>3.00</v>
      </c>
      <c r="H206" s="6073">
        <v>-3188614.46</v>
      </c>
    </row>
    <row r="207" spans="1:8">
      <c r="A207" t="str">
        <f>"21-04-2026 12:08:13"</f>
        <v>21-04-2026 12:08:13</v>
      </c>
      <c r="B207" t="str">
        <f t="shared" si="10"/>
        <v>21 Apr 2026</v>
      </c>
      <c r="C207" t="str">
        <f>""</f>
        <v/>
      </c>
      <c r="D207" t="s">
        <v>2152</v>
      </c>
      <c r="E207">
        <v>280</v>
      </c>
      <c r="F207" t="str">
        <f>"944.00"</f>
        <v>944.00</v>
      </c>
      <c r="H207" s="6073">
        <v>-3189558.46</v>
      </c>
    </row>
    <row r="208" spans="1:8">
      <c r="A208" t="str">
        <f>"21-04-2026 12:08:13"</f>
        <v>21-04-2026 12:08:13</v>
      </c>
      <c r="B208" t="str">
        <f t="shared" si="10"/>
        <v>21 Apr 2026</v>
      </c>
      <c r="C208" t="str">
        <f>""</f>
        <v/>
      </c>
      <c r="D208" t="s">
        <v>2032</v>
      </c>
      <c r="E208">
        <v>280</v>
      </c>
      <c r="F208" t="str">
        <f>"3.00"</f>
        <v>3.00</v>
      </c>
      <c r="H208" s="6073">
        <v>-3189561.46</v>
      </c>
    </row>
    <row r="209" spans="1:8">
      <c r="A209" t="str">
        <f>"21-04-2026 12:37:47"</f>
        <v>21-04-2026 12:37:47</v>
      </c>
      <c r="B209" t="str">
        <f t="shared" si="10"/>
        <v>21 Apr 2026</v>
      </c>
      <c r="C209" t="str">
        <f>""</f>
        <v/>
      </c>
      <c r="D209" t="s">
        <v>2153</v>
      </c>
      <c r="E209">
        <v>280</v>
      </c>
      <c r="F209" s="6073">
        <v>47200</v>
      </c>
      <c r="H209" s="6073">
        <v>-3236761.46</v>
      </c>
    </row>
    <row r="210" spans="1:8">
      <c r="A210" t="str">
        <f>"21-04-2026 12:37:47"</f>
        <v>21-04-2026 12:37:47</v>
      </c>
      <c r="B210" t="str">
        <f t="shared" si="10"/>
        <v>21 Apr 2026</v>
      </c>
      <c r="C210" t="str">
        <f>""</f>
        <v/>
      </c>
      <c r="D210" t="s">
        <v>2032</v>
      </c>
      <c r="E210">
        <v>280</v>
      </c>
      <c r="F210" t="str">
        <f>"6.00"</f>
        <v>6.00</v>
      </c>
      <c r="H210" s="6073">
        <v>-3236767.46</v>
      </c>
    </row>
    <row r="211" spans="1:8">
      <c r="A211" t="str">
        <f>"21-04-2026 12:40:33"</f>
        <v>21-04-2026 12:40:33</v>
      </c>
      <c r="B211" t="str">
        <f t="shared" si="10"/>
        <v>21 Apr 2026</v>
      </c>
      <c r="C211" t="str">
        <f>""</f>
        <v/>
      </c>
      <c r="D211" t="s">
        <v>2154</v>
      </c>
      <c r="E211">
        <v>280</v>
      </c>
      <c r="F211" s="6073">
        <v>127850</v>
      </c>
      <c r="H211" s="6073">
        <v>-3364617.46</v>
      </c>
    </row>
    <row r="212" spans="1:8">
      <c r="A212" t="str">
        <f>"21-04-2026 12:40:33"</f>
        <v>21-04-2026 12:40:33</v>
      </c>
      <c r="B212" t="str">
        <f t="shared" si="10"/>
        <v>21 Apr 2026</v>
      </c>
      <c r="C212" t="str">
        <f>""</f>
        <v/>
      </c>
      <c r="D212" t="s">
        <v>2032</v>
      </c>
      <c r="E212">
        <v>280</v>
      </c>
      <c r="F212" t="str">
        <f>"17.00"</f>
        <v>17.00</v>
      </c>
      <c r="H212" s="6073">
        <v>-3364634.46</v>
      </c>
    </row>
    <row r="213" spans="1:8">
      <c r="A213" t="str">
        <f>"21-04-2026 12:43:48"</f>
        <v>21-04-2026 12:43:48</v>
      </c>
      <c r="B213" t="str">
        <f t="shared" si="10"/>
        <v>21 Apr 2026</v>
      </c>
      <c r="C213" t="str">
        <f>""</f>
        <v/>
      </c>
      <c r="D213" t="s">
        <v>2155</v>
      </c>
      <c r="E213">
        <v>280</v>
      </c>
      <c r="F213" s="6073">
        <v>175000</v>
      </c>
      <c r="H213" s="6073">
        <v>-3539634.46</v>
      </c>
    </row>
    <row r="214" spans="1:8">
      <c r="A214" t="str">
        <f>"21-04-2026 12:43:48"</f>
        <v>21-04-2026 12:43:48</v>
      </c>
      <c r="B214" t="str">
        <f t="shared" si="10"/>
        <v>21 Apr 2026</v>
      </c>
      <c r="C214" t="str">
        <f>""</f>
        <v/>
      </c>
      <c r="D214" t="s">
        <v>2032</v>
      </c>
      <c r="E214">
        <v>280</v>
      </c>
      <c r="F214" t="str">
        <f>"17.00"</f>
        <v>17.00</v>
      </c>
      <c r="H214" s="6073">
        <v>-3539651.46</v>
      </c>
    </row>
    <row r="215" spans="1:8">
      <c r="A215" t="str">
        <f>"21-04-2026 12:52:07"</f>
        <v>21-04-2026 12:52:07</v>
      </c>
      <c r="B215" t="str">
        <f t="shared" si="10"/>
        <v>21 Apr 2026</v>
      </c>
      <c r="C215" t="str">
        <f>""</f>
        <v/>
      </c>
      <c r="D215" t="s">
        <v>2156</v>
      </c>
      <c r="E215">
        <v>280</v>
      </c>
      <c r="F215" s="6073">
        <v>101640</v>
      </c>
      <c r="H215" s="6073">
        <v>-3641291.46</v>
      </c>
    </row>
    <row r="216" spans="1:8">
      <c r="A216" t="str">
        <f>"21-04-2026 12:52:07"</f>
        <v>21-04-2026 12:52:07</v>
      </c>
      <c r="B216" t="str">
        <f t="shared" si="10"/>
        <v>21 Apr 2026</v>
      </c>
      <c r="C216" t="str">
        <f>""</f>
        <v/>
      </c>
      <c r="D216" t="s">
        <v>2032</v>
      </c>
      <c r="E216">
        <v>280</v>
      </c>
      <c r="F216" t="str">
        <f>"17.00"</f>
        <v>17.00</v>
      </c>
      <c r="H216" s="6073">
        <v>-3641308.46</v>
      </c>
    </row>
    <row r="217" spans="1:8">
      <c r="A217" t="str">
        <f>"21-04-2026 12:56:02"</f>
        <v>21-04-2026 12:56:02</v>
      </c>
      <c r="B217" t="str">
        <f t="shared" si="10"/>
        <v>21 Apr 2026</v>
      </c>
      <c r="C217" t="str">
        <f>""</f>
        <v/>
      </c>
      <c r="D217" t="s">
        <v>2157</v>
      </c>
      <c r="E217">
        <v>108</v>
      </c>
      <c r="F217" s="6073">
        <v>10951</v>
      </c>
      <c r="H217" s="6073">
        <v>-3652259.46</v>
      </c>
    </row>
    <row r="218" spans="1:8">
      <c r="A218" t="str">
        <f>"21-04-2026 12:59:48"</f>
        <v>21-04-2026 12:59:48</v>
      </c>
      <c r="B218" t="str">
        <f t="shared" si="10"/>
        <v>21 Apr 2026</v>
      </c>
      <c r="C218" t="str">
        <f>""</f>
        <v/>
      </c>
      <c r="D218" t="s">
        <v>2158</v>
      </c>
      <c r="E218">
        <v>280</v>
      </c>
      <c r="F218" s="6073">
        <v>12000</v>
      </c>
      <c r="H218" s="6073">
        <v>-3664259.46</v>
      </c>
    </row>
    <row r="219" spans="1:8">
      <c r="A219" t="str">
        <f>"21-04-2026 12:59:48"</f>
        <v>21-04-2026 12:59:48</v>
      </c>
      <c r="B219" t="str">
        <f t="shared" si="10"/>
        <v>21 Apr 2026</v>
      </c>
      <c r="C219" t="str">
        <f>""</f>
        <v/>
      </c>
      <c r="D219" t="s">
        <v>2032</v>
      </c>
      <c r="E219">
        <v>280</v>
      </c>
      <c r="F219" t="str">
        <f>"6.00"</f>
        <v>6.00</v>
      </c>
      <c r="H219" s="6073">
        <v>-3664265.46</v>
      </c>
    </row>
    <row r="220" spans="1:8">
      <c r="A220" t="str">
        <f>"21-04-2026 14:20:32"</f>
        <v>21-04-2026 14:20:32</v>
      </c>
      <c r="B220" t="str">
        <f t="shared" si="10"/>
        <v>21 Apr 2026</v>
      </c>
      <c r="C220" t="str">
        <f>""</f>
        <v/>
      </c>
      <c r="D220" t="s">
        <v>2159</v>
      </c>
      <c r="E220">
        <v>280</v>
      </c>
      <c r="G220" s="6073">
        <v>192422</v>
      </c>
      <c r="H220" s="6073">
        <v>-3471843.46</v>
      </c>
    </row>
    <row r="221" spans="1:8">
      <c r="A221" t="str">
        <f>"21-04-2026 16:51:12"</f>
        <v>21-04-2026 16:51:12</v>
      </c>
      <c r="B221" t="str">
        <f t="shared" si="10"/>
        <v>21 Apr 2026</v>
      </c>
      <c r="C221" t="str">
        <f>""</f>
        <v/>
      </c>
      <c r="D221" t="s">
        <v>2160</v>
      </c>
      <c r="E221">
        <v>280</v>
      </c>
      <c r="F221" t="str">
        <f>"650.00"</f>
        <v>650.00</v>
      </c>
      <c r="H221" s="6073">
        <v>-3472493.46</v>
      </c>
    </row>
    <row r="222" spans="1:8">
      <c r="A222" t="str">
        <f>"21-04-2026 16:51:12"</f>
        <v>21-04-2026 16:51:12</v>
      </c>
      <c r="B222" t="str">
        <f t="shared" si="10"/>
        <v>21 Apr 2026</v>
      </c>
      <c r="C222" t="str">
        <f>""</f>
        <v/>
      </c>
      <c r="D222" t="s">
        <v>2032</v>
      </c>
      <c r="E222">
        <v>280</v>
      </c>
      <c r="F222" t="str">
        <f>"3.00"</f>
        <v>3.00</v>
      </c>
      <c r="H222" s="6073">
        <v>-3472496.46</v>
      </c>
    </row>
    <row r="223" spans="1:8">
      <c r="A223" t="str">
        <f>"22-04-2026 16:42:45"</f>
        <v>22-04-2026 16:42:45</v>
      </c>
      <c r="B223" t="str">
        <f>"22 Apr 2026"</f>
        <v>22 Apr 2026</v>
      </c>
      <c r="C223" t="str">
        <f>""</f>
        <v/>
      </c>
      <c r="D223" t="s">
        <v>2161</v>
      </c>
      <c r="E223">
        <v>280</v>
      </c>
      <c r="G223" s="6073">
        <v>189724</v>
      </c>
      <c r="H223" s="6073">
        <v>-3282772.46</v>
      </c>
    </row>
    <row r="224" spans="1:8">
      <c r="A224" t="str">
        <f>"22-04-2026 16:45:17"</f>
        <v>22-04-2026 16:45:17</v>
      </c>
      <c r="B224" t="str">
        <f>"22 Apr 2026"</f>
        <v>22 Apr 2026</v>
      </c>
      <c r="C224" t="str">
        <f>""</f>
        <v/>
      </c>
      <c r="D224" t="s">
        <v>2162</v>
      </c>
      <c r="E224">
        <v>280</v>
      </c>
      <c r="F224" s="6073">
        <v>13051.97</v>
      </c>
      <c r="H224" s="6073">
        <v>-3295824.43</v>
      </c>
    </row>
    <row r="225" spans="1:8">
      <c r="A225" t="str">
        <f>"22-04-2026 16:45:17"</f>
        <v>22-04-2026 16:45:17</v>
      </c>
      <c r="B225" t="str">
        <f>"22 Apr 2026"</f>
        <v>22 Apr 2026</v>
      </c>
      <c r="C225" t="str">
        <f>""</f>
        <v/>
      </c>
      <c r="D225" t="s">
        <v>2032</v>
      </c>
      <c r="E225">
        <v>280</v>
      </c>
      <c r="F225" t="str">
        <f>"6.00"</f>
        <v>6.00</v>
      </c>
      <c r="H225" s="6073">
        <v>-3295830.43</v>
      </c>
    </row>
    <row r="226" spans="1:8">
      <c r="A226" t="str">
        <f>"22-04-2026 22:53:02"</f>
        <v>22-04-2026 22:53:02</v>
      </c>
      <c r="B226" t="str">
        <f>"22 Apr 2026"</f>
        <v>22 Apr 2026</v>
      </c>
      <c r="C226" t="str">
        <f>""</f>
        <v/>
      </c>
      <c r="D226" t="s">
        <v>2163</v>
      </c>
      <c r="E226">
        <v>280</v>
      </c>
      <c r="G226" s="6073">
        <v>1939930</v>
      </c>
      <c r="H226" s="6073">
        <v>-1355900.43</v>
      </c>
    </row>
    <row r="227" spans="1:8">
      <c r="A227" t="str">
        <f>"23-04-2026 12:42:56"</f>
        <v>23-04-2026 12:42:56</v>
      </c>
      <c r="B227" t="str">
        <f>"23 Apr 2026"</f>
        <v>23 Apr 2026</v>
      </c>
      <c r="C227" t="str">
        <f>""</f>
        <v/>
      </c>
      <c r="D227" t="s">
        <v>2164</v>
      </c>
      <c r="E227">
        <v>280</v>
      </c>
      <c r="F227" s="6073">
        <v>3675</v>
      </c>
      <c r="H227" s="6073">
        <v>-1359575.43</v>
      </c>
    </row>
    <row r="228" spans="1:8">
      <c r="A228" t="str">
        <f>"23-04-2026 12:42:56"</f>
        <v>23-04-2026 12:42:56</v>
      </c>
      <c r="B228" t="str">
        <f>"23 Apr 2026"</f>
        <v>23 Apr 2026</v>
      </c>
      <c r="C228" t="str">
        <f>""</f>
        <v/>
      </c>
      <c r="D228" t="s">
        <v>2032</v>
      </c>
      <c r="E228">
        <v>280</v>
      </c>
      <c r="F228" t="str">
        <f>"3.00"</f>
        <v>3.00</v>
      </c>
      <c r="H228" s="6073">
        <v>-1359578.43</v>
      </c>
    </row>
    <row r="229" spans="1:8">
      <c r="A229" t="str">
        <f>"24-04-2026 12:26:16"</f>
        <v>24-04-2026 12:26:16</v>
      </c>
      <c r="B229" t="str">
        <f>"24 Apr 2026"</f>
        <v>24 Apr 2026</v>
      </c>
      <c r="C229" t="str">
        <f>""</f>
        <v/>
      </c>
      <c r="D229" t="s">
        <v>2165</v>
      </c>
      <c r="E229">
        <v>280</v>
      </c>
      <c r="F229" s="6073">
        <v>48519.96</v>
      </c>
      <c r="H229" s="6073">
        <v>-1408098.39</v>
      </c>
    </row>
    <row r="230" spans="1:8">
      <c r="A230" t="str">
        <f>"24-04-2026 20:58:44"</f>
        <v>24-04-2026 20:58:44</v>
      </c>
      <c r="B230" t="str">
        <f>"24 Apr 2026"</f>
        <v>24 Apr 2026</v>
      </c>
      <c r="C230" t="str">
        <f>""</f>
        <v/>
      </c>
      <c r="D230" t="s">
        <v>2166</v>
      </c>
      <c r="E230">
        <v>280</v>
      </c>
      <c r="G230" s="6073">
        <v>447607</v>
      </c>
      <c r="H230" s="6073">
        <v>-960491.39</v>
      </c>
    </row>
    <row r="231" spans="1:8">
      <c r="A231" t="str">
        <f>"24-04-2026 21:00:19"</f>
        <v>24-04-2026 21:00:19</v>
      </c>
      <c r="B231" t="str">
        <f>"24 Apr 2026"</f>
        <v>24 Apr 2026</v>
      </c>
      <c r="C231" t="str">
        <f>""</f>
        <v/>
      </c>
      <c r="D231" t="s">
        <v>2167</v>
      </c>
      <c r="E231">
        <v>280</v>
      </c>
      <c r="F231" s="6073">
        <v>2400</v>
      </c>
      <c r="H231" s="6073">
        <v>-962891.39</v>
      </c>
    </row>
    <row r="232" spans="1:8">
      <c r="A232" t="str">
        <f>"24-04-2026 21:00:19"</f>
        <v>24-04-2026 21:00:19</v>
      </c>
      <c r="B232" t="str">
        <f>"25 Apr 2026"</f>
        <v>25 Apr 2026</v>
      </c>
      <c r="C232" t="str">
        <f>""</f>
        <v/>
      </c>
      <c r="D232" t="s">
        <v>2032</v>
      </c>
      <c r="E232">
        <v>280</v>
      </c>
      <c r="F232" t="str">
        <f>"3.00"</f>
        <v>3.00</v>
      </c>
      <c r="H232" s="6073">
        <v>-962894.39</v>
      </c>
    </row>
    <row r="233" spans="1:8">
      <c r="A233" t="str">
        <f>"24-04-2026 21:02:33"</f>
        <v>24-04-2026 21:02:33</v>
      </c>
      <c r="B233" t="str">
        <f>"24 Apr 2026"</f>
        <v>24 Apr 2026</v>
      </c>
      <c r="C233" t="str">
        <f>""</f>
        <v/>
      </c>
      <c r="D233" t="s">
        <v>2168</v>
      </c>
      <c r="E233">
        <v>280</v>
      </c>
      <c r="F233" s="6073">
        <v>5000</v>
      </c>
      <c r="H233" s="6073">
        <v>-967894.39</v>
      </c>
    </row>
    <row r="234" spans="1:8">
      <c r="A234" t="str">
        <f>"24-04-2026 21:02:33"</f>
        <v>24-04-2026 21:02:33</v>
      </c>
      <c r="B234" t="str">
        <f>"25 Apr 2026"</f>
        <v>25 Apr 2026</v>
      </c>
      <c r="C234" t="str">
        <f>""</f>
        <v/>
      </c>
      <c r="D234" t="s">
        <v>2032</v>
      </c>
      <c r="E234">
        <v>280</v>
      </c>
      <c r="F234" t="str">
        <f>"3.00"</f>
        <v>3.00</v>
      </c>
      <c r="H234" s="6073">
        <v>-967897.39</v>
      </c>
    </row>
    <row r="235" spans="1:8">
      <c r="A235" t="str">
        <f>"24-04-2026 21:04:29"</f>
        <v>24-04-2026 21:04:29</v>
      </c>
      <c r="B235" t="str">
        <f>"24 Apr 2026"</f>
        <v>24 Apr 2026</v>
      </c>
      <c r="C235" t="str">
        <f>""</f>
        <v/>
      </c>
      <c r="D235" t="s">
        <v>2169</v>
      </c>
      <c r="E235">
        <v>280</v>
      </c>
      <c r="F235" s="6073">
        <v>54000</v>
      </c>
      <c r="H235" s="6073">
        <v>-1021897.39</v>
      </c>
    </row>
    <row r="236" spans="1:8">
      <c r="A236" t="str">
        <f>"24-04-2026 21:04:29"</f>
        <v>24-04-2026 21:04:29</v>
      </c>
      <c r="B236" t="str">
        <f>"25 Apr 2026"</f>
        <v>25 Apr 2026</v>
      </c>
      <c r="C236" t="str">
        <f>""</f>
        <v/>
      </c>
      <c r="D236" t="s">
        <v>2032</v>
      </c>
      <c r="E236">
        <v>280</v>
      </c>
      <c r="F236" t="str">
        <f>"6.00"</f>
        <v>6.00</v>
      </c>
      <c r="H236" s="6073">
        <v>-1021903.39</v>
      </c>
    </row>
    <row r="237" spans="1:8">
      <c r="A237" t="str">
        <f>"24-04-2026 21:06:36"</f>
        <v>24-04-2026 21:06:36</v>
      </c>
      <c r="B237" t="str">
        <f>"24 Apr 2026"</f>
        <v>24 Apr 2026</v>
      </c>
      <c r="C237" t="str">
        <f>""</f>
        <v/>
      </c>
      <c r="D237" t="s">
        <v>2170</v>
      </c>
      <c r="E237">
        <v>280</v>
      </c>
      <c r="F237" s="6073">
        <v>400000</v>
      </c>
      <c r="H237" s="6073">
        <v>-1421903.39</v>
      </c>
    </row>
    <row r="238" spans="1:8">
      <c r="A238" t="str">
        <f>"24-04-2026 21:06:36"</f>
        <v>24-04-2026 21:06:36</v>
      </c>
      <c r="B238" t="str">
        <f>"25 Apr 2026"</f>
        <v>25 Apr 2026</v>
      </c>
      <c r="C238" t="str">
        <f>""</f>
        <v/>
      </c>
      <c r="D238" t="s">
        <v>2032</v>
      </c>
      <c r="E238">
        <v>280</v>
      </c>
      <c r="F238" t="str">
        <f>"29.00"</f>
        <v>29.00</v>
      </c>
      <c r="H238" s="6073">
        <v>-1421932.39</v>
      </c>
    </row>
    <row r="239" spans="1:8">
      <c r="A239" t="str">
        <f>"24-04-2026 21:26:06"</f>
        <v>24-04-2026 21:26:06</v>
      </c>
      <c r="B239" t="str">
        <f>"24 Apr 2026"</f>
        <v>24 Apr 2026</v>
      </c>
      <c r="C239" t="str">
        <f>""</f>
        <v/>
      </c>
      <c r="D239" t="s">
        <v>2171</v>
      </c>
      <c r="E239">
        <v>280</v>
      </c>
      <c r="F239" s="6073">
        <v>1600</v>
      </c>
      <c r="H239" s="6073">
        <v>-1423532.39</v>
      </c>
    </row>
    <row r="240" spans="1:8">
      <c r="A240" t="str">
        <f>"24-04-2026 21:26:06"</f>
        <v>24-04-2026 21:26:06</v>
      </c>
      <c r="B240" t="str">
        <f t="shared" ref="B240:B247" si="11">"25 Apr 2026"</f>
        <v>25 Apr 2026</v>
      </c>
      <c r="C240" t="str">
        <f>""</f>
        <v/>
      </c>
      <c r="D240" t="s">
        <v>2032</v>
      </c>
      <c r="E240">
        <v>280</v>
      </c>
      <c r="F240" t="str">
        <f>"3.00"</f>
        <v>3.00</v>
      </c>
      <c r="H240" s="6073">
        <v>-1423535.39</v>
      </c>
    </row>
    <row r="241" spans="1:8">
      <c r="A241" t="str">
        <f>"25-04-2026 00:24:52"</f>
        <v>25-04-2026 00:24:52</v>
      </c>
      <c r="B241" t="str">
        <f t="shared" si="11"/>
        <v>25 Apr 2026</v>
      </c>
      <c r="C241" t="str">
        <f>""</f>
        <v/>
      </c>
      <c r="D241" t="s">
        <v>2172</v>
      </c>
      <c r="E241">
        <v>280</v>
      </c>
      <c r="F241" s="6073">
        <v>20000</v>
      </c>
      <c r="H241" s="6073">
        <v>-1443535.39</v>
      </c>
    </row>
    <row r="242" spans="1:8">
      <c r="A242" t="str">
        <f>"25-04-2026 00:24:52"</f>
        <v>25-04-2026 00:24:52</v>
      </c>
      <c r="B242" t="str">
        <f t="shared" si="11"/>
        <v>25 Apr 2026</v>
      </c>
      <c r="C242" t="str">
        <f>""</f>
        <v/>
      </c>
      <c r="D242" t="s">
        <v>2032</v>
      </c>
      <c r="E242">
        <v>280</v>
      </c>
      <c r="F242" t="str">
        <f>"6.00"</f>
        <v>6.00</v>
      </c>
      <c r="H242" s="6073">
        <v>-1443541.39</v>
      </c>
    </row>
    <row r="243" spans="1:8">
      <c r="A243" t="str">
        <f>"25-04-2026 11:29:44"</f>
        <v>25-04-2026 11:29:44</v>
      </c>
      <c r="B243" t="str">
        <f t="shared" si="11"/>
        <v>25 Apr 2026</v>
      </c>
      <c r="C243" t="str">
        <f>""</f>
        <v/>
      </c>
      <c r="D243" t="s">
        <v>2173</v>
      </c>
      <c r="E243">
        <v>280</v>
      </c>
      <c r="F243" s="6073">
        <v>5000</v>
      </c>
      <c r="H243" s="6073">
        <v>-1448541.39</v>
      </c>
    </row>
    <row r="244" spans="1:8">
      <c r="A244" t="str">
        <f>"25-04-2026 13:32:07"</f>
        <v>25-04-2026 13:32:07</v>
      </c>
      <c r="B244" t="str">
        <f t="shared" si="11"/>
        <v>25 Apr 2026</v>
      </c>
      <c r="C244" t="str">
        <f>""</f>
        <v/>
      </c>
      <c r="D244" t="s">
        <v>2174</v>
      </c>
      <c r="E244">
        <v>280</v>
      </c>
      <c r="F244" s="6073">
        <v>6665</v>
      </c>
      <c r="H244" s="6073">
        <v>-1455206.39</v>
      </c>
    </row>
    <row r="245" spans="1:8">
      <c r="A245" t="str">
        <f>"25-04-2026 13:32:07"</f>
        <v>25-04-2026 13:32:07</v>
      </c>
      <c r="B245" t="str">
        <f t="shared" si="11"/>
        <v>25 Apr 2026</v>
      </c>
      <c r="C245" t="str">
        <f>""</f>
        <v/>
      </c>
      <c r="D245" t="s">
        <v>2032</v>
      </c>
      <c r="E245">
        <v>280</v>
      </c>
      <c r="F245" t="str">
        <f>"3.00"</f>
        <v>3.00</v>
      </c>
      <c r="H245" s="6073">
        <v>-1455209.39</v>
      </c>
    </row>
    <row r="246" spans="1:8">
      <c r="A246" t="str">
        <f>"25-04-2026 13:33:32"</f>
        <v>25-04-2026 13:33:32</v>
      </c>
      <c r="B246" t="str">
        <f t="shared" si="11"/>
        <v>25 Apr 2026</v>
      </c>
      <c r="C246" t="str">
        <f>""</f>
        <v/>
      </c>
      <c r="D246" t="s">
        <v>2175</v>
      </c>
      <c r="E246">
        <v>280</v>
      </c>
      <c r="F246" t="str">
        <f>"917.00"</f>
        <v>917.00</v>
      </c>
      <c r="H246" s="6073">
        <v>-1456126.39</v>
      </c>
    </row>
    <row r="247" spans="1:8">
      <c r="A247" t="str">
        <f>"25-04-2026 13:33:32"</f>
        <v>25-04-2026 13:33:32</v>
      </c>
      <c r="B247" t="str">
        <f t="shared" si="11"/>
        <v>25 Apr 2026</v>
      </c>
      <c r="C247" t="str">
        <f>""</f>
        <v/>
      </c>
      <c r="D247" t="s">
        <v>2032</v>
      </c>
      <c r="E247">
        <v>280</v>
      </c>
      <c r="F247" t="str">
        <f>"3.00"</f>
        <v>3.00</v>
      </c>
      <c r="H247" s="6073">
        <v>-1456129.39</v>
      </c>
    </row>
    <row r="248" spans="1:8">
      <c r="A248" t="str">
        <f>"27-04-2026 11:58:22"</f>
        <v>27-04-2026 11:58:22</v>
      </c>
      <c r="B248" t="str">
        <f t="shared" ref="B248:B253" si="12">"27 Apr 2026"</f>
        <v>27 Apr 2026</v>
      </c>
      <c r="C248" t="str">
        <f>""</f>
        <v/>
      </c>
      <c r="D248" t="s">
        <v>2176</v>
      </c>
      <c r="E248">
        <v>280</v>
      </c>
      <c r="F248" s="6073">
        <v>308865</v>
      </c>
      <c r="H248" s="6073">
        <v>-1764994.39</v>
      </c>
    </row>
    <row r="249" spans="1:8">
      <c r="A249" t="str">
        <f>"27-04-2026 11:58:22"</f>
        <v>27-04-2026 11:58:22</v>
      </c>
      <c r="B249" t="str">
        <f t="shared" si="12"/>
        <v>27 Apr 2026</v>
      </c>
      <c r="C249" t="str">
        <f>""</f>
        <v/>
      </c>
      <c r="D249" t="s">
        <v>2032</v>
      </c>
      <c r="E249">
        <v>280</v>
      </c>
      <c r="F249" t="str">
        <f>"29.00"</f>
        <v>29.00</v>
      </c>
      <c r="H249" s="6073">
        <v>-1765023.39</v>
      </c>
    </row>
    <row r="250" spans="1:8">
      <c r="A250" t="str">
        <f>"27-04-2026 12:00:48"</f>
        <v>27-04-2026 12:00:48</v>
      </c>
      <c r="B250" t="str">
        <f t="shared" si="12"/>
        <v>27 Apr 2026</v>
      </c>
      <c r="C250" t="str">
        <f>""</f>
        <v/>
      </c>
      <c r="D250" t="s">
        <v>2177</v>
      </c>
      <c r="E250">
        <v>280</v>
      </c>
      <c r="F250" s="6073">
        <v>32760</v>
      </c>
      <c r="H250" s="6073">
        <v>-1797783.39</v>
      </c>
    </row>
    <row r="251" spans="1:8">
      <c r="A251" t="str">
        <f>"27-04-2026 12:00:48"</f>
        <v>27-04-2026 12:00:48</v>
      </c>
      <c r="B251" t="str">
        <f t="shared" si="12"/>
        <v>27 Apr 2026</v>
      </c>
      <c r="C251" t="str">
        <f>""</f>
        <v/>
      </c>
      <c r="D251" t="s">
        <v>2032</v>
      </c>
      <c r="E251">
        <v>280</v>
      </c>
      <c r="F251" t="str">
        <f>"6.00"</f>
        <v>6.00</v>
      </c>
      <c r="H251" s="6073">
        <v>-1797789.39</v>
      </c>
    </row>
    <row r="252" spans="1:8">
      <c r="A252" t="str">
        <f>"27-04-2026 13:29:38"</f>
        <v>27-04-2026 13:29:38</v>
      </c>
      <c r="B252" t="str">
        <f t="shared" si="12"/>
        <v>27 Apr 2026</v>
      </c>
      <c r="C252" t="str">
        <f>""</f>
        <v/>
      </c>
      <c r="D252" t="s">
        <v>2178</v>
      </c>
      <c r="E252">
        <v>280</v>
      </c>
      <c r="F252" s="6073">
        <v>1769275</v>
      </c>
      <c r="H252" s="6073">
        <v>-3567064.39</v>
      </c>
    </row>
    <row r="253" spans="1:8">
      <c r="A253" t="str">
        <f>"27-04-2026 13:29:38"</f>
        <v>27-04-2026 13:29:38</v>
      </c>
      <c r="B253" t="str">
        <f t="shared" si="12"/>
        <v>27 Apr 2026</v>
      </c>
      <c r="C253" t="str">
        <f>""</f>
        <v/>
      </c>
      <c r="D253" t="s">
        <v>2032</v>
      </c>
      <c r="E253">
        <v>280</v>
      </c>
      <c r="F253" t="str">
        <f>"29.00"</f>
        <v>29.00</v>
      </c>
      <c r="H253" s="6073">
        <v>-3567093.39</v>
      </c>
    </row>
    <row r="254" spans="1:8">
      <c r="A254" t="str">
        <f>"30-04-2026 09:24:54"</f>
        <v>30-04-2026 09:24:54</v>
      </c>
      <c r="B254" t="str">
        <f>"30 Apr 2026"</f>
        <v>30 Apr 2026</v>
      </c>
      <c r="C254" t="str">
        <f>""</f>
        <v/>
      </c>
      <c r="D254" t="s">
        <v>2179</v>
      </c>
      <c r="E254">
        <v>280</v>
      </c>
      <c r="F254" s="6073">
        <v>20722.189999999999</v>
      </c>
      <c r="H254" s="6073">
        <v>-3587815.58</v>
      </c>
    </row>
    <row r="255" spans="1:8">
      <c r="A255" t="str">
        <f>"30-04-2026 15:21:23"</f>
        <v>30-04-2026 15:21:23</v>
      </c>
      <c r="B255" t="str">
        <f>"30 Apr 2026"</f>
        <v>30 Apr 2026</v>
      </c>
      <c r="C255" t="str">
        <f>""</f>
        <v/>
      </c>
      <c r="D255" t="s">
        <v>2180</v>
      </c>
      <c r="E255">
        <v>280</v>
      </c>
      <c r="G255" s="6073">
        <v>385161</v>
      </c>
      <c r="H255" s="6073">
        <v>-3202654.58</v>
      </c>
    </row>
    <row r="256" spans="1:8">
      <c r="A256" t="str">
        <f>"01-05-2026 02:15:36"</f>
        <v>01-05-2026 02:15:36</v>
      </c>
      <c r="B256" t="str">
        <f>"30 Apr 2026"</f>
        <v>30 Apr 2026</v>
      </c>
      <c r="C256" t="str">
        <f>" "</f>
        <v xml:space="preserve"> </v>
      </c>
      <c r="D256" t="s">
        <v>2181</v>
      </c>
      <c r="E256">
        <v>280</v>
      </c>
      <c r="F256" s="6073">
        <v>24748</v>
      </c>
      <c r="H256" s="6073">
        <v>-3227402.58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5"/>
  <sheetViews>
    <sheetView tabSelected="1" workbookViewId="0">
      <selection activeCell="K14" sqref="K14"/>
    </sheetView>
  </sheetViews>
  <sheetFormatPr defaultRowHeight="15"/>
  <cols>
    <col min="1" max="1" width="10.42578125" bestFit="1" customWidth="1"/>
    <col min="3" max="4" width="11.7109375" bestFit="1" customWidth="1"/>
    <col min="5" max="5" width="12.42578125" bestFit="1" customWidth="1"/>
  </cols>
  <sheetData>
    <row r="1" spans="1:7">
      <c r="A1" s="6074" t="s">
        <v>2023</v>
      </c>
      <c r="B1" s="6075" t="s">
        <v>2026</v>
      </c>
      <c r="C1" s="6075" t="s">
        <v>2028</v>
      </c>
      <c r="D1" s="6075" t="s">
        <v>2029</v>
      </c>
      <c r="E1" s="6075" t="s">
        <v>2030</v>
      </c>
      <c r="F1" s="6075" t="s">
        <v>2182</v>
      </c>
      <c r="G1" s="6075" t="s">
        <v>2183</v>
      </c>
    </row>
    <row r="2" spans="1:7">
      <c r="A2" s="6076">
        <v>46113</v>
      </c>
      <c r="B2" t="s">
        <v>2031</v>
      </c>
      <c r="C2" s="6073">
        <v>5460</v>
      </c>
      <c r="E2" s="6073">
        <v>-1279254.99</v>
      </c>
      <c r="F2" t="s">
        <v>2184</v>
      </c>
      <c r="G2" t="s">
        <v>1142</v>
      </c>
    </row>
    <row r="3" spans="1:7">
      <c r="A3" s="6076">
        <v>46113</v>
      </c>
      <c r="B3" t="s">
        <v>2032</v>
      </c>
      <c r="C3">
        <v>3</v>
      </c>
      <c r="E3" s="6073">
        <v>-1279257.99</v>
      </c>
      <c r="F3" t="s">
        <v>2184</v>
      </c>
      <c r="G3" t="s">
        <v>1904</v>
      </c>
    </row>
    <row r="4" spans="1:7">
      <c r="A4" s="6076">
        <v>46113</v>
      </c>
      <c r="B4" t="s">
        <v>2033</v>
      </c>
      <c r="C4" s="6073">
        <v>7991</v>
      </c>
      <c r="E4" s="6073">
        <v>-1287248.99</v>
      </c>
      <c r="F4" t="s">
        <v>2184</v>
      </c>
      <c r="G4" t="s">
        <v>1194</v>
      </c>
    </row>
    <row r="5" spans="1:7">
      <c r="A5" s="6076">
        <v>46113</v>
      </c>
      <c r="B5" t="s">
        <v>2032</v>
      </c>
      <c r="C5">
        <v>3</v>
      </c>
      <c r="E5" s="6073">
        <v>-1287251.99</v>
      </c>
      <c r="F5" t="s">
        <v>2184</v>
      </c>
      <c r="G5" t="s">
        <v>1904</v>
      </c>
    </row>
    <row r="6" spans="1:7">
      <c r="A6" s="6076">
        <v>46114</v>
      </c>
      <c r="B6" t="s">
        <v>2034</v>
      </c>
      <c r="C6" s="6073">
        <v>59000</v>
      </c>
      <c r="E6" s="6073">
        <v>-1346251.99</v>
      </c>
      <c r="F6" t="s">
        <v>2184</v>
      </c>
      <c r="G6" t="s">
        <v>436</v>
      </c>
    </row>
    <row r="7" spans="1:7">
      <c r="A7" s="6076">
        <v>46114</v>
      </c>
      <c r="B7" t="s">
        <v>2035</v>
      </c>
      <c r="C7" s="6073">
        <v>9460</v>
      </c>
      <c r="E7" s="6073">
        <v>-1355711.99</v>
      </c>
      <c r="F7" t="s">
        <v>2184</v>
      </c>
      <c r="G7" t="s">
        <v>1261</v>
      </c>
    </row>
    <row r="8" spans="1:7">
      <c r="A8" s="6076">
        <v>46114</v>
      </c>
      <c r="B8" t="s">
        <v>2032</v>
      </c>
      <c r="C8">
        <v>3</v>
      </c>
      <c r="E8" s="6073">
        <v>-1355714.99</v>
      </c>
      <c r="F8" t="s">
        <v>2184</v>
      </c>
      <c r="G8" t="s">
        <v>1904</v>
      </c>
    </row>
    <row r="9" spans="1:7">
      <c r="A9" s="6076">
        <v>46114</v>
      </c>
      <c r="B9" t="s">
        <v>2036</v>
      </c>
      <c r="C9" s="6073">
        <v>2030</v>
      </c>
      <c r="E9" s="6073">
        <v>-1357744.99</v>
      </c>
      <c r="F9" t="s">
        <v>2184</v>
      </c>
      <c r="G9" t="s">
        <v>1261</v>
      </c>
    </row>
    <row r="10" spans="1:7">
      <c r="A10" s="6076">
        <v>46114</v>
      </c>
      <c r="B10" t="s">
        <v>2032</v>
      </c>
      <c r="C10">
        <v>3</v>
      </c>
      <c r="E10" s="6073">
        <v>-1357747.99</v>
      </c>
      <c r="F10" t="s">
        <v>2184</v>
      </c>
      <c r="G10" t="s">
        <v>1904</v>
      </c>
    </row>
    <row r="11" spans="1:7">
      <c r="A11" s="6076">
        <v>46114</v>
      </c>
      <c r="B11" t="s">
        <v>2037</v>
      </c>
      <c r="C11" s="6073">
        <v>1000</v>
      </c>
      <c r="E11" s="6073">
        <v>-1358747.99</v>
      </c>
      <c r="F11" t="s">
        <v>2184</v>
      </c>
      <c r="G11" t="s">
        <v>1345</v>
      </c>
    </row>
    <row r="12" spans="1:7">
      <c r="A12" s="6076">
        <v>46114</v>
      </c>
      <c r="B12" t="s">
        <v>2032</v>
      </c>
      <c r="C12">
        <v>3</v>
      </c>
      <c r="E12" s="6073">
        <v>-1358750.99</v>
      </c>
      <c r="F12" t="s">
        <v>2184</v>
      </c>
      <c r="G12" t="s">
        <v>1904</v>
      </c>
    </row>
    <row r="13" spans="1:7">
      <c r="A13" s="6076">
        <v>46114</v>
      </c>
      <c r="B13" t="s">
        <v>2038</v>
      </c>
      <c r="C13" s="6073">
        <v>1043000</v>
      </c>
      <c r="E13" s="6073">
        <v>-2401750.9900000002</v>
      </c>
      <c r="F13" t="s">
        <v>2184</v>
      </c>
      <c r="G13" t="s">
        <v>1345</v>
      </c>
    </row>
    <row r="14" spans="1:7">
      <c r="A14" s="6076">
        <v>46114</v>
      </c>
      <c r="B14" t="s">
        <v>2032</v>
      </c>
      <c r="C14">
        <v>29</v>
      </c>
      <c r="E14" s="6073">
        <v>-2401779.9900000002</v>
      </c>
      <c r="F14" t="s">
        <v>2184</v>
      </c>
      <c r="G14" t="s">
        <v>1904</v>
      </c>
    </row>
    <row r="15" spans="1:7">
      <c r="A15" s="6076">
        <v>46114</v>
      </c>
      <c r="B15" t="s">
        <v>2039</v>
      </c>
      <c r="C15" s="6073">
        <v>22500</v>
      </c>
      <c r="E15" s="6073">
        <v>-2424279.9900000002</v>
      </c>
      <c r="F15" t="s">
        <v>2184</v>
      </c>
      <c r="G15" t="s">
        <v>1326</v>
      </c>
    </row>
    <row r="16" spans="1:7">
      <c r="A16" s="6076">
        <v>46114</v>
      </c>
      <c r="B16" t="s">
        <v>2032</v>
      </c>
      <c r="C16">
        <v>6</v>
      </c>
      <c r="E16" s="6073">
        <v>-2424285.9900000002</v>
      </c>
      <c r="F16" t="s">
        <v>2184</v>
      </c>
      <c r="G16" t="s">
        <v>1904</v>
      </c>
    </row>
    <row r="17" spans="1:7">
      <c r="A17" s="6076">
        <v>46115</v>
      </c>
      <c r="B17" t="s">
        <v>2040</v>
      </c>
      <c r="D17" s="6073">
        <v>346580</v>
      </c>
      <c r="E17" s="6073">
        <v>-2077705.99</v>
      </c>
      <c r="F17" t="s">
        <v>2185</v>
      </c>
      <c r="G17" t="s">
        <v>5</v>
      </c>
    </row>
    <row r="18" spans="1:7">
      <c r="A18" s="6076">
        <v>46115</v>
      </c>
      <c r="B18" t="s">
        <v>2041</v>
      </c>
      <c r="C18" s="6073">
        <v>236956</v>
      </c>
      <c r="E18" s="6073">
        <v>-2314661.9900000002</v>
      </c>
      <c r="F18" t="s">
        <v>2184</v>
      </c>
      <c r="G18" t="s">
        <v>1201</v>
      </c>
    </row>
    <row r="19" spans="1:7">
      <c r="A19" s="6076">
        <v>46115</v>
      </c>
      <c r="B19" t="s">
        <v>2032</v>
      </c>
      <c r="C19">
        <v>29</v>
      </c>
      <c r="E19" s="6073">
        <v>-2314690.9900000002</v>
      </c>
      <c r="F19" t="s">
        <v>2184</v>
      </c>
      <c r="G19" t="s">
        <v>1904</v>
      </c>
    </row>
    <row r="20" spans="1:7">
      <c r="A20" s="6076">
        <v>46115</v>
      </c>
      <c r="B20" t="s">
        <v>2042</v>
      </c>
      <c r="C20" s="6073">
        <v>7952</v>
      </c>
      <c r="E20" s="6073">
        <v>-2322642.9900000002</v>
      </c>
      <c r="F20" t="s">
        <v>2184</v>
      </c>
      <c r="G20" t="s">
        <v>1388</v>
      </c>
    </row>
    <row r="21" spans="1:7">
      <c r="A21" s="6076">
        <v>46115</v>
      </c>
      <c r="B21" t="s">
        <v>2032</v>
      </c>
      <c r="C21">
        <v>3</v>
      </c>
      <c r="E21" s="6073">
        <v>-2322645.9900000002</v>
      </c>
      <c r="F21" t="s">
        <v>2184</v>
      </c>
      <c r="G21" t="s">
        <v>1904</v>
      </c>
    </row>
    <row r="22" spans="1:7">
      <c r="A22" s="6076">
        <v>46115</v>
      </c>
      <c r="B22" t="s">
        <v>2043</v>
      </c>
      <c r="D22" s="6073">
        <v>745520</v>
      </c>
      <c r="E22" s="6073">
        <v>-1577125.99</v>
      </c>
      <c r="F22" t="s">
        <v>2185</v>
      </c>
      <c r="G22" t="s">
        <v>5</v>
      </c>
    </row>
    <row r="23" spans="1:7">
      <c r="A23" s="6076">
        <v>46115</v>
      </c>
      <c r="B23" t="s">
        <v>2044</v>
      </c>
      <c r="C23" s="6073">
        <v>33275</v>
      </c>
      <c r="E23" s="6073">
        <v>-1610400.99</v>
      </c>
      <c r="F23" t="s">
        <v>2184</v>
      </c>
      <c r="G23" t="s">
        <v>1272</v>
      </c>
    </row>
    <row r="24" spans="1:7">
      <c r="A24" s="6076">
        <v>46115</v>
      </c>
      <c r="B24" t="s">
        <v>2032</v>
      </c>
      <c r="C24">
        <v>6</v>
      </c>
      <c r="E24" s="6073">
        <v>-1610406.99</v>
      </c>
      <c r="F24" t="s">
        <v>2184</v>
      </c>
      <c r="G24" t="s">
        <v>1904</v>
      </c>
    </row>
    <row r="25" spans="1:7">
      <c r="A25" s="6076">
        <v>46115</v>
      </c>
      <c r="B25" t="s">
        <v>2045</v>
      </c>
      <c r="C25" s="6073">
        <v>1711725</v>
      </c>
      <c r="E25" s="6073">
        <v>-3322131.99</v>
      </c>
      <c r="F25" t="s">
        <v>2184</v>
      </c>
      <c r="G25" t="s">
        <v>461</v>
      </c>
    </row>
    <row r="26" spans="1:7">
      <c r="A26" s="6076">
        <v>46115</v>
      </c>
      <c r="B26" t="s">
        <v>2032</v>
      </c>
      <c r="C26">
        <v>29</v>
      </c>
      <c r="E26" s="6073">
        <v>-3322160.99</v>
      </c>
      <c r="F26" t="s">
        <v>2184</v>
      </c>
      <c r="G26" t="s">
        <v>1904</v>
      </c>
    </row>
    <row r="27" spans="1:7">
      <c r="A27" s="6076">
        <v>46117</v>
      </c>
      <c r="B27" t="s">
        <v>2046</v>
      </c>
      <c r="C27" s="6073">
        <v>22500</v>
      </c>
      <c r="E27" s="6073">
        <v>-3344660.99</v>
      </c>
      <c r="F27" t="s">
        <v>2184</v>
      </c>
      <c r="G27" t="s">
        <v>1142</v>
      </c>
    </row>
    <row r="28" spans="1:7">
      <c r="A28" s="6076">
        <v>46117</v>
      </c>
      <c r="B28" t="s">
        <v>2032</v>
      </c>
      <c r="C28">
        <v>6</v>
      </c>
      <c r="E28" s="6073">
        <v>-3344666.99</v>
      </c>
      <c r="F28" t="s">
        <v>2184</v>
      </c>
      <c r="G28" t="s">
        <v>1904</v>
      </c>
    </row>
    <row r="29" spans="1:7">
      <c r="A29" s="6076">
        <v>46117</v>
      </c>
      <c r="B29" t="s">
        <v>2047</v>
      </c>
      <c r="C29" s="6073">
        <v>1770</v>
      </c>
      <c r="E29" s="6073">
        <v>-3346436.99</v>
      </c>
      <c r="F29" t="s">
        <v>2184</v>
      </c>
      <c r="G29" t="s">
        <v>2186</v>
      </c>
    </row>
    <row r="30" spans="1:7">
      <c r="A30" s="6076">
        <v>46117</v>
      </c>
      <c r="B30" t="s">
        <v>2048</v>
      </c>
      <c r="C30" s="6073">
        <v>114232</v>
      </c>
      <c r="E30" s="6073">
        <v>-3460668.99</v>
      </c>
      <c r="F30" t="s">
        <v>2184</v>
      </c>
      <c r="G30" t="s">
        <v>1798</v>
      </c>
    </row>
    <row r="31" spans="1:7">
      <c r="A31" s="6076">
        <v>46118</v>
      </c>
      <c r="B31" t="s">
        <v>2049</v>
      </c>
      <c r="C31" s="6073">
        <v>48519.96</v>
      </c>
      <c r="E31" s="6073">
        <v>-3509188.95</v>
      </c>
      <c r="F31" t="s">
        <v>2184</v>
      </c>
      <c r="G31" t="s">
        <v>1607</v>
      </c>
    </row>
    <row r="32" spans="1:7">
      <c r="A32" s="6076">
        <v>46118</v>
      </c>
      <c r="B32" t="s">
        <v>2050</v>
      </c>
      <c r="D32" s="6073">
        <v>84804</v>
      </c>
      <c r="E32" s="6073">
        <v>-3424384.95</v>
      </c>
      <c r="F32" t="s">
        <v>2185</v>
      </c>
      <c r="G32" t="s">
        <v>5</v>
      </c>
    </row>
    <row r="33" spans="1:7">
      <c r="A33" s="6076">
        <v>46118</v>
      </c>
      <c r="B33" t="s">
        <v>2051</v>
      </c>
      <c r="D33" s="6073">
        <v>405199</v>
      </c>
      <c r="E33" s="6073">
        <v>-3019185.95</v>
      </c>
      <c r="F33" t="s">
        <v>2185</v>
      </c>
      <c r="G33" t="s">
        <v>5</v>
      </c>
    </row>
    <row r="34" spans="1:7">
      <c r="A34" s="6076">
        <v>46119</v>
      </c>
      <c r="B34" t="s">
        <v>2052</v>
      </c>
      <c r="D34" s="6073">
        <v>1374075</v>
      </c>
      <c r="E34" s="6073">
        <v>-1645110.95</v>
      </c>
      <c r="F34" t="s">
        <v>2185</v>
      </c>
      <c r="G34" t="s">
        <v>5</v>
      </c>
    </row>
    <row r="35" spans="1:7">
      <c r="A35" s="6076">
        <v>46119</v>
      </c>
      <c r="B35" t="s">
        <v>2053</v>
      </c>
      <c r="C35" s="6073">
        <v>159076</v>
      </c>
      <c r="E35" s="6073">
        <v>-1804186.95</v>
      </c>
      <c r="F35" t="s">
        <v>2184</v>
      </c>
      <c r="G35" t="s">
        <v>1286</v>
      </c>
    </row>
    <row r="36" spans="1:7">
      <c r="A36" s="6076">
        <v>46119</v>
      </c>
      <c r="B36" t="s">
        <v>2032</v>
      </c>
      <c r="C36">
        <v>17</v>
      </c>
      <c r="E36" s="6073">
        <v>-1804203.95</v>
      </c>
      <c r="F36" t="s">
        <v>2184</v>
      </c>
      <c r="G36" t="s">
        <v>1904</v>
      </c>
    </row>
    <row r="37" spans="1:7">
      <c r="A37" s="6076">
        <v>46119</v>
      </c>
      <c r="B37" t="s">
        <v>2054</v>
      </c>
      <c r="C37" s="6073">
        <v>140420</v>
      </c>
      <c r="E37" s="6073">
        <v>-1944623.95</v>
      </c>
      <c r="F37" t="s">
        <v>2184</v>
      </c>
      <c r="G37" t="s">
        <v>1274</v>
      </c>
    </row>
    <row r="38" spans="1:7">
      <c r="A38" s="6076">
        <v>46119</v>
      </c>
      <c r="B38" t="s">
        <v>2032</v>
      </c>
      <c r="C38">
        <v>17</v>
      </c>
      <c r="E38" s="6073">
        <v>-1944640.95</v>
      </c>
      <c r="F38" t="s">
        <v>2184</v>
      </c>
      <c r="G38" t="s">
        <v>1904</v>
      </c>
    </row>
    <row r="39" spans="1:7">
      <c r="A39" s="6076">
        <v>46119</v>
      </c>
      <c r="B39" t="s">
        <v>2055</v>
      </c>
      <c r="C39" s="6073">
        <v>89187</v>
      </c>
      <c r="E39" s="6073">
        <v>-2033827.95</v>
      </c>
      <c r="F39" t="s">
        <v>2184</v>
      </c>
      <c r="G39" t="s">
        <v>1112</v>
      </c>
    </row>
    <row r="40" spans="1:7">
      <c r="A40" s="6076">
        <v>46119</v>
      </c>
      <c r="B40" t="s">
        <v>2056</v>
      </c>
      <c r="C40" s="6073">
        <v>92400</v>
      </c>
      <c r="E40" s="6073">
        <v>-2126227.9500000002</v>
      </c>
      <c r="F40" t="s">
        <v>2184</v>
      </c>
      <c r="G40" t="s">
        <v>1112</v>
      </c>
    </row>
    <row r="41" spans="1:7">
      <c r="A41" s="6076">
        <v>46119</v>
      </c>
      <c r="B41" t="s">
        <v>2057</v>
      </c>
      <c r="C41" s="6073">
        <v>19838</v>
      </c>
      <c r="E41" s="6073">
        <v>-2146065.9500000002</v>
      </c>
      <c r="F41" t="s">
        <v>2184</v>
      </c>
      <c r="G41" t="s">
        <v>1112</v>
      </c>
    </row>
    <row r="42" spans="1:7">
      <c r="A42" s="6076">
        <v>46119</v>
      </c>
      <c r="B42" t="s">
        <v>2058</v>
      </c>
      <c r="C42" s="6073">
        <v>5325</v>
      </c>
      <c r="E42" s="6073">
        <v>-2151390.9500000002</v>
      </c>
      <c r="F42" t="s">
        <v>2184</v>
      </c>
      <c r="G42" t="s">
        <v>1112</v>
      </c>
    </row>
    <row r="43" spans="1:7">
      <c r="A43" s="6076">
        <v>46119</v>
      </c>
      <c r="B43" t="s">
        <v>2059</v>
      </c>
      <c r="C43">
        <v>840</v>
      </c>
      <c r="E43" s="6073">
        <v>-2152230.9500000002</v>
      </c>
      <c r="F43" t="s">
        <v>2184</v>
      </c>
      <c r="G43" t="s">
        <v>1112</v>
      </c>
    </row>
    <row r="44" spans="1:7">
      <c r="A44" s="6076">
        <v>46120</v>
      </c>
      <c r="B44" t="s">
        <v>2060</v>
      </c>
      <c r="C44" s="6073">
        <v>200000</v>
      </c>
      <c r="E44" s="6073">
        <v>-2352230.9500000002</v>
      </c>
      <c r="F44" t="s">
        <v>2184</v>
      </c>
      <c r="G44" t="s">
        <v>1223</v>
      </c>
    </row>
    <row r="45" spans="1:7">
      <c r="A45" s="6076">
        <v>46120</v>
      </c>
      <c r="B45" t="s">
        <v>2032</v>
      </c>
      <c r="C45">
        <v>17</v>
      </c>
      <c r="E45" s="6073">
        <v>-2352247.9500000002</v>
      </c>
      <c r="F45" t="s">
        <v>2184</v>
      </c>
      <c r="G45" t="s">
        <v>1904</v>
      </c>
    </row>
    <row r="46" spans="1:7">
      <c r="A46" s="6076">
        <v>46120</v>
      </c>
      <c r="B46" t="s">
        <v>2061</v>
      </c>
      <c r="D46" s="6073">
        <v>383801.8</v>
      </c>
      <c r="E46" s="6073">
        <v>-1968446.15</v>
      </c>
      <c r="F46" t="s">
        <v>2185</v>
      </c>
      <c r="G46" t="s">
        <v>5</v>
      </c>
    </row>
    <row r="47" spans="1:7">
      <c r="A47" s="6076">
        <v>46120</v>
      </c>
      <c r="B47" t="s">
        <v>2062</v>
      </c>
      <c r="C47" s="6073">
        <v>7218</v>
      </c>
      <c r="E47" s="6073">
        <v>-1975664.15</v>
      </c>
      <c r="F47" t="s">
        <v>2184</v>
      </c>
      <c r="G47" t="s">
        <v>1135</v>
      </c>
    </row>
    <row r="48" spans="1:7">
      <c r="A48" s="6076">
        <v>46120</v>
      </c>
      <c r="B48" t="s">
        <v>2032</v>
      </c>
      <c r="C48">
        <v>3</v>
      </c>
      <c r="E48" s="6073">
        <v>-1975667.15</v>
      </c>
      <c r="F48" t="s">
        <v>2184</v>
      </c>
      <c r="G48" t="s">
        <v>1904</v>
      </c>
    </row>
    <row r="49" spans="1:7">
      <c r="A49" s="6076">
        <v>46120</v>
      </c>
      <c r="B49" t="s">
        <v>2063</v>
      </c>
      <c r="C49" s="6073">
        <v>18450</v>
      </c>
      <c r="E49" s="6073">
        <v>-1994117.15</v>
      </c>
      <c r="F49" t="s">
        <v>2184</v>
      </c>
      <c r="G49" t="s">
        <v>1148</v>
      </c>
    </row>
    <row r="50" spans="1:7">
      <c r="A50" s="6076">
        <v>46120</v>
      </c>
      <c r="B50" t="s">
        <v>2032</v>
      </c>
      <c r="C50">
        <v>6</v>
      </c>
      <c r="E50" s="6073">
        <v>-1994123.15</v>
      </c>
      <c r="F50" t="s">
        <v>2184</v>
      </c>
      <c r="G50" t="s">
        <v>1904</v>
      </c>
    </row>
    <row r="51" spans="1:7">
      <c r="A51" s="6076">
        <v>46120</v>
      </c>
      <c r="B51" t="s">
        <v>2064</v>
      </c>
      <c r="C51" s="6073">
        <v>22000</v>
      </c>
      <c r="E51" s="6073">
        <v>-2016123.15</v>
      </c>
      <c r="F51" t="s">
        <v>2184</v>
      </c>
      <c r="G51" t="s">
        <v>1142</v>
      </c>
    </row>
    <row r="52" spans="1:7">
      <c r="A52" s="6076">
        <v>46120</v>
      </c>
      <c r="B52" t="s">
        <v>2032</v>
      </c>
      <c r="C52">
        <v>6</v>
      </c>
      <c r="E52" s="6073">
        <v>-2016129.15</v>
      </c>
      <c r="F52" t="s">
        <v>2184</v>
      </c>
      <c r="G52" t="s">
        <v>1904</v>
      </c>
    </row>
    <row r="53" spans="1:7">
      <c r="A53" s="6076">
        <v>46120</v>
      </c>
      <c r="B53" t="s">
        <v>2065</v>
      </c>
      <c r="C53" s="6073">
        <v>12012</v>
      </c>
      <c r="E53" s="6073">
        <v>-2028141.15</v>
      </c>
      <c r="F53" t="s">
        <v>2184</v>
      </c>
      <c r="G53" t="s">
        <v>1164</v>
      </c>
    </row>
    <row r="54" spans="1:7">
      <c r="A54" s="6076">
        <v>46120</v>
      </c>
      <c r="B54" t="s">
        <v>2032</v>
      </c>
      <c r="C54">
        <v>6</v>
      </c>
      <c r="E54" s="6073">
        <v>-2028147.15</v>
      </c>
      <c r="F54" t="s">
        <v>2184</v>
      </c>
      <c r="G54" t="s">
        <v>1904</v>
      </c>
    </row>
    <row r="55" spans="1:7">
      <c r="A55" s="6076">
        <v>46120</v>
      </c>
      <c r="B55" t="s">
        <v>2066</v>
      </c>
      <c r="C55" s="6073">
        <v>36468</v>
      </c>
      <c r="E55" s="6073">
        <v>-2064615.15</v>
      </c>
      <c r="F55" t="s">
        <v>2184</v>
      </c>
      <c r="G55" t="s">
        <v>1176</v>
      </c>
    </row>
    <row r="56" spans="1:7">
      <c r="A56" s="6076">
        <v>46120</v>
      </c>
      <c r="B56" t="s">
        <v>2032</v>
      </c>
      <c r="C56">
        <v>6</v>
      </c>
      <c r="E56" s="6073">
        <v>-2064621.15</v>
      </c>
      <c r="F56" t="s">
        <v>2184</v>
      </c>
      <c r="G56" t="s">
        <v>1904</v>
      </c>
    </row>
    <row r="57" spans="1:7">
      <c r="A57" s="6076">
        <v>46120</v>
      </c>
      <c r="B57" t="s">
        <v>2067</v>
      </c>
      <c r="C57" s="6073">
        <v>9474</v>
      </c>
      <c r="E57" s="6073">
        <v>-2074095.15</v>
      </c>
      <c r="F57" t="s">
        <v>2184</v>
      </c>
      <c r="G57" t="s">
        <v>1155</v>
      </c>
    </row>
    <row r="58" spans="1:7">
      <c r="A58" s="6076">
        <v>46120</v>
      </c>
      <c r="B58" t="s">
        <v>2032</v>
      </c>
      <c r="C58">
        <v>3</v>
      </c>
      <c r="E58" s="6073">
        <v>-2074098.15</v>
      </c>
      <c r="F58" t="s">
        <v>2184</v>
      </c>
      <c r="G58" t="s">
        <v>1904</v>
      </c>
    </row>
    <row r="59" spans="1:7">
      <c r="A59" s="6076">
        <v>46120</v>
      </c>
      <c r="B59" t="s">
        <v>2068</v>
      </c>
      <c r="C59" s="6073">
        <v>9170</v>
      </c>
      <c r="E59" s="6073">
        <v>-2083268.15</v>
      </c>
      <c r="F59" t="s">
        <v>2184</v>
      </c>
      <c r="G59" t="s">
        <v>1170</v>
      </c>
    </row>
    <row r="60" spans="1:7">
      <c r="A60" s="6076">
        <v>46120</v>
      </c>
      <c r="B60" t="s">
        <v>2032</v>
      </c>
      <c r="C60">
        <v>3</v>
      </c>
      <c r="E60" s="6073">
        <v>-2083271.15</v>
      </c>
      <c r="F60" t="s">
        <v>2184</v>
      </c>
      <c r="G60" t="s">
        <v>1904</v>
      </c>
    </row>
    <row r="61" spans="1:7">
      <c r="A61" s="6076">
        <v>46120</v>
      </c>
      <c r="B61" t="s">
        <v>2069</v>
      </c>
      <c r="C61" s="6073">
        <v>9258</v>
      </c>
      <c r="E61" s="6073">
        <v>-2092529.15</v>
      </c>
      <c r="F61" t="s">
        <v>2184</v>
      </c>
      <c r="G61" t="s">
        <v>1172</v>
      </c>
    </row>
    <row r="62" spans="1:7">
      <c r="A62" s="6076">
        <v>46120</v>
      </c>
      <c r="B62" t="s">
        <v>2032</v>
      </c>
      <c r="C62">
        <v>3</v>
      </c>
      <c r="E62" s="6073">
        <v>-2092532.15</v>
      </c>
      <c r="F62" t="s">
        <v>2184</v>
      </c>
      <c r="G62" t="s">
        <v>1904</v>
      </c>
    </row>
    <row r="63" spans="1:7">
      <c r="A63" s="6076">
        <v>46120</v>
      </c>
      <c r="B63" t="s">
        <v>2070</v>
      </c>
      <c r="C63" s="6073">
        <v>17074</v>
      </c>
      <c r="E63" s="6073">
        <v>-2109606.15</v>
      </c>
      <c r="F63" t="s">
        <v>2184</v>
      </c>
      <c r="G63" t="s">
        <v>1146</v>
      </c>
    </row>
    <row r="64" spans="1:7">
      <c r="A64" s="6076">
        <v>46120</v>
      </c>
      <c r="B64" t="s">
        <v>2032</v>
      </c>
      <c r="C64">
        <v>6</v>
      </c>
      <c r="E64" s="6073">
        <v>-2109612.15</v>
      </c>
      <c r="F64" t="s">
        <v>2184</v>
      </c>
      <c r="G64" t="s">
        <v>1904</v>
      </c>
    </row>
    <row r="65" spans="1:7">
      <c r="A65" s="6076">
        <v>46120</v>
      </c>
      <c r="B65" t="s">
        <v>2071</v>
      </c>
      <c r="C65" s="6073">
        <v>9258</v>
      </c>
      <c r="E65" s="6073">
        <v>-2118870.15</v>
      </c>
      <c r="F65" t="s">
        <v>2184</v>
      </c>
      <c r="G65" t="s">
        <v>1160</v>
      </c>
    </row>
    <row r="66" spans="1:7">
      <c r="A66" s="6076">
        <v>46120</v>
      </c>
      <c r="B66" t="s">
        <v>2032</v>
      </c>
      <c r="C66">
        <v>3</v>
      </c>
      <c r="E66" s="6073">
        <v>-2118873.15</v>
      </c>
      <c r="F66" t="s">
        <v>2184</v>
      </c>
      <c r="G66" t="s">
        <v>1904</v>
      </c>
    </row>
    <row r="67" spans="1:7">
      <c r="A67" s="6076">
        <v>46120</v>
      </c>
      <c r="B67" t="s">
        <v>2072</v>
      </c>
      <c r="C67" s="6073">
        <v>7202</v>
      </c>
      <c r="E67" s="6073">
        <v>-2126075.15</v>
      </c>
      <c r="F67" t="s">
        <v>2184</v>
      </c>
      <c r="G67" t="s">
        <v>1168</v>
      </c>
    </row>
    <row r="68" spans="1:7">
      <c r="A68" s="6076">
        <v>46120</v>
      </c>
      <c r="B68" t="s">
        <v>2032</v>
      </c>
      <c r="C68">
        <v>3</v>
      </c>
      <c r="E68" s="6073">
        <v>-2126078.15</v>
      </c>
      <c r="F68" t="s">
        <v>2184</v>
      </c>
      <c r="G68" t="s">
        <v>1904</v>
      </c>
    </row>
    <row r="69" spans="1:7">
      <c r="A69" s="6076">
        <v>46120</v>
      </c>
      <c r="B69" t="s">
        <v>2073</v>
      </c>
      <c r="C69" s="6073">
        <v>44000</v>
      </c>
      <c r="E69" s="6073">
        <v>-2170078.15</v>
      </c>
      <c r="F69" t="s">
        <v>2184</v>
      </c>
      <c r="G69" t="s">
        <v>1153</v>
      </c>
    </row>
    <row r="70" spans="1:7">
      <c r="A70" s="6076">
        <v>46120</v>
      </c>
      <c r="B70" t="s">
        <v>2032</v>
      </c>
      <c r="C70">
        <v>6</v>
      </c>
      <c r="E70" s="6073">
        <v>-2170084.15</v>
      </c>
      <c r="F70" t="s">
        <v>2184</v>
      </c>
      <c r="G70" t="s">
        <v>1904</v>
      </c>
    </row>
    <row r="71" spans="1:7">
      <c r="A71" s="6076">
        <v>46120</v>
      </c>
      <c r="B71" t="s">
        <v>2074</v>
      </c>
      <c r="C71" s="6073">
        <v>83000</v>
      </c>
      <c r="E71" s="6073">
        <v>-2253084.15</v>
      </c>
      <c r="F71" t="s">
        <v>2184</v>
      </c>
      <c r="G71" t="s">
        <v>1175</v>
      </c>
    </row>
    <row r="72" spans="1:7">
      <c r="A72" s="6076">
        <v>46120</v>
      </c>
      <c r="B72" t="s">
        <v>2032</v>
      </c>
      <c r="C72">
        <v>6</v>
      </c>
      <c r="E72" s="6073">
        <v>-2253090.15</v>
      </c>
      <c r="F72" t="s">
        <v>2184</v>
      </c>
      <c r="G72" t="s">
        <v>1904</v>
      </c>
    </row>
    <row r="73" spans="1:7">
      <c r="A73" s="6076">
        <v>46120</v>
      </c>
      <c r="B73" t="s">
        <v>2075</v>
      </c>
      <c r="C73" s="6073">
        <v>178000</v>
      </c>
      <c r="E73" s="6073">
        <v>-2431090.15</v>
      </c>
      <c r="F73" t="s">
        <v>2184</v>
      </c>
      <c r="G73" t="s">
        <v>1149</v>
      </c>
    </row>
    <row r="74" spans="1:7">
      <c r="A74" s="6076">
        <v>46120</v>
      </c>
      <c r="B74" t="s">
        <v>2032</v>
      </c>
      <c r="C74">
        <v>17</v>
      </c>
      <c r="E74" s="6073">
        <v>-2431107.15</v>
      </c>
      <c r="F74" t="s">
        <v>2184</v>
      </c>
      <c r="G74" t="s">
        <v>1904</v>
      </c>
    </row>
    <row r="75" spans="1:7">
      <c r="A75" s="6076">
        <v>46120</v>
      </c>
      <c r="B75" t="s">
        <v>2076</v>
      </c>
      <c r="C75" s="6073">
        <v>167200</v>
      </c>
      <c r="E75" s="6073">
        <v>-2598307.15</v>
      </c>
      <c r="F75" t="s">
        <v>2184</v>
      </c>
      <c r="G75" t="s">
        <v>1128</v>
      </c>
    </row>
    <row r="76" spans="1:7">
      <c r="A76" s="6076">
        <v>46120</v>
      </c>
      <c r="B76" t="s">
        <v>2032</v>
      </c>
      <c r="C76">
        <v>17</v>
      </c>
      <c r="E76" s="6073">
        <v>-2598324.15</v>
      </c>
      <c r="F76" t="s">
        <v>2184</v>
      </c>
      <c r="G76" t="s">
        <v>1904</v>
      </c>
    </row>
    <row r="77" spans="1:7">
      <c r="A77" s="6076">
        <v>46120</v>
      </c>
      <c r="B77" t="s">
        <v>2077</v>
      </c>
      <c r="C77" s="6073">
        <v>156400</v>
      </c>
      <c r="E77" s="6073">
        <v>-2754724.15</v>
      </c>
      <c r="F77" t="s">
        <v>2184</v>
      </c>
      <c r="G77" t="s">
        <v>1130</v>
      </c>
    </row>
    <row r="78" spans="1:7">
      <c r="A78" s="6076">
        <v>46120</v>
      </c>
      <c r="B78" t="s">
        <v>2032</v>
      </c>
      <c r="C78">
        <v>17</v>
      </c>
      <c r="E78" s="6073">
        <v>-2754741.15</v>
      </c>
      <c r="F78" t="s">
        <v>2184</v>
      </c>
      <c r="G78" t="s">
        <v>1904</v>
      </c>
    </row>
    <row r="79" spans="1:7">
      <c r="A79" s="6076">
        <v>46120</v>
      </c>
      <c r="B79" t="s">
        <v>2078</v>
      </c>
      <c r="C79" s="6073">
        <v>8915</v>
      </c>
      <c r="E79" s="6073">
        <v>-2763656.15</v>
      </c>
      <c r="F79" t="s">
        <v>2184</v>
      </c>
      <c r="G79" t="s">
        <v>1171</v>
      </c>
    </row>
    <row r="80" spans="1:7">
      <c r="A80" s="6076">
        <v>46120</v>
      </c>
      <c r="B80" t="s">
        <v>2079</v>
      </c>
      <c r="C80" s="6073">
        <v>4629</v>
      </c>
      <c r="E80" s="6073">
        <v>-2768285.15</v>
      </c>
      <c r="F80" t="s">
        <v>2184</v>
      </c>
      <c r="G80" t="s">
        <v>1156</v>
      </c>
    </row>
    <row r="81" spans="1:7">
      <c r="A81" s="6076">
        <v>46120</v>
      </c>
      <c r="B81" t="s">
        <v>2032</v>
      </c>
      <c r="C81">
        <v>3</v>
      </c>
      <c r="E81" s="6073">
        <v>-2768288.15</v>
      </c>
      <c r="F81" t="s">
        <v>2184</v>
      </c>
      <c r="G81" t="s">
        <v>1904</v>
      </c>
    </row>
    <row r="82" spans="1:7">
      <c r="A82" s="6076">
        <v>46120</v>
      </c>
      <c r="B82" t="s">
        <v>2080</v>
      </c>
      <c r="C82" s="6073">
        <v>9854</v>
      </c>
      <c r="E82" s="6073">
        <v>-2778142.15</v>
      </c>
      <c r="F82" t="s">
        <v>2184</v>
      </c>
      <c r="G82" t="s">
        <v>1159</v>
      </c>
    </row>
    <row r="83" spans="1:7">
      <c r="A83" s="6076">
        <v>46120</v>
      </c>
      <c r="B83" t="s">
        <v>2032</v>
      </c>
      <c r="C83">
        <v>3</v>
      </c>
      <c r="E83" s="6073">
        <v>-2778145.15</v>
      </c>
      <c r="F83" t="s">
        <v>2184</v>
      </c>
      <c r="G83" t="s">
        <v>1904</v>
      </c>
    </row>
    <row r="84" spans="1:7">
      <c r="A84" s="6076">
        <v>46120</v>
      </c>
      <c r="B84" t="s">
        <v>2081</v>
      </c>
      <c r="C84" s="6073">
        <v>3086</v>
      </c>
      <c r="E84" s="6073">
        <v>-2781231.15</v>
      </c>
      <c r="F84" t="s">
        <v>2184</v>
      </c>
      <c r="G84" t="s">
        <v>1161</v>
      </c>
    </row>
    <row r="85" spans="1:7">
      <c r="A85" s="6076">
        <v>46120</v>
      </c>
      <c r="B85" t="s">
        <v>2032</v>
      </c>
      <c r="C85">
        <v>3</v>
      </c>
      <c r="E85" s="6073">
        <v>-2781234.15</v>
      </c>
      <c r="F85" t="s">
        <v>2184</v>
      </c>
      <c r="G85" t="s">
        <v>1904</v>
      </c>
    </row>
    <row r="86" spans="1:7">
      <c r="A86" s="6076">
        <v>46120</v>
      </c>
      <c r="B86" t="s">
        <v>2082</v>
      </c>
      <c r="C86" s="6073">
        <v>81200</v>
      </c>
      <c r="E86" s="6073">
        <v>-2862434.15</v>
      </c>
      <c r="F86" t="s">
        <v>2184</v>
      </c>
      <c r="G86" t="s">
        <v>1173</v>
      </c>
    </row>
    <row r="87" spans="1:7">
      <c r="A87" s="6076">
        <v>46120</v>
      </c>
      <c r="B87" t="s">
        <v>2032</v>
      </c>
      <c r="C87">
        <v>6</v>
      </c>
      <c r="E87" s="6073">
        <v>-2862440.15</v>
      </c>
      <c r="F87" t="s">
        <v>2184</v>
      </c>
      <c r="G87" t="s">
        <v>1904</v>
      </c>
    </row>
    <row r="88" spans="1:7">
      <c r="A88" s="6076">
        <v>46120</v>
      </c>
      <c r="B88" t="s">
        <v>2083</v>
      </c>
      <c r="C88" s="6073">
        <v>48200</v>
      </c>
      <c r="E88" s="6073">
        <v>-2910640.15</v>
      </c>
      <c r="F88" t="s">
        <v>2184</v>
      </c>
      <c r="G88" t="s">
        <v>1154</v>
      </c>
    </row>
    <row r="89" spans="1:7">
      <c r="A89" s="6076">
        <v>46120</v>
      </c>
      <c r="B89" t="s">
        <v>2032</v>
      </c>
      <c r="C89">
        <v>6</v>
      </c>
      <c r="E89" s="6073">
        <v>-2910646.15</v>
      </c>
      <c r="F89" t="s">
        <v>2184</v>
      </c>
      <c r="G89" t="s">
        <v>1904</v>
      </c>
    </row>
    <row r="90" spans="1:7">
      <c r="A90" s="6076">
        <v>46120</v>
      </c>
      <c r="B90" t="s">
        <v>2084</v>
      </c>
      <c r="C90" s="6073">
        <v>15230</v>
      </c>
      <c r="E90" s="6073">
        <v>-2925876.15</v>
      </c>
      <c r="F90" t="s">
        <v>2184</v>
      </c>
      <c r="G90" t="s">
        <v>1152</v>
      </c>
    </row>
    <row r="91" spans="1:7">
      <c r="A91" s="6076">
        <v>46120</v>
      </c>
      <c r="B91" t="s">
        <v>2032</v>
      </c>
      <c r="C91">
        <v>6</v>
      </c>
      <c r="E91" s="6073">
        <v>-2925882.15</v>
      </c>
      <c r="F91" t="s">
        <v>2184</v>
      </c>
      <c r="G91" t="s">
        <v>1904</v>
      </c>
    </row>
    <row r="92" spans="1:7">
      <c r="A92" s="6076">
        <v>46120</v>
      </c>
      <c r="B92" t="s">
        <v>2085</v>
      </c>
      <c r="C92" s="6073">
        <v>35000</v>
      </c>
      <c r="E92" s="6073">
        <v>-2960882.15</v>
      </c>
      <c r="F92" t="s">
        <v>2184</v>
      </c>
      <c r="G92" t="s">
        <v>1169</v>
      </c>
    </row>
    <row r="93" spans="1:7">
      <c r="A93" s="6076">
        <v>46120</v>
      </c>
      <c r="B93" t="s">
        <v>2032</v>
      </c>
      <c r="C93">
        <v>6</v>
      </c>
      <c r="E93" s="6073">
        <v>-2960888.15</v>
      </c>
      <c r="F93" t="s">
        <v>2184</v>
      </c>
      <c r="G93" t="s">
        <v>1904</v>
      </c>
    </row>
    <row r="94" spans="1:7">
      <c r="A94" s="6076">
        <v>46120</v>
      </c>
      <c r="B94" t="s">
        <v>2086</v>
      </c>
      <c r="C94" s="6073">
        <v>25000</v>
      </c>
      <c r="E94" s="6073">
        <v>-2985888.15</v>
      </c>
      <c r="F94" t="s">
        <v>2184</v>
      </c>
      <c r="G94" t="s">
        <v>1476</v>
      </c>
    </row>
    <row r="95" spans="1:7">
      <c r="A95" s="6076">
        <v>46121</v>
      </c>
      <c r="B95" t="s">
        <v>2087</v>
      </c>
      <c r="C95" s="6073">
        <v>200000</v>
      </c>
      <c r="E95" s="6073">
        <v>-3185888.15</v>
      </c>
      <c r="F95" t="s">
        <v>2184</v>
      </c>
      <c r="G95" t="s">
        <v>1201</v>
      </c>
    </row>
    <row r="96" spans="1:7">
      <c r="A96" s="6076">
        <v>46121</v>
      </c>
      <c r="B96" t="s">
        <v>2032</v>
      </c>
      <c r="C96">
        <v>17</v>
      </c>
      <c r="E96" s="6073">
        <v>-3185905.15</v>
      </c>
      <c r="F96" t="s">
        <v>2184</v>
      </c>
      <c r="G96" t="s">
        <v>1904</v>
      </c>
    </row>
    <row r="97" spans="1:7">
      <c r="A97" s="6076">
        <v>46121</v>
      </c>
      <c r="B97" t="s">
        <v>2088</v>
      </c>
      <c r="C97" s="6073">
        <v>100000</v>
      </c>
      <c r="E97" s="6073">
        <v>-3285905.15</v>
      </c>
      <c r="F97" t="s">
        <v>2184</v>
      </c>
      <c r="G97" t="s">
        <v>1285</v>
      </c>
    </row>
    <row r="98" spans="1:7">
      <c r="A98" s="6076">
        <v>46121</v>
      </c>
      <c r="B98" t="s">
        <v>2032</v>
      </c>
      <c r="C98">
        <v>6</v>
      </c>
      <c r="E98" s="6073">
        <v>-3285911.15</v>
      </c>
      <c r="F98" t="s">
        <v>2184</v>
      </c>
      <c r="G98" t="s">
        <v>1904</v>
      </c>
    </row>
    <row r="99" spans="1:7">
      <c r="A99" s="6076">
        <v>46121</v>
      </c>
      <c r="B99" t="s">
        <v>2089</v>
      </c>
      <c r="C99" s="6073">
        <v>119720</v>
      </c>
      <c r="E99" s="6073">
        <v>-3405631.15</v>
      </c>
      <c r="F99" t="s">
        <v>2184</v>
      </c>
      <c r="G99" t="s">
        <v>1773</v>
      </c>
    </row>
    <row r="100" spans="1:7">
      <c r="A100" s="6076">
        <v>46121</v>
      </c>
      <c r="B100" t="s">
        <v>2032</v>
      </c>
      <c r="C100">
        <v>17</v>
      </c>
      <c r="E100" s="6073">
        <v>-3405648.15</v>
      </c>
      <c r="F100" t="s">
        <v>2184</v>
      </c>
      <c r="G100" t="s">
        <v>1904</v>
      </c>
    </row>
    <row r="101" spans="1:7">
      <c r="A101" s="6076">
        <v>46121</v>
      </c>
      <c r="B101" t="s">
        <v>2090</v>
      </c>
      <c r="C101" s="6073">
        <v>50489</v>
      </c>
      <c r="E101" s="6073">
        <v>-3456137.15</v>
      </c>
      <c r="F101" t="s">
        <v>2184</v>
      </c>
      <c r="G101" t="s">
        <v>1267</v>
      </c>
    </row>
    <row r="102" spans="1:7">
      <c r="A102" s="6076">
        <v>46121</v>
      </c>
      <c r="B102" t="s">
        <v>2032</v>
      </c>
      <c r="C102">
        <v>6</v>
      </c>
      <c r="E102" s="6073">
        <v>-3456143.15</v>
      </c>
      <c r="F102" t="s">
        <v>2184</v>
      </c>
      <c r="G102" t="s">
        <v>1904</v>
      </c>
    </row>
    <row r="103" spans="1:7">
      <c r="A103" s="6076">
        <v>46121</v>
      </c>
      <c r="B103" t="s">
        <v>2091</v>
      </c>
      <c r="D103">
        <v>250</v>
      </c>
      <c r="E103" s="6073">
        <v>-3455893.15</v>
      </c>
      <c r="F103" t="s">
        <v>2187</v>
      </c>
      <c r="G103" t="s">
        <v>1798</v>
      </c>
    </row>
    <row r="104" spans="1:7">
      <c r="A104" s="6076">
        <v>46121</v>
      </c>
      <c r="B104" t="s">
        <v>2092</v>
      </c>
      <c r="C104" s="6073">
        <v>96390</v>
      </c>
      <c r="E104" s="6073">
        <v>-3552283.15</v>
      </c>
      <c r="F104" t="s">
        <v>2184</v>
      </c>
      <c r="G104" t="s">
        <v>1273</v>
      </c>
    </row>
    <row r="105" spans="1:7">
      <c r="A105" s="6076">
        <v>46121</v>
      </c>
      <c r="B105" t="s">
        <v>2032</v>
      </c>
      <c r="C105">
        <v>6</v>
      </c>
      <c r="E105" s="6073">
        <v>-3552289.15</v>
      </c>
      <c r="F105" t="s">
        <v>2184</v>
      </c>
      <c r="G105" t="s">
        <v>1904</v>
      </c>
    </row>
    <row r="106" spans="1:7">
      <c r="A106" s="6076">
        <v>46121</v>
      </c>
      <c r="B106" t="s">
        <v>2093</v>
      </c>
      <c r="C106" s="6073">
        <v>24236.28</v>
      </c>
      <c r="E106" s="6073">
        <v>-3576525.43</v>
      </c>
      <c r="F106" t="s">
        <v>2184</v>
      </c>
      <c r="G106" t="s">
        <v>1363</v>
      </c>
    </row>
    <row r="107" spans="1:7">
      <c r="A107" s="6076">
        <v>46121</v>
      </c>
      <c r="B107" t="s">
        <v>2094</v>
      </c>
      <c r="C107" s="6073">
        <v>33630</v>
      </c>
      <c r="E107" s="6073">
        <v>-3610155.43</v>
      </c>
      <c r="F107" t="s">
        <v>2184</v>
      </c>
      <c r="G107" t="s">
        <v>1142</v>
      </c>
    </row>
    <row r="108" spans="1:7">
      <c r="A108" s="6076">
        <v>46121</v>
      </c>
      <c r="B108" t="s">
        <v>2032</v>
      </c>
      <c r="C108">
        <v>6</v>
      </c>
      <c r="E108" s="6073">
        <v>-3610161.43</v>
      </c>
      <c r="F108" t="s">
        <v>2184</v>
      </c>
      <c r="G108" t="s">
        <v>1904</v>
      </c>
    </row>
    <row r="109" spans="1:7">
      <c r="A109" s="6076">
        <v>46121</v>
      </c>
      <c r="B109" t="s">
        <v>2095</v>
      </c>
      <c r="C109" s="6073">
        <v>18620</v>
      </c>
      <c r="E109" s="6073">
        <v>-3628781.43</v>
      </c>
      <c r="F109" t="s">
        <v>2184</v>
      </c>
      <c r="G109" t="s">
        <v>1148</v>
      </c>
    </row>
    <row r="110" spans="1:7">
      <c r="A110" s="6076">
        <v>46121</v>
      </c>
      <c r="B110" t="s">
        <v>2032</v>
      </c>
      <c r="C110">
        <v>6</v>
      </c>
      <c r="E110" s="6073">
        <v>-3628787.43</v>
      </c>
      <c r="F110" t="s">
        <v>2184</v>
      </c>
      <c r="G110" t="s">
        <v>1904</v>
      </c>
    </row>
    <row r="111" spans="1:7">
      <c r="A111" s="6076">
        <v>46121</v>
      </c>
      <c r="B111" t="s">
        <v>2096</v>
      </c>
      <c r="C111" s="6073">
        <v>3448</v>
      </c>
      <c r="E111" s="6073">
        <v>-3632235.43</v>
      </c>
      <c r="F111" t="s">
        <v>2184</v>
      </c>
      <c r="G111" t="s">
        <v>1148</v>
      </c>
    </row>
    <row r="112" spans="1:7">
      <c r="A112" s="6076">
        <v>46121</v>
      </c>
      <c r="B112" t="s">
        <v>2032</v>
      </c>
      <c r="C112">
        <v>3</v>
      </c>
      <c r="E112" s="6073">
        <v>-3632238.43</v>
      </c>
      <c r="F112" t="s">
        <v>2184</v>
      </c>
      <c r="G112" t="s">
        <v>1904</v>
      </c>
    </row>
    <row r="113" spans="1:7">
      <c r="A113" s="6076">
        <v>46121</v>
      </c>
      <c r="B113" t="s">
        <v>2097</v>
      </c>
      <c r="D113" s="6073">
        <v>67864.070000000007</v>
      </c>
      <c r="E113" s="6073">
        <v>-3564374.36</v>
      </c>
      <c r="F113" t="s">
        <v>2185</v>
      </c>
      <c r="G113" t="s">
        <v>5</v>
      </c>
    </row>
    <row r="114" spans="1:7">
      <c r="A114" s="6076">
        <v>46121</v>
      </c>
      <c r="B114" t="s">
        <v>2098</v>
      </c>
      <c r="C114" s="6073">
        <v>300000</v>
      </c>
      <c r="E114" s="6073">
        <v>-3864374.36</v>
      </c>
      <c r="F114" t="s">
        <v>2184</v>
      </c>
      <c r="G114" t="s">
        <v>1547</v>
      </c>
    </row>
    <row r="115" spans="1:7">
      <c r="A115" s="6076">
        <v>46121</v>
      </c>
      <c r="B115" t="s">
        <v>2032</v>
      </c>
      <c r="C115">
        <v>29</v>
      </c>
      <c r="E115" s="6073">
        <v>-3864403.36</v>
      </c>
      <c r="F115" t="s">
        <v>2184</v>
      </c>
      <c r="G115" t="s">
        <v>1904</v>
      </c>
    </row>
    <row r="116" spans="1:7">
      <c r="A116" s="6076">
        <v>46122</v>
      </c>
      <c r="B116" t="s">
        <v>2099</v>
      </c>
      <c r="D116" s="6073">
        <v>300299</v>
      </c>
      <c r="E116" s="6073">
        <v>-3564104.36</v>
      </c>
      <c r="F116" t="s">
        <v>2185</v>
      </c>
      <c r="G116" t="s">
        <v>5</v>
      </c>
    </row>
    <row r="117" spans="1:7">
      <c r="A117" s="6076">
        <v>46122</v>
      </c>
      <c r="B117" t="s">
        <v>2100</v>
      </c>
      <c r="C117" s="6073">
        <v>23038</v>
      </c>
      <c r="E117" s="6073">
        <v>-3587142.36</v>
      </c>
      <c r="F117" t="s">
        <v>2184</v>
      </c>
      <c r="G117" t="s">
        <v>1292</v>
      </c>
    </row>
    <row r="118" spans="1:7">
      <c r="A118" s="6076">
        <v>46122</v>
      </c>
      <c r="B118" t="s">
        <v>2101</v>
      </c>
      <c r="C118" s="6073">
        <v>12000</v>
      </c>
      <c r="E118" s="6073">
        <v>-3599142.36</v>
      </c>
      <c r="F118" t="s">
        <v>2184</v>
      </c>
      <c r="G118" t="s">
        <v>1342</v>
      </c>
    </row>
    <row r="119" spans="1:7">
      <c r="A119" s="6076">
        <v>46122</v>
      </c>
      <c r="B119" t="s">
        <v>2032</v>
      </c>
      <c r="C119">
        <v>6</v>
      </c>
      <c r="E119" s="6073">
        <v>-3599148.36</v>
      </c>
      <c r="F119" t="s">
        <v>2184</v>
      </c>
      <c r="G119" t="s">
        <v>1904</v>
      </c>
    </row>
    <row r="120" spans="1:7">
      <c r="A120" s="6076">
        <v>46122</v>
      </c>
      <c r="B120" t="s">
        <v>2102</v>
      </c>
      <c r="C120" s="6073">
        <v>3708</v>
      </c>
      <c r="E120" s="6073">
        <v>-3602856.36</v>
      </c>
      <c r="F120" t="s">
        <v>2184</v>
      </c>
      <c r="G120" t="s">
        <v>1276</v>
      </c>
    </row>
    <row r="121" spans="1:7">
      <c r="A121" s="6076">
        <v>46122</v>
      </c>
      <c r="B121" t="s">
        <v>2032</v>
      </c>
      <c r="C121">
        <v>3</v>
      </c>
      <c r="E121" s="6073">
        <v>-3602859.36</v>
      </c>
      <c r="F121" t="s">
        <v>2184</v>
      </c>
      <c r="G121" t="s">
        <v>1904</v>
      </c>
    </row>
    <row r="122" spans="1:7">
      <c r="A122" s="6076">
        <v>46122</v>
      </c>
      <c r="B122" t="s">
        <v>2103</v>
      </c>
      <c r="C122" s="6073">
        <v>20000</v>
      </c>
      <c r="E122" s="6073">
        <v>-3622859.36</v>
      </c>
      <c r="F122" t="s">
        <v>2184</v>
      </c>
      <c r="G122" t="s">
        <v>1346</v>
      </c>
    </row>
    <row r="123" spans="1:7">
      <c r="A123" s="6076">
        <v>46122</v>
      </c>
      <c r="B123" t="s">
        <v>2032</v>
      </c>
      <c r="C123">
        <v>6</v>
      </c>
      <c r="E123" s="6073">
        <v>-3622865.36</v>
      </c>
      <c r="F123" t="s">
        <v>2184</v>
      </c>
      <c r="G123" t="s">
        <v>1904</v>
      </c>
    </row>
    <row r="124" spans="1:7">
      <c r="A124" s="6076">
        <v>46122</v>
      </c>
      <c r="B124" t="s">
        <v>2104</v>
      </c>
      <c r="C124" s="6073">
        <v>16500</v>
      </c>
      <c r="E124" s="6073">
        <v>-3639365.36</v>
      </c>
      <c r="F124" t="s">
        <v>2184</v>
      </c>
      <c r="G124" t="s">
        <v>1594</v>
      </c>
    </row>
    <row r="125" spans="1:7">
      <c r="A125" s="6076">
        <v>46122</v>
      </c>
      <c r="B125" t="s">
        <v>2032</v>
      </c>
      <c r="C125">
        <v>6</v>
      </c>
      <c r="E125" s="6073">
        <v>-3639371.36</v>
      </c>
      <c r="F125" t="s">
        <v>2184</v>
      </c>
      <c r="G125" t="s">
        <v>1904</v>
      </c>
    </row>
    <row r="126" spans="1:7">
      <c r="A126" s="6076">
        <v>46122</v>
      </c>
      <c r="B126" t="s">
        <v>2105</v>
      </c>
      <c r="C126" s="6073">
        <v>47925</v>
      </c>
      <c r="E126" s="6073">
        <v>-3687296.36</v>
      </c>
      <c r="F126" t="s">
        <v>2184</v>
      </c>
      <c r="G126" t="s">
        <v>1520</v>
      </c>
    </row>
    <row r="127" spans="1:7">
      <c r="A127" s="6076">
        <v>46122</v>
      </c>
      <c r="B127" t="s">
        <v>2032</v>
      </c>
      <c r="C127">
        <v>6</v>
      </c>
      <c r="E127" s="6073">
        <v>-3687302.36</v>
      </c>
      <c r="F127" t="s">
        <v>2184</v>
      </c>
      <c r="G127" t="s">
        <v>1904</v>
      </c>
    </row>
    <row r="128" spans="1:7">
      <c r="A128" s="6076">
        <v>46123</v>
      </c>
      <c r="B128" t="s">
        <v>2106</v>
      </c>
      <c r="D128" s="6073">
        <v>191984</v>
      </c>
      <c r="E128" s="6073">
        <v>-3495318.36</v>
      </c>
      <c r="F128" t="s">
        <v>2185</v>
      </c>
      <c r="G128" t="s">
        <v>5</v>
      </c>
    </row>
    <row r="129" spans="1:7">
      <c r="A129" s="6076">
        <v>46123</v>
      </c>
      <c r="B129" t="s">
        <v>2107</v>
      </c>
      <c r="C129" s="6073">
        <v>23615</v>
      </c>
      <c r="E129" s="6073">
        <v>-3518933.36</v>
      </c>
      <c r="F129" t="s">
        <v>2184</v>
      </c>
      <c r="G129" t="s">
        <v>1157</v>
      </c>
    </row>
    <row r="130" spans="1:7">
      <c r="A130" s="6076">
        <v>46123</v>
      </c>
      <c r="B130" t="s">
        <v>2032</v>
      </c>
      <c r="C130">
        <v>6</v>
      </c>
      <c r="E130" s="6073">
        <v>-3518939.36</v>
      </c>
      <c r="F130" t="s">
        <v>2184</v>
      </c>
      <c r="G130" t="s">
        <v>1904</v>
      </c>
    </row>
    <row r="131" spans="1:7">
      <c r="A131" s="6076">
        <v>46123</v>
      </c>
      <c r="B131" t="s">
        <v>2108</v>
      </c>
      <c r="C131" s="6073">
        <v>18088</v>
      </c>
      <c r="E131" s="6073">
        <v>-3537027.36</v>
      </c>
      <c r="F131" t="s">
        <v>2184</v>
      </c>
      <c r="G131" t="s">
        <v>1151</v>
      </c>
    </row>
    <row r="132" spans="1:7">
      <c r="A132" s="6076">
        <v>46123</v>
      </c>
      <c r="B132" t="s">
        <v>2032</v>
      </c>
      <c r="C132">
        <v>6</v>
      </c>
      <c r="E132" s="6073">
        <v>-3537033.36</v>
      </c>
      <c r="F132" t="s">
        <v>2184</v>
      </c>
      <c r="G132" t="s">
        <v>1904</v>
      </c>
    </row>
    <row r="133" spans="1:7">
      <c r="A133" s="6076">
        <v>46123</v>
      </c>
      <c r="B133" t="s">
        <v>2109</v>
      </c>
      <c r="C133" s="6073">
        <v>35910</v>
      </c>
      <c r="E133" s="6073">
        <v>-3572943.36</v>
      </c>
      <c r="F133" t="s">
        <v>2184</v>
      </c>
      <c r="G133" t="s">
        <v>1269</v>
      </c>
    </row>
    <row r="134" spans="1:7">
      <c r="A134" s="6076">
        <v>46123</v>
      </c>
      <c r="B134" t="s">
        <v>2032</v>
      </c>
      <c r="C134">
        <v>6</v>
      </c>
      <c r="E134" s="6073">
        <v>-3572949.36</v>
      </c>
      <c r="F134" t="s">
        <v>2184</v>
      </c>
      <c r="G134" t="s">
        <v>1904</v>
      </c>
    </row>
    <row r="135" spans="1:7">
      <c r="A135" s="6076">
        <v>46123</v>
      </c>
      <c r="B135" t="s">
        <v>2110</v>
      </c>
      <c r="C135" s="6073">
        <v>5000</v>
      </c>
      <c r="E135" s="6073">
        <v>-3577949.36</v>
      </c>
      <c r="F135" t="s">
        <v>2184</v>
      </c>
      <c r="G135" t="s">
        <v>1685</v>
      </c>
    </row>
    <row r="136" spans="1:7">
      <c r="A136" s="6076">
        <v>46123</v>
      </c>
      <c r="B136" t="s">
        <v>2111</v>
      </c>
      <c r="C136" s="6073">
        <v>26945.98</v>
      </c>
      <c r="E136" s="6073">
        <v>-3604895.34</v>
      </c>
      <c r="F136" t="s">
        <v>2184</v>
      </c>
      <c r="G136" t="s">
        <v>1798</v>
      </c>
    </row>
    <row r="137" spans="1:7">
      <c r="A137" s="6076">
        <v>46125</v>
      </c>
      <c r="B137" t="s">
        <v>2112</v>
      </c>
      <c r="C137" s="6073">
        <v>1475</v>
      </c>
      <c r="E137" s="6073">
        <v>-3606370.34</v>
      </c>
      <c r="F137" t="s">
        <v>2184</v>
      </c>
      <c r="G137" t="s">
        <v>1596</v>
      </c>
    </row>
    <row r="138" spans="1:7">
      <c r="A138" s="6076">
        <v>46125</v>
      </c>
      <c r="B138" t="s">
        <v>2032</v>
      </c>
      <c r="C138">
        <v>3</v>
      </c>
      <c r="E138" s="6073">
        <v>-3606373.34</v>
      </c>
      <c r="F138" t="s">
        <v>2184</v>
      </c>
      <c r="G138" t="s">
        <v>1904</v>
      </c>
    </row>
    <row r="139" spans="1:7">
      <c r="A139" s="6076">
        <v>46126</v>
      </c>
      <c r="B139" t="s">
        <v>2113</v>
      </c>
      <c r="C139" s="6073">
        <v>92714</v>
      </c>
      <c r="E139" s="6073">
        <v>-3699087.34</v>
      </c>
      <c r="F139" t="s">
        <v>2185</v>
      </c>
      <c r="G139" t="s">
        <v>1792</v>
      </c>
    </row>
    <row r="140" spans="1:7">
      <c r="A140" s="6076">
        <v>46126</v>
      </c>
      <c r="B140" t="s">
        <v>2114</v>
      </c>
      <c r="D140" s="6073">
        <v>1317124</v>
      </c>
      <c r="E140" s="6073">
        <v>-2381963.34</v>
      </c>
      <c r="F140" t="s">
        <v>2185</v>
      </c>
      <c r="G140" t="s">
        <v>5</v>
      </c>
    </row>
    <row r="141" spans="1:7">
      <c r="A141" s="6076">
        <v>46126</v>
      </c>
      <c r="B141" t="s">
        <v>2115</v>
      </c>
      <c r="C141" s="6073">
        <v>1180</v>
      </c>
      <c r="E141" s="6073">
        <v>-2383143.34</v>
      </c>
      <c r="F141" t="s">
        <v>2184</v>
      </c>
      <c r="G141" t="s">
        <v>1300</v>
      </c>
    </row>
    <row r="142" spans="1:7">
      <c r="A142" s="6076">
        <v>46126</v>
      </c>
      <c r="B142" t="s">
        <v>2032</v>
      </c>
      <c r="C142">
        <v>3</v>
      </c>
      <c r="E142" s="6073">
        <v>-2383146.34</v>
      </c>
      <c r="F142" t="s">
        <v>2184</v>
      </c>
      <c r="G142" t="s">
        <v>1904</v>
      </c>
    </row>
    <row r="143" spans="1:7">
      <c r="A143" s="6076">
        <v>46126</v>
      </c>
      <c r="B143" t="s">
        <v>2116</v>
      </c>
      <c r="C143" s="6073">
        <v>12000</v>
      </c>
      <c r="E143" s="6073">
        <v>-2395146.34</v>
      </c>
      <c r="F143" t="s">
        <v>2184</v>
      </c>
      <c r="G143" t="s">
        <v>1665</v>
      </c>
    </row>
    <row r="144" spans="1:7">
      <c r="A144" s="6076">
        <v>46126</v>
      </c>
      <c r="B144" t="s">
        <v>2032</v>
      </c>
      <c r="C144">
        <v>6</v>
      </c>
      <c r="E144" s="6073">
        <v>-2395152.34</v>
      </c>
      <c r="F144" t="s">
        <v>2184</v>
      </c>
      <c r="G144" t="s">
        <v>1904</v>
      </c>
    </row>
    <row r="145" spans="1:7">
      <c r="A145" s="6076">
        <v>46126</v>
      </c>
      <c r="B145" t="s">
        <v>2117</v>
      </c>
      <c r="C145" s="6073">
        <v>677910</v>
      </c>
      <c r="E145" s="6073">
        <v>-3073062.34</v>
      </c>
      <c r="F145" t="s">
        <v>2184</v>
      </c>
      <c r="G145" t="s">
        <v>2188</v>
      </c>
    </row>
    <row r="146" spans="1:7">
      <c r="A146" s="6076">
        <v>46126</v>
      </c>
      <c r="B146" t="s">
        <v>2032</v>
      </c>
      <c r="C146">
        <v>29</v>
      </c>
      <c r="E146" s="6073">
        <v>-3073091.34</v>
      </c>
      <c r="F146" t="s">
        <v>2184</v>
      </c>
      <c r="G146" t="s">
        <v>1904</v>
      </c>
    </row>
    <row r="147" spans="1:7">
      <c r="A147" s="6076">
        <v>46126</v>
      </c>
      <c r="B147" t="s">
        <v>2118</v>
      </c>
      <c r="C147" s="6073">
        <v>455521</v>
      </c>
      <c r="E147" s="6073">
        <v>-3528612.34</v>
      </c>
      <c r="F147" t="s">
        <v>2184</v>
      </c>
      <c r="G147" t="s">
        <v>81</v>
      </c>
    </row>
    <row r="148" spans="1:7">
      <c r="A148" s="6076">
        <v>46126</v>
      </c>
      <c r="B148" t="s">
        <v>2032</v>
      </c>
      <c r="C148">
        <v>29</v>
      </c>
      <c r="E148" s="6073">
        <v>-3528641.34</v>
      </c>
      <c r="F148" t="s">
        <v>2184</v>
      </c>
      <c r="G148" t="s">
        <v>1904</v>
      </c>
    </row>
    <row r="149" spans="1:7">
      <c r="A149" s="6076">
        <v>46126</v>
      </c>
      <c r="B149" t="s">
        <v>2119</v>
      </c>
      <c r="D149" s="6073">
        <v>1180</v>
      </c>
      <c r="E149" s="6073">
        <v>-3527461.34</v>
      </c>
      <c r="F149" t="s">
        <v>2187</v>
      </c>
      <c r="G149" t="s">
        <v>1300</v>
      </c>
    </row>
    <row r="150" spans="1:7">
      <c r="A150" s="6076">
        <v>46126</v>
      </c>
      <c r="B150" t="s">
        <v>2120</v>
      </c>
      <c r="C150" s="6073">
        <v>4679</v>
      </c>
      <c r="E150" s="6073">
        <v>-3532140.34</v>
      </c>
      <c r="F150" t="s">
        <v>2184</v>
      </c>
      <c r="G150" t="s">
        <v>1183</v>
      </c>
    </row>
    <row r="151" spans="1:7">
      <c r="A151" s="6076">
        <v>46126</v>
      </c>
      <c r="B151" t="s">
        <v>2121</v>
      </c>
      <c r="C151" s="6073">
        <v>70472</v>
      </c>
      <c r="E151" s="6073">
        <v>-3602612.34</v>
      </c>
      <c r="F151" t="s">
        <v>2184</v>
      </c>
      <c r="G151" t="s">
        <v>1779</v>
      </c>
    </row>
    <row r="152" spans="1:7">
      <c r="A152" s="6076">
        <v>46126</v>
      </c>
      <c r="B152" t="s">
        <v>2122</v>
      </c>
      <c r="C152" s="6073">
        <v>100000</v>
      </c>
      <c r="E152" s="6073">
        <v>-3702612.34</v>
      </c>
      <c r="F152" t="s">
        <v>2184</v>
      </c>
      <c r="G152" t="s">
        <v>1443</v>
      </c>
    </row>
    <row r="153" spans="1:7">
      <c r="A153" s="6076">
        <v>46126</v>
      </c>
      <c r="B153" t="s">
        <v>2032</v>
      </c>
      <c r="C153">
        <v>6</v>
      </c>
      <c r="E153" s="6073">
        <v>-3702618.34</v>
      </c>
      <c r="F153" t="s">
        <v>2184</v>
      </c>
      <c r="G153" t="s">
        <v>1904</v>
      </c>
    </row>
    <row r="154" spans="1:7">
      <c r="A154" s="6076">
        <v>46126</v>
      </c>
      <c r="B154" t="s">
        <v>2123</v>
      </c>
      <c r="C154" s="6073">
        <v>20000</v>
      </c>
      <c r="E154" s="6073">
        <v>-3722618.34</v>
      </c>
      <c r="F154" t="s">
        <v>2184</v>
      </c>
      <c r="G154" t="s">
        <v>1180</v>
      </c>
    </row>
    <row r="155" spans="1:7">
      <c r="A155" s="6076">
        <v>46126</v>
      </c>
      <c r="B155" t="s">
        <v>2032</v>
      </c>
      <c r="C155">
        <v>6</v>
      </c>
      <c r="E155" s="6073">
        <v>-3722624.34</v>
      </c>
      <c r="F155" t="s">
        <v>2184</v>
      </c>
      <c r="G155" t="s">
        <v>1904</v>
      </c>
    </row>
    <row r="156" spans="1:7">
      <c r="A156" s="6076">
        <v>46126</v>
      </c>
      <c r="B156" t="s">
        <v>2124</v>
      </c>
      <c r="D156" s="6073">
        <v>11538</v>
      </c>
      <c r="E156" s="6073">
        <v>-3711086.34</v>
      </c>
      <c r="F156" t="s">
        <v>2187</v>
      </c>
      <c r="G156" t="s">
        <v>1798</v>
      </c>
    </row>
    <row r="157" spans="1:7">
      <c r="A157" s="6076">
        <v>46128</v>
      </c>
      <c r="B157" t="s">
        <v>2125</v>
      </c>
      <c r="D157" s="6073">
        <v>477994</v>
      </c>
      <c r="E157" s="6073">
        <v>-3233092.34</v>
      </c>
      <c r="F157" t="s">
        <v>2185</v>
      </c>
      <c r="G157" t="s">
        <v>5</v>
      </c>
    </row>
    <row r="158" spans="1:7">
      <c r="A158" s="6076">
        <v>46128</v>
      </c>
      <c r="B158" t="s">
        <v>2126</v>
      </c>
      <c r="C158" s="6073">
        <v>11589</v>
      </c>
      <c r="E158" s="6073">
        <v>-3244681.34</v>
      </c>
      <c r="F158" t="s">
        <v>2184</v>
      </c>
      <c r="G158" t="s">
        <v>1180</v>
      </c>
    </row>
    <row r="159" spans="1:7">
      <c r="A159" s="6076">
        <v>46128</v>
      </c>
      <c r="B159" t="s">
        <v>2032</v>
      </c>
      <c r="C159">
        <v>6</v>
      </c>
      <c r="E159" s="6073">
        <v>-3244687.34</v>
      </c>
      <c r="F159" t="s">
        <v>2184</v>
      </c>
      <c r="G159" t="s">
        <v>1904</v>
      </c>
    </row>
    <row r="160" spans="1:7">
      <c r="A160" s="6076">
        <v>46128</v>
      </c>
      <c r="B160" t="s">
        <v>2127</v>
      </c>
      <c r="C160" s="6073">
        <v>3000</v>
      </c>
      <c r="E160" s="6073">
        <v>-3247687.34</v>
      </c>
      <c r="F160" t="s">
        <v>2184</v>
      </c>
      <c r="G160" t="s">
        <v>1176</v>
      </c>
    </row>
    <row r="161" spans="1:7">
      <c r="A161" s="6076">
        <v>46128</v>
      </c>
      <c r="B161" t="s">
        <v>2032</v>
      </c>
      <c r="C161">
        <v>3</v>
      </c>
      <c r="E161" s="6073">
        <v>-3247690.34</v>
      </c>
      <c r="F161" t="s">
        <v>2184</v>
      </c>
      <c r="G161" t="s">
        <v>1904</v>
      </c>
    </row>
    <row r="162" spans="1:7">
      <c r="A162" s="6076">
        <v>46128</v>
      </c>
      <c r="B162" t="s">
        <v>2128</v>
      </c>
      <c r="C162" s="6073">
        <v>8540</v>
      </c>
      <c r="E162" s="6073">
        <v>-3256230.34</v>
      </c>
      <c r="F162" t="s">
        <v>2184</v>
      </c>
      <c r="G162" t="s">
        <v>1194</v>
      </c>
    </row>
    <row r="163" spans="1:7">
      <c r="A163" s="6076">
        <v>46128</v>
      </c>
      <c r="B163" t="s">
        <v>2032</v>
      </c>
      <c r="C163">
        <v>3</v>
      </c>
      <c r="E163" s="6073">
        <v>-3256233.34</v>
      </c>
      <c r="F163" t="s">
        <v>2184</v>
      </c>
      <c r="G163" t="s">
        <v>1904</v>
      </c>
    </row>
    <row r="164" spans="1:7">
      <c r="A164" s="6076">
        <v>46128</v>
      </c>
      <c r="B164" t="s">
        <v>2129</v>
      </c>
      <c r="C164" s="6073">
        <v>28875</v>
      </c>
      <c r="E164" s="6073">
        <v>-3285108.34</v>
      </c>
      <c r="F164" t="s">
        <v>2184</v>
      </c>
      <c r="G164" t="s">
        <v>1255</v>
      </c>
    </row>
    <row r="165" spans="1:7">
      <c r="A165" s="6076">
        <v>46128</v>
      </c>
      <c r="B165" t="s">
        <v>2032</v>
      </c>
      <c r="C165">
        <v>6</v>
      </c>
      <c r="E165" s="6073">
        <v>-3285114.34</v>
      </c>
      <c r="F165" t="s">
        <v>2184</v>
      </c>
      <c r="G165" t="s">
        <v>1904</v>
      </c>
    </row>
    <row r="166" spans="1:7">
      <c r="A166" s="6076">
        <v>46129</v>
      </c>
      <c r="B166" t="s">
        <v>2130</v>
      </c>
      <c r="C166" s="6073">
        <v>1475</v>
      </c>
      <c r="E166" s="6073">
        <v>-3286589.34</v>
      </c>
      <c r="F166" t="s">
        <v>2184</v>
      </c>
      <c r="G166" t="s">
        <v>1596</v>
      </c>
    </row>
    <row r="167" spans="1:7">
      <c r="A167" s="6076">
        <v>46129</v>
      </c>
      <c r="B167" t="s">
        <v>2032</v>
      </c>
      <c r="C167">
        <v>3</v>
      </c>
      <c r="E167" s="6073">
        <v>-3286592.34</v>
      </c>
      <c r="F167" t="s">
        <v>2184</v>
      </c>
      <c r="G167" t="s">
        <v>1904</v>
      </c>
    </row>
    <row r="168" spans="1:7">
      <c r="A168" s="6076">
        <v>46130</v>
      </c>
      <c r="B168" t="s">
        <v>2131</v>
      </c>
      <c r="C168" s="6073">
        <v>48519.96</v>
      </c>
      <c r="E168" s="6073">
        <v>-3335112.3</v>
      </c>
      <c r="F168" t="s">
        <v>2184</v>
      </c>
      <c r="G168" t="s">
        <v>1607</v>
      </c>
    </row>
    <row r="169" spans="1:7">
      <c r="A169" s="6076">
        <v>46130</v>
      </c>
      <c r="B169" t="s">
        <v>2132</v>
      </c>
      <c r="D169" s="6073">
        <v>499682.84</v>
      </c>
      <c r="E169" s="6073">
        <v>-2835429.46</v>
      </c>
      <c r="F169" t="s">
        <v>2185</v>
      </c>
      <c r="G169" t="s">
        <v>5</v>
      </c>
    </row>
    <row r="170" spans="1:7">
      <c r="A170" s="6076">
        <v>46130</v>
      </c>
      <c r="B170" t="s">
        <v>2133</v>
      </c>
      <c r="C170" s="6073">
        <v>7182</v>
      </c>
      <c r="E170" s="6073">
        <v>-2842611.46</v>
      </c>
      <c r="F170" t="s">
        <v>2184</v>
      </c>
      <c r="G170" t="s">
        <v>1269</v>
      </c>
    </row>
    <row r="171" spans="1:7">
      <c r="A171" s="6076">
        <v>46130</v>
      </c>
      <c r="B171" t="s">
        <v>2032</v>
      </c>
      <c r="C171">
        <v>3</v>
      </c>
      <c r="E171" s="6073">
        <v>-2842614.46</v>
      </c>
      <c r="F171" t="s">
        <v>2184</v>
      </c>
      <c r="G171" t="s">
        <v>1904</v>
      </c>
    </row>
    <row r="172" spans="1:7">
      <c r="A172" s="6076">
        <v>46130</v>
      </c>
      <c r="B172" t="s">
        <v>2134</v>
      </c>
      <c r="C172" s="6073">
        <v>47200</v>
      </c>
      <c r="E172" s="6073">
        <v>-2889814.46</v>
      </c>
      <c r="F172" t="s">
        <v>2184</v>
      </c>
      <c r="G172" t="s">
        <v>1278</v>
      </c>
    </row>
    <row r="173" spans="1:7">
      <c r="A173" s="6076">
        <v>46130</v>
      </c>
      <c r="B173" t="s">
        <v>2032</v>
      </c>
      <c r="C173">
        <v>6</v>
      </c>
      <c r="E173" s="6073">
        <v>-2889820.46</v>
      </c>
      <c r="F173" t="s">
        <v>2184</v>
      </c>
      <c r="G173" t="s">
        <v>1904</v>
      </c>
    </row>
    <row r="174" spans="1:7">
      <c r="A174" s="6076">
        <v>46130</v>
      </c>
      <c r="B174" t="s">
        <v>2135</v>
      </c>
      <c r="C174" s="6073">
        <v>59400</v>
      </c>
      <c r="E174" s="6073">
        <v>-2949220.46</v>
      </c>
      <c r="F174" t="s">
        <v>2184</v>
      </c>
      <c r="G174" t="s">
        <v>1446</v>
      </c>
    </row>
    <row r="175" spans="1:7">
      <c r="A175" s="6076">
        <v>46130</v>
      </c>
      <c r="B175" t="s">
        <v>2032</v>
      </c>
      <c r="C175">
        <v>6</v>
      </c>
      <c r="E175" s="6073">
        <v>-2949226.46</v>
      </c>
      <c r="F175" t="s">
        <v>2184</v>
      </c>
      <c r="G175" t="s">
        <v>1904</v>
      </c>
    </row>
    <row r="176" spans="1:7">
      <c r="A176" s="6076">
        <v>46130</v>
      </c>
      <c r="B176" t="s">
        <v>2136</v>
      </c>
      <c r="C176" s="6073">
        <v>106379</v>
      </c>
      <c r="E176" s="6073">
        <v>-3055605.46</v>
      </c>
      <c r="F176" t="s">
        <v>2184</v>
      </c>
      <c r="G176" t="s">
        <v>1201</v>
      </c>
    </row>
    <row r="177" spans="1:7">
      <c r="A177" s="6076">
        <v>46130</v>
      </c>
      <c r="B177" t="s">
        <v>2032</v>
      </c>
      <c r="C177">
        <v>17</v>
      </c>
      <c r="E177" s="6073">
        <v>-3055622.46</v>
      </c>
      <c r="F177" t="s">
        <v>2184</v>
      </c>
      <c r="G177" t="s">
        <v>1904</v>
      </c>
    </row>
    <row r="178" spans="1:7">
      <c r="A178" s="6076">
        <v>46130</v>
      </c>
      <c r="B178" t="s">
        <v>2137</v>
      </c>
      <c r="C178" s="6073">
        <v>3000</v>
      </c>
      <c r="E178" s="6073">
        <v>-3058622.46</v>
      </c>
      <c r="F178" t="s">
        <v>2184</v>
      </c>
      <c r="G178" t="s">
        <v>1358</v>
      </c>
    </row>
    <row r="179" spans="1:7">
      <c r="A179" s="6076">
        <v>46130</v>
      </c>
      <c r="B179" t="s">
        <v>2032</v>
      </c>
      <c r="C179">
        <v>3</v>
      </c>
      <c r="E179" s="6073">
        <v>-3058625.46</v>
      </c>
      <c r="F179" t="s">
        <v>2184</v>
      </c>
      <c r="G179" t="s">
        <v>1904</v>
      </c>
    </row>
    <row r="180" spans="1:7">
      <c r="A180" s="6076">
        <v>46131</v>
      </c>
      <c r="B180" t="s">
        <v>2138</v>
      </c>
      <c r="C180" s="6073">
        <v>5000</v>
      </c>
      <c r="E180" s="6073">
        <v>-3063625.46</v>
      </c>
      <c r="F180" t="s">
        <v>2184</v>
      </c>
      <c r="G180" t="s">
        <v>1685</v>
      </c>
    </row>
    <row r="181" spans="1:7">
      <c r="A181" s="6076">
        <v>46131</v>
      </c>
      <c r="B181" t="s">
        <v>2139</v>
      </c>
      <c r="C181" s="6073">
        <v>40500</v>
      </c>
      <c r="E181" s="6073">
        <v>-3104125.46</v>
      </c>
      <c r="F181" t="s">
        <v>2184</v>
      </c>
      <c r="G181" t="s">
        <v>1326</v>
      </c>
    </row>
    <row r="182" spans="1:7">
      <c r="A182" s="6076">
        <v>46131</v>
      </c>
      <c r="B182" t="s">
        <v>2032</v>
      </c>
      <c r="C182">
        <v>6</v>
      </c>
      <c r="E182" s="6073">
        <v>-3104131.46</v>
      </c>
      <c r="F182" t="s">
        <v>2184</v>
      </c>
      <c r="G182" t="s">
        <v>1904</v>
      </c>
    </row>
    <row r="183" spans="1:7">
      <c r="A183" s="6076">
        <v>46132</v>
      </c>
      <c r="B183" t="s">
        <v>2140</v>
      </c>
      <c r="D183" s="6073">
        <v>376515</v>
      </c>
      <c r="E183" s="6073">
        <v>-2727616.46</v>
      </c>
      <c r="F183" t="s">
        <v>2185</v>
      </c>
      <c r="G183" t="s">
        <v>5</v>
      </c>
    </row>
    <row r="184" spans="1:7">
      <c r="A184" s="6076">
        <v>46132</v>
      </c>
      <c r="B184" t="s">
        <v>2141</v>
      </c>
      <c r="C184" s="6073">
        <v>3500</v>
      </c>
      <c r="E184" s="6073">
        <v>-2731116.46</v>
      </c>
      <c r="F184" t="s">
        <v>2184</v>
      </c>
      <c r="G184" t="s">
        <v>1798</v>
      </c>
    </row>
    <row r="185" spans="1:7">
      <c r="A185" s="6076">
        <v>46132</v>
      </c>
      <c r="B185" t="s">
        <v>2032</v>
      </c>
      <c r="C185">
        <v>3</v>
      </c>
      <c r="E185" s="6073">
        <v>-2731119.46</v>
      </c>
      <c r="F185" t="s">
        <v>2184</v>
      </c>
      <c r="G185" t="s">
        <v>1904</v>
      </c>
    </row>
    <row r="186" spans="1:7">
      <c r="A186" s="6076">
        <v>46132</v>
      </c>
      <c r="B186" t="s">
        <v>2142</v>
      </c>
      <c r="C186" s="6073">
        <v>245225</v>
      </c>
      <c r="E186" s="6073">
        <v>-2976344.46</v>
      </c>
      <c r="F186" t="s">
        <v>2184</v>
      </c>
      <c r="G186" t="s">
        <v>1256</v>
      </c>
    </row>
    <row r="187" spans="1:7">
      <c r="A187" s="6076">
        <v>46132</v>
      </c>
      <c r="B187" t="s">
        <v>2032</v>
      </c>
      <c r="C187">
        <v>29</v>
      </c>
      <c r="E187" s="6073">
        <v>-2976373.46</v>
      </c>
      <c r="F187" t="s">
        <v>2184</v>
      </c>
      <c r="G187" t="s">
        <v>1904</v>
      </c>
    </row>
    <row r="188" spans="1:7">
      <c r="A188" s="6076">
        <v>46132</v>
      </c>
      <c r="B188" t="s">
        <v>2143</v>
      </c>
      <c r="C188" s="6073">
        <v>140420</v>
      </c>
      <c r="E188" s="6073">
        <v>-3116793.46</v>
      </c>
      <c r="F188" t="s">
        <v>2184</v>
      </c>
      <c r="G188" t="s">
        <v>1274</v>
      </c>
    </row>
    <row r="189" spans="1:7">
      <c r="A189" s="6076">
        <v>46132</v>
      </c>
      <c r="B189" t="s">
        <v>2032</v>
      </c>
      <c r="C189">
        <v>17</v>
      </c>
      <c r="E189" s="6073">
        <v>-3116810.46</v>
      </c>
      <c r="F189" t="s">
        <v>2184</v>
      </c>
      <c r="G189" t="s">
        <v>1904</v>
      </c>
    </row>
    <row r="190" spans="1:7">
      <c r="A190" s="6076">
        <v>46132</v>
      </c>
      <c r="B190" t="s">
        <v>2144</v>
      </c>
      <c r="C190" s="6073">
        <v>14455</v>
      </c>
      <c r="E190" s="6073">
        <v>-3131265.46</v>
      </c>
      <c r="F190" t="s">
        <v>2184</v>
      </c>
      <c r="G190" t="s">
        <v>2189</v>
      </c>
    </row>
    <row r="191" spans="1:7">
      <c r="A191" s="6076">
        <v>46132</v>
      </c>
      <c r="B191" t="s">
        <v>2032</v>
      </c>
      <c r="C191">
        <v>6</v>
      </c>
      <c r="E191" s="6073">
        <v>-3131271.46</v>
      </c>
      <c r="F191" t="s">
        <v>2184</v>
      </c>
      <c r="G191" t="s">
        <v>1904</v>
      </c>
    </row>
    <row r="192" spans="1:7">
      <c r="A192" s="6076">
        <v>46132</v>
      </c>
      <c r="B192" t="s">
        <v>2145</v>
      </c>
      <c r="C192" s="6073">
        <v>6000</v>
      </c>
      <c r="E192" s="6073">
        <v>-3137271.46</v>
      </c>
      <c r="F192" t="s">
        <v>2184</v>
      </c>
      <c r="G192" t="s">
        <v>1153</v>
      </c>
    </row>
    <row r="193" spans="1:7">
      <c r="A193" s="6076">
        <v>46132</v>
      </c>
      <c r="B193" t="s">
        <v>2032</v>
      </c>
      <c r="C193">
        <v>3</v>
      </c>
      <c r="E193" s="6073">
        <v>-3137274.46</v>
      </c>
      <c r="F193" t="s">
        <v>2184</v>
      </c>
      <c r="G193" t="s">
        <v>1904</v>
      </c>
    </row>
    <row r="194" spans="1:7">
      <c r="A194" s="6076">
        <v>46133</v>
      </c>
      <c r="B194" t="s">
        <v>2146</v>
      </c>
      <c r="C194" s="6073">
        <v>5599</v>
      </c>
      <c r="E194" s="6073">
        <v>-3142873.46</v>
      </c>
      <c r="F194" t="s">
        <v>2184</v>
      </c>
      <c r="G194" t="s">
        <v>1157</v>
      </c>
    </row>
    <row r="195" spans="1:7">
      <c r="A195" s="6076">
        <v>46133</v>
      </c>
      <c r="B195" t="s">
        <v>2032</v>
      </c>
      <c r="C195">
        <v>3</v>
      </c>
      <c r="E195" s="6073">
        <v>-3142876.46</v>
      </c>
      <c r="F195" t="s">
        <v>2184</v>
      </c>
      <c r="G195" t="s">
        <v>1904</v>
      </c>
    </row>
    <row r="196" spans="1:7">
      <c r="A196" s="6076">
        <v>46133</v>
      </c>
      <c r="B196" t="s">
        <v>2147</v>
      </c>
      <c r="C196" s="6073">
        <v>3800</v>
      </c>
      <c r="E196" s="6073">
        <v>-3146676.46</v>
      </c>
      <c r="F196" t="s">
        <v>2184</v>
      </c>
      <c r="G196" t="s">
        <v>1594</v>
      </c>
    </row>
    <row r="197" spans="1:7">
      <c r="A197" s="6076">
        <v>46133</v>
      </c>
      <c r="B197" t="s">
        <v>2032</v>
      </c>
      <c r="C197">
        <v>3</v>
      </c>
      <c r="E197" s="6073">
        <v>-3146679.46</v>
      </c>
      <c r="F197" t="s">
        <v>2184</v>
      </c>
      <c r="G197" t="s">
        <v>1904</v>
      </c>
    </row>
    <row r="198" spans="1:7">
      <c r="A198" s="6076">
        <v>46133</v>
      </c>
      <c r="B198" t="s">
        <v>2148</v>
      </c>
      <c r="C198" s="6073">
        <v>8750</v>
      </c>
      <c r="E198" s="6073">
        <v>-3155429.46</v>
      </c>
      <c r="F198" t="s">
        <v>2184</v>
      </c>
      <c r="G198" t="s">
        <v>1169</v>
      </c>
    </row>
    <row r="199" spans="1:7">
      <c r="A199" s="6076">
        <v>46133</v>
      </c>
      <c r="B199" t="s">
        <v>2032</v>
      </c>
      <c r="C199">
        <v>3</v>
      </c>
      <c r="E199" s="6073">
        <v>-3155432.46</v>
      </c>
      <c r="F199" t="s">
        <v>2184</v>
      </c>
      <c r="G199" t="s">
        <v>1904</v>
      </c>
    </row>
    <row r="200" spans="1:7">
      <c r="A200" s="6076">
        <v>46133</v>
      </c>
      <c r="B200" t="s">
        <v>2149</v>
      </c>
      <c r="C200" s="6073">
        <v>21573</v>
      </c>
      <c r="E200" s="6073">
        <v>-3177005.46</v>
      </c>
      <c r="F200" t="s">
        <v>2184</v>
      </c>
      <c r="G200" t="s">
        <v>1173</v>
      </c>
    </row>
    <row r="201" spans="1:7">
      <c r="A201" s="6076">
        <v>46133</v>
      </c>
      <c r="B201" t="s">
        <v>2032</v>
      </c>
      <c r="C201">
        <v>6</v>
      </c>
      <c r="E201" s="6073">
        <v>-3177011.46</v>
      </c>
      <c r="F201" t="s">
        <v>2184</v>
      </c>
      <c r="G201" t="s">
        <v>1904</v>
      </c>
    </row>
    <row r="202" spans="1:7">
      <c r="A202" s="6076">
        <v>46133</v>
      </c>
      <c r="B202" t="s">
        <v>2150</v>
      </c>
      <c r="C202" s="6073">
        <v>4997</v>
      </c>
      <c r="E202" s="6073">
        <v>-3182008.46</v>
      </c>
      <c r="F202" t="s">
        <v>2184</v>
      </c>
      <c r="G202" t="s">
        <v>1178</v>
      </c>
    </row>
    <row r="203" spans="1:7">
      <c r="A203" s="6076">
        <v>46133</v>
      </c>
      <c r="B203" t="s">
        <v>2032</v>
      </c>
      <c r="C203">
        <v>3</v>
      </c>
      <c r="E203" s="6073">
        <v>-3182011.46</v>
      </c>
      <c r="F203" t="s">
        <v>2184</v>
      </c>
      <c r="G203" t="s">
        <v>1904</v>
      </c>
    </row>
    <row r="204" spans="1:7">
      <c r="A204" s="6076">
        <v>46133</v>
      </c>
      <c r="B204" t="s">
        <v>2151</v>
      </c>
      <c r="C204" s="6073">
        <v>6600</v>
      </c>
      <c r="E204" s="6073">
        <v>-3188611.46</v>
      </c>
      <c r="F204" t="s">
        <v>2184</v>
      </c>
      <c r="G204" t="s">
        <v>1180</v>
      </c>
    </row>
    <row r="205" spans="1:7">
      <c r="A205" s="6076">
        <v>46133</v>
      </c>
      <c r="B205" t="s">
        <v>2032</v>
      </c>
      <c r="C205">
        <v>3</v>
      </c>
      <c r="E205" s="6073">
        <v>-3188614.46</v>
      </c>
      <c r="F205" t="s">
        <v>2184</v>
      </c>
      <c r="G205" t="s">
        <v>1904</v>
      </c>
    </row>
    <row r="206" spans="1:7">
      <c r="A206" s="6076">
        <v>46133</v>
      </c>
      <c r="B206" t="s">
        <v>2152</v>
      </c>
      <c r="C206">
        <v>944</v>
      </c>
      <c r="E206" s="6073">
        <v>-3189558.46</v>
      </c>
      <c r="F206" t="s">
        <v>2184</v>
      </c>
      <c r="G206" t="s">
        <v>1587</v>
      </c>
    </row>
    <row r="207" spans="1:7">
      <c r="A207" s="6076">
        <v>46133</v>
      </c>
      <c r="B207" t="s">
        <v>2032</v>
      </c>
      <c r="C207">
        <v>3</v>
      </c>
      <c r="E207" s="6073">
        <v>-3189561.46</v>
      </c>
      <c r="F207" t="s">
        <v>2184</v>
      </c>
      <c r="G207" t="s">
        <v>1904</v>
      </c>
    </row>
    <row r="208" spans="1:7">
      <c r="A208" s="6076">
        <v>46133</v>
      </c>
      <c r="B208" t="s">
        <v>2153</v>
      </c>
      <c r="C208" s="6073">
        <v>47200</v>
      </c>
      <c r="E208" s="6073">
        <v>-3236761.46</v>
      </c>
      <c r="F208" t="s">
        <v>2184</v>
      </c>
      <c r="G208" t="s">
        <v>1278</v>
      </c>
    </row>
    <row r="209" spans="1:7">
      <c r="A209" s="6076">
        <v>46133</v>
      </c>
      <c r="B209" t="s">
        <v>2032</v>
      </c>
      <c r="C209">
        <v>6</v>
      </c>
      <c r="E209" s="6073">
        <v>-3236767.46</v>
      </c>
      <c r="F209" t="s">
        <v>2184</v>
      </c>
      <c r="G209" t="s">
        <v>1904</v>
      </c>
    </row>
    <row r="210" spans="1:7">
      <c r="A210" s="6076">
        <v>46133</v>
      </c>
      <c r="B210" t="s">
        <v>2154</v>
      </c>
      <c r="C210" s="6073">
        <v>127850</v>
      </c>
      <c r="E210" s="6073">
        <v>-3364617.46</v>
      </c>
      <c r="F210" t="s">
        <v>2184</v>
      </c>
      <c r="G210" t="s">
        <v>1285</v>
      </c>
    </row>
    <row r="211" spans="1:7">
      <c r="A211" s="6076">
        <v>46133</v>
      </c>
      <c r="B211" t="s">
        <v>2032</v>
      </c>
      <c r="C211">
        <v>17</v>
      </c>
      <c r="E211" s="6073">
        <v>-3364634.46</v>
      </c>
      <c r="F211" t="s">
        <v>2184</v>
      </c>
      <c r="G211" t="s">
        <v>1904</v>
      </c>
    </row>
    <row r="212" spans="1:7">
      <c r="A212" s="6076">
        <v>46133</v>
      </c>
      <c r="B212" t="s">
        <v>2155</v>
      </c>
      <c r="C212" s="6073">
        <v>175000</v>
      </c>
      <c r="E212" s="6073">
        <v>-3539634.46</v>
      </c>
      <c r="F212" t="s">
        <v>2184</v>
      </c>
      <c r="G212" t="s">
        <v>1266</v>
      </c>
    </row>
    <row r="213" spans="1:7">
      <c r="A213" s="6076">
        <v>46133</v>
      </c>
      <c r="B213" t="s">
        <v>2032</v>
      </c>
      <c r="C213">
        <v>17</v>
      </c>
      <c r="E213" s="6073">
        <v>-3539651.46</v>
      </c>
      <c r="F213" t="s">
        <v>2184</v>
      </c>
      <c r="G213" t="s">
        <v>1904</v>
      </c>
    </row>
    <row r="214" spans="1:7">
      <c r="A214" s="6076">
        <v>46133</v>
      </c>
      <c r="B214" t="s">
        <v>2156</v>
      </c>
      <c r="C214" s="6073">
        <v>101640</v>
      </c>
      <c r="E214" s="6073">
        <v>-3641291.46</v>
      </c>
      <c r="F214" t="s">
        <v>2184</v>
      </c>
      <c r="G214" t="s">
        <v>1282</v>
      </c>
    </row>
    <row r="215" spans="1:7">
      <c r="A215" s="6076">
        <v>46133</v>
      </c>
      <c r="B215" t="s">
        <v>2032</v>
      </c>
      <c r="C215">
        <v>17</v>
      </c>
      <c r="E215" s="6073">
        <v>-3641308.46</v>
      </c>
      <c r="F215" t="s">
        <v>2184</v>
      </c>
      <c r="G215" t="s">
        <v>1904</v>
      </c>
    </row>
    <row r="216" spans="1:7">
      <c r="A216" s="6076">
        <v>46133</v>
      </c>
      <c r="B216" t="s">
        <v>2157</v>
      </c>
      <c r="C216" s="6073">
        <v>10951</v>
      </c>
      <c r="E216" s="6073">
        <v>-3652259.46</v>
      </c>
      <c r="F216" t="s">
        <v>2184</v>
      </c>
      <c r="G216" t="s">
        <v>2190</v>
      </c>
    </row>
    <row r="217" spans="1:7">
      <c r="A217" s="6076">
        <v>46133</v>
      </c>
      <c r="B217" t="s">
        <v>2158</v>
      </c>
      <c r="C217" s="6073">
        <v>12000</v>
      </c>
      <c r="E217" s="6073">
        <v>-3664259.46</v>
      </c>
      <c r="F217" t="s">
        <v>2184</v>
      </c>
      <c r="G217" t="s">
        <v>1394</v>
      </c>
    </row>
    <row r="218" spans="1:7">
      <c r="A218" s="6076">
        <v>46133</v>
      </c>
      <c r="B218" t="s">
        <v>2032</v>
      </c>
      <c r="C218">
        <v>6</v>
      </c>
      <c r="E218" s="6073">
        <v>-3664265.46</v>
      </c>
      <c r="F218" t="s">
        <v>2184</v>
      </c>
      <c r="G218" t="s">
        <v>1904</v>
      </c>
    </row>
    <row r="219" spans="1:7">
      <c r="A219" s="6076">
        <v>46133</v>
      </c>
      <c r="B219" t="s">
        <v>2159</v>
      </c>
      <c r="D219" s="6073">
        <v>192422</v>
      </c>
      <c r="E219" s="6073">
        <v>-3471843.46</v>
      </c>
      <c r="F219" t="s">
        <v>2185</v>
      </c>
      <c r="G219" t="s">
        <v>5</v>
      </c>
    </row>
    <row r="220" spans="1:7">
      <c r="A220" s="6076">
        <v>46133</v>
      </c>
      <c r="B220" t="s">
        <v>2160</v>
      </c>
      <c r="C220">
        <v>650</v>
      </c>
      <c r="E220" s="6073">
        <v>-3472493.46</v>
      </c>
      <c r="F220" t="s">
        <v>2184</v>
      </c>
      <c r="G220" t="s">
        <v>1194</v>
      </c>
    </row>
    <row r="221" spans="1:7">
      <c r="A221" s="6076">
        <v>46133</v>
      </c>
      <c r="B221" t="s">
        <v>2032</v>
      </c>
      <c r="C221">
        <v>3</v>
      </c>
      <c r="E221" s="6073">
        <v>-3472496.46</v>
      </c>
      <c r="F221" t="s">
        <v>2184</v>
      </c>
      <c r="G221" t="s">
        <v>1904</v>
      </c>
    </row>
    <row r="222" spans="1:7">
      <c r="A222" s="6076">
        <v>46134</v>
      </c>
      <c r="B222" t="s">
        <v>2161</v>
      </c>
      <c r="D222" s="6073">
        <v>189724</v>
      </c>
      <c r="E222" s="6073">
        <v>-3282772.46</v>
      </c>
      <c r="F222" t="s">
        <v>2185</v>
      </c>
      <c r="G222" t="s">
        <v>5</v>
      </c>
    </row>
    <row r="223" spans="1:7">
      <c r="A223" s="6076">
        <v>46134</v>
      </c>
      <c r="B223" t="s">
        <v>2162</v>
      </c>
      <c r="C223" s="6073">
        <v>13051.97</v>
      </c>
      <c r="E223" s="6073">
        <v>-3295824.43</v>
      </c>
      <c r="F223" t="s">
        <v>2184</v>
      </c>
      <c r="G223" t="s">
        <v>1261</v>
      </c>
    </row>
    <row r="224" spans="1:7">
      <c r="A224" s="6076">
        <v>46134</v>
      </c>
      <c r="B224" t="s">
        <v>2032</v>
      </c>
      <c r="C224">
        <v>6</v>
      </c>
      <c r="E224" s="6073">
        <v>-3295830.43</v>
      </c>
      <c r="F224" t="s">
        <v>2184</v>
      </c>
      <c r="G224" t="s">
        <v>1904</v>
      </c>
    </row>
    <row r="225" spans="1:7">
      <c r="A225" s="6076">
        <v>46134</v>
      </c>
      <c r="B225" t="s">
        <v>2163</v>
      </c>
      <c r="D225" s="6073">
        <v>1939930</v>
      </c>
      <c r="E225" s="6073">
        <v>-1355900.43</v>
      </c>
      <c r="F225" t="s">
        <v>2185</v>
      </c>
      <c r="G225" t="s">
        <v>5</v>
      </c>
    </row>
    <row r="226" spans="1:7">
      <c r="A226" s="6076">
        <v>46135</v>
      </c>
      <c r="B226" t="s">
        <v>2164</v>
      </c>
      <c r="C226" s="6073">
        <v>3675</v>
      </c>
      <c r="E226" s="6073">
        <v>-1359575.43</v>
      </c>
      <c r="F226" t="s">
        <v>2184</v>
      </c>
      <c r="G226" t="s">
        <v>2191</v>
      </c>
    </row>
    <row r="227" spans="1:7">
      <c r="A227" s="6076">
        <v>46135</v>
      </c>
      <c r="B227" t="s">
        <v>2032</v>
      </c>
      <c r="C227">
        <v>3</v>
      </c>
      <c r="E227" s="6073">
        <v>-1359578.43</v>
      </c>
      <c r="F227" t="s">
        <v>2184</v>
      </c>
      <c r="G227" t="s">
        <v>1904</v>
      </c>
    </row>
    <row r="228" spans="1:7">
      <c r="A228" s="6076">
        <v>46136</v>
      </c>
      <c r="B228" t="s">
        <v>2165</v>
      </c>
      <c r="C228" s="6073">
        <v>48519.96</v>
      </c>
      <c r="E228" s="6073">
        <v>-1408098.39</v>
      </c>
      <c r="F228" t="s">
        <v>2184</v>
      </c>
      <c r="G228" t="s">
        <v>1607</v>
      </c>
    </row>
    <row r="229" spans="1:7">
      <c r="A229" s="6076">
        <v>46136</v>
      </c>
      <c r="B229" t="s">
        <v>2166</v>
      </c>
      <c r="D229" s="6073">
        <v>447607</v>
      </c>
      <c r="E229" s="6073">
        <v>-960491.39</v>
      </c>
      <c r="F229" t="s">
        <v>2185</v>
      </c>
      <c r="G229" t="s">
        <v>5</v>
      </c>
    </row>
    <row r="230" spans="1:7">
      <c r="A230" s="6076">
        <v>46136</v>
      </c>
      <c r="B230" t="s">
        <v>2167</v>
      </c>
      <c r="C230" s="6073">
        <v>2400</v>
      </c>
      <c r="E230" s="6073">
        <v>-962891.39</v>
      </c>
      <c r="F230" t="s">
        <v>2184</v>
      </c>
      <c r="G230" t="s">
        <v>1176</v>
      </c>
    </row>
    <row r="231" spans="1:7">
      <c r="A231" s="6076">
        <v>46136</v>
      </c>
      <c r="B231" t="s">
        <v>2032</v>
      </c>
      <c r="C231">
        <v>3</v>
      </c>
      <c r="E231" s="6073">
        <v>-962894.39</v>
      </c>
      <c r="F231" t="s">
        <v>2184</v>
      </c>
      <c r="G231" t="s">
        <v>1904</v>
      </c>
    </row>
    <row r="232" spans="1:7">
      <c r="A232" s="6076">
        <v>46136</v>
      </c>
      <c r="B232" t="s">
        <v>2168</v>
      </c>
      <c r="C232" s="6073">
        <v>5000</v>
      </c>
      <c r="E232" s="6073">
        <v>-967894.39</v>
      </c>
      <c r="F232" t="s">
        <v>2184</v>
      </c>
      <c r="G232" t="s">
        <v>1334</v>
      </c>
    </row>
    <row r="233" spans="1:7">
      <c r="A233" s="6076">
        <v>46136</v>
      </c>
      <c r="B233" t="s">
        <v>2032</v>
      </c>
      <c r="C233">
        <v>3</v>
      </c>
      <c r="E233" s="6073">
        <v>-967897.39</v>
      </c>
      <c r="F233" t="s">
        <v>2184</v>
      </c>
      <c r="G233" t="s">
        <v>1904</v>
      </c>
    </row>
    <row r="234" spans="1:7">
      <c r="A234" s="6076">
        <v>46136</v>
      </c>
      <c r="B234" t="s">
        <v>2169</v>
      </c>
      <c r="C234" s="6073">
        <v>54000</v>
      </c>
      <c r="E234" s="6073">
        <v>-1021897.39</v>
      </c>
      <c r="F234" t="s">
        <v>2184</v>
      </c>
      <c r="G234" t="s">
        <v>1515</v>
      </c>
    </row>
    <row r="235" spans="1:7">
      <c r="A235" s="6076">
        <v>46136</v>
      </c>
      <c r="B235" t="s">
        <v>2032</v>
      </c>
      <c r="C235">
        <v>6</v>
      </c>
      <c r="E235" s="6073">
        <v>-1021903.39</v>
      </c>
      <c r="F235" t="s">
        <v>2184</v>
      </c>
      <c r="G235" t="s">
        <v>1904</v>
      </c>
    </row>
    <row r="236" spans="1:7">
      <c r="A236" s="6076">
        <v>46136</v>
      </c>
      <c r="B236" t="s">
        <v>2170</v>
      </c>
      <c r="C236" s="6073">
        <v>400000</v>
      </c>
      <c r="E236" s="6073">
        <v>-1421903.39</v>
      </c>
      <c r="F236" t="s">
        <v>2184</v>
      </c>
      <c r="G236" t="s">
        <v>1733</v>
      </c>
    </row>
    <row r="237" spans="1:7">
      <c r="A237" s="6076">
        <v>46136</v>
      </c>
      <c r="B237" t="s">
        <v>2032</v>
      </c>
      <c r="C237">
        <v>29</v>
      </c>
      <c r="E237" s="6073">
        <v>-1421932.39</v>
      </c>
      <c r="F237" t="s">
        <v>2184</v>
      </c>
      <c r="G237" t="s">
        <v>1904</v>
      </c>
    </row>
    <row r="238" spans="1:7">
      <c r="A238" s="6076">
        <v>46136</v>
      </c>
      <c r="B238" t="s">
        <v>2171</v>
      </c>
      <c r="C238" s="6073">
        <v>1600</v>
      </c>
      <c r="E238" s="6073">
        <v>-1423532.39</v>
      </c>
      <c r="F238" t="s">
        <v>2184</v>
      </c>
      <c r="G238" t="s">
        <v>1346</v>
      </c>
    </row>
    <row r="239" spans="1:7">
      <c r="A239" s="6076">
        <v>46136</v>
      </c>
      <c r="B239" t="s">
        <v>2032</v>
      </c>
      <c r="C239">
        <v>3</v>
      </c>
      <c r="E239" s="6073">
        <v>-1423535.39</v>
      </c>
      <c r="F239" t="s">
        <v>2184</v>
      </c>
      <c r="G239" t="s">
        <v>1904</v>
      </c>
    </row>
    <row r="240" spans="1:7">
      <c r="A240" s="6076">
        <v>46137</v>
      </c>
      <c r="B240" t="s">
        <v>2172</v>
      </c>
      <c r="C240" s="6073">
        <v>20000</v>
      </c>
      <c r="E240" s="6073">
        <v>-1443535.39</v>
      </c>
      <c r="F240" t="s">
        <v>2184</v>
      </c>
      <c r="G240" t="s">
        <v>1166</v>
      </c>
    </row>
    <row r="241" spans="1:7">
      <c r="A241" s="6076">
        <v>46137</v>
      </c>
      <c r="B241" t="s">
        <v>2032</v>
      </c>
      <c r="C241">
        <v>6</v>
      </c>
      <c r="E241" s="6073">
        <v>-1443541.39</v>
      </c>
      <c r="F241" t="s">
        <v>2184</v>
      </c>
      <c r="G241" t="s">
        <v>1904</v>
      </c>
    </row>
    <row r="242" spans="1:7">
      <c r="A242" s="6076">
        <v>46137</v>
      </c>
      <c r="B242" t="s">
        <v>2173</v>
      </c>
      <c r="C242" s="6073">
        <v>5000</v>
      </c>
      <c r="E242" s="6073">
        <v>-1448541.39</v>
      </c>
      <c r="F242" t="s">
        <v>2184</v>
      </c>
      <c r="G242" t="s">
        <v>1685</v>
      </c>
    </row>
    <row r="243" spans="1:7">
      <c r="A243" s="6076">
        <v>46137</v>
      </c>
      <c r="B243" t="s">
        <v>2174</v>
      </c>
      <c r="C243" s="6073">
        <v>6665</v>
      </c>
      <c r="E243" s="6073">
        <v>-1455206.39</v>
      </c>
      <c r="F243" t="s">
        <v>2184</v>
      </c>
      <c r="G243" t="s">
        <v>1125</v>
      </c>
    </row>
    <row r="244" spans="1:7">
      <c r="A244" s="6076">
        <v>46137</v>
      </c>
      <c r="B244" t="s">
        <v>2032</v>
      </c>
      <c r="C244">
        <v>3</v>
      </c>
      <c r="E244" s="6073">
        <v>-1455209.39</v>
      </c>
      <c r="F244" t="s">
        <v>2184</v>
      </c>
      <c r="G244" t="s">
        <v>1904</v>
      </c>
    </row>
    <row r="245" spans="1:7">
      <c r="A245" s="6076">
        <v>46137</v>
      </c>
      <c r="B245" t="s">
        <v>2175</v>
      </c>
      <c r="C245">
        <v>917</v>
      </c>
      <c r="E245" s="6073">
        <v>-1456126.39</v>
      </c>
      <c r="F245" t="s">
        <v>2184</v>
      </c>
      <c r="G245" t="s">
        <v>1261</v>
      </c>
    </row>
    <row r="246" spans="1:7">
      <c r="A246" s="6076">
        <v>46137</v>
      </c>
      <c r="B246" t="s">
        <v>2032</v>
      </c>
      <c r="C246">
        <v>3</v>
      </c>
      <c r="E246" s="6073">
        <v>-1456129.39</v>
      </c>
      <c r="F246" t="s">
        <v>2184</v>
      </c>
      <c r="G246" t="s">
        <v>1904</v>
      </c>
    </row>
    <row r="247" spans="1:7">
      <c r="A247" s="6076">
        <v>46139</v>
      </c>
      <c r="B247" t="s">
        <v>2176</v>
      </c>
      <c r="C247" s="6073">
        <v>308865</v>
      </c>
      <c r="E247" s="6073">
        <v>-1764994.39</v>
      </c>
      <c r="F247" t="s">
        <v>2184</v>
      </c>
      <c r="G247" t="s">
        <v>1258</v>
      </c>
    </row>
    <row r="248" spans="1:7">
      <c r="A248" s="6076">
        <v>46139</v>
      </c>
      <c r="B248" t="s">
        <v>2032</v>
      </c>
      <c r="C248">
        <v>29</v>
      </c>
      <c r="E248" s="6073">
        <v>-1765023.39</v>
      </c>
      <c r="F248" t="s">
        <v>2184</v>
      </c>
      <c r="G248" t="s">
        <v>1904</v>
      </c>
    </row>
    <row r="249" spans="1:7">
      <c r="A249" s="6076">
        <v>46139</v>
      </c>
      <c r="B249" t="s">
        <v>2177</v>
      </c>
      <c r="C249" s="6073">
        <v>32760</v>
      </c>
      <c r="E249" s="6073">
        <v>-1797783.39</v>
      </c>
      <c r="F249" t="s">
        <v>2184</v>
      </c>
      <c r="G249" t="s">
        <v>1269</v>
      </c>
    </row>
    <row r="250" spans="1:7">
      <c r="A250" s="6076">
        <v>46139</v>
      </c>
      <c r="B250" t="s">
        <v>2032</v>
      </c>
      <c r="C250">
        <v>6</v>
      </c>
      <c r="E250" s="6073">
        <v>-1797789.39</v>
      </c>
      <c r="F250" t="s">
        <v>2184</v>
      </c>
      <c r="G250" t="s">
        <v>1904</v>
      </c>
    </row>
    <row r="251" spans="1:7">
      <c r="A251" s="6076">
        <v>46139</v>
      </c>
      <c r="B251" t="s">
        <v>2178</v>
      </c>
      <c r="C251" s="6073">
        <v>1769275</v>
      </c>
      <c r="E251" s="6073">
        <v>-3567064.39</v>
      </c>
      <c r="F251" t="s">
        <v>2184</v>
      </c>
      <c r="G251" t="s">
        <v>461</v>
      </c>
    </row>
    <row r="252" spans="1:7">
      <c r="A252" s="6076">
        <v>46139</v>
      </c>
      <c r="B252" t="s">
        <v>2032</v>
      </c>
      <c r="C252">
        <v>29</v>
      </c>
      <c r="E252" s="6073">
        <v>-3567093.39</v>
      </c>
      <c r="F252" t="s">
        <v>2184</v>
      </c>
      <c r="G252" t="s">
        <v>1904</v>
      </c>
    </row>
    <row r="253" spans="1:7">
      <c r="A253" s="6076">
        <v>46142</v>
      </c>
      <c r="B253" t="s">
        <v>2179</v>
      </c>
      <c r="C253" s="6073">
        <v>20722.189999999999</v>
      </c>
      <c r="E253" s="6073">
        <v>-3587815.58</v>
      </c>
      <c r="F253" t="s">
        <v>2184</v>
      </c>
      <c r="G253" t="s">
        <v>1798</v>
      </c>
    </row>
    <row r="254" spans="1:7">
      <c r="A254" s="6076">
        <v>46142</v>
      </c>
      <c r="B254" t="s">
        <v>2180</v>
      </c>
      <c r="D254" s="6073">
        <v>385161</v>
      </c>
      <c r="E254" s="6073">
        <v>-3202654.58</v>
      </c>
      <c r="F254" t="s">
        <v>2185</v>
      </c>
      <c r="G254" t="s">
        <v>5</v>
      </c>
    </row>
    <row r="255" spans="1:7">
      <c r="A255" s="6076">
        <v>46143</v>
      </c>
      <c r="B255" t="s">
        <v>2181</v>
      </c>
      <c r="C255" s="6073">
        <v>24748</v>
      </c>
      <c r="E255" s="6073">
        <v>-3227402.58</v>
      </c>
      <c r="F255" t="s">
        <v>2184</v>
      </c>
      <c r="G255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Ledgers </vt:lpstr>
      <vt:lpstr>OD Acc</vt:lpstr>
      <vt:lpstr>OD acc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PC3</cp:lastModifiedBy>
  <dcterms:modified xsi:type="dcterms:W3CDTF">2026-05-06T11:13:33Z</dcterms:modified>
</cp:coreProperties>
</file>