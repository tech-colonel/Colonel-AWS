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G:\Shared drives\Colonel ClickUp Server\Client Operations\Stroom - Drips Food Private Limited\Colonel Data Room\FY-2026-27\6. Bank\2. May-26\Statement till 24th May 2026\"/>
    </mc:Choice>
  </mc:AlternateContent>
  <bookViews>
    <workbookView xWindow="0" yWindow="0" windowWidth="20490" windowHeight="7005"/>
  </bookViews>
  <sheets>
    <sheet name="Sheet1" sheetId="1" r:id="rId1"/>
    <sheet name="Sheet2" sheetId="2" r:id="rId2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C176" i="2" l="1"/>
  <c r="B176" i="2"/>
  <c r="A176" i="2"/>
  <c r="C175" i="2"/>
  <c r="B175" i="2"/>
  <c r="A175" i="2"/>
  <c r="C174" i="2"/>
  <c r="B174" i="2"/>
  <c r="A174" i="2"/>
  <c r="C173" i="2"/>
  <c r="B173" i="2"/>
  <c r="A173" i="2"/>
  <c r="C172" i="2"/>
  <c r="B172" i="2"/>
  <c r="A172" i="2"/>
  <c r="C171" i="2"/>
  <c r="B171" i="2"/>
  <c r="A171" i="2"/>
  <c r="C170" i="2"/>
  <c r="B170" i="2"/>
  <c r="A170" i="2"/>
  <c r="C169" i="2"/>
  <c r="B169" i="2"/>
  <c r="A169" i="2"/>
  <c r="C168" i="2"/>
  <c r="B168" i="2"/>
  <c r="A168" i="2"/>
  <c r="C167" i="2"/>
  <c r="B167" i="2"/>
  <c r="A167" i="2"/>
  <c r="C166" i="2"/>
  <c r="B166" i="2"/>
  <c r="A166" i="2"/>
  <c r="C165" i="2"/>
  <c r="B165" i="2"/>
  <c r="A165" i="2"/>
  <c r="C164" i="2"/>
  <c r="B164" i="2"/>
  <c r="A164" i="2"/>
  <c r="C163" i="2"/>
  <c r="B163" i="2"/>
  <c r="A163" i="2"/>
  <c r="C162" i="2"/>
  <c r="B162" i="2"/>
  <c r="A162" i="2"/>
  <c r="C161" i="2"/>
  <c r="B161" i="2"/>
  <c r="A161" i="2"/>
  <c r="C160" i="2"/>
  <c r="B160" i="2"/>
  <c r="A160" i="2"/>
  <c r="C159" i="2"/>
  <c r="B159" i="2"/>
  <c r="A159" i="2"/>
  <c r="C158" i="2"/>
  <c r="B158" i="2"/>
  <c r="A158" i="2"/>
  <c r="C157" i="2"/>
  <c r="B157" i="2"/>
  <c r="A157" i="2"/>
  <c r="C156" i="2"/>
  <c r="B156" i="2"/>
  <c r="A156" i="2"/>
  <c r="C155" i="2"/>
  <c r="B155" i="2"/>
  <c r="A155" i="2"/>
  <c r="C154" i="2"/>
  <c r="B154" i="2"/>
  <c r="A154" i="2"/>
  <c r="C153" i="2"/>
  <c r="B153" i="2"/>
  <c r="A153" i="2"/>
  <c r="C152" i="2"/>
  <c r="B152" i="2"/>
  <c r="A152" i="2"/>
  <c r="C151" i="2"/>
  <c r="B151" i="2"/>
  <c r="A151" i="2"/>
  <c r="C150" i="2"/>
  <c r="B150" i="2"/>
  <c r="A150" i="2"/>
  <c r="C149" i="2"/>
  <c r="B149" i="2"/>
  <c r="A149" i="2"/>
  <c r="C148" i="2"/>
  <c r="B148" i="2"/>
  <c r="A148" i="2"/>
  <c r="C147" i="2"/>
  <c r="B147" i="2"/>
  <c r="A147" i="2"/>
  <c r="C146" i="2"/>
  <c r="B146" i="2"/>
  <c r="A146" i="2"/>
  <c r="C145" i="2"/>
  <c r="B145" i="2"/>
  <c r="A145" i="2"/>
  <c r="C144" i="2"/>
  <c r="B144" i="2"/>
  <c r="A144" i="2"/>
  <c r="C143" i="2"/>
  <c r="B143" i="2"/>
  <c r="A143" i="2"/>
  <c r="C142" i="2"/>
  <c r="B142" i="2"/>
  <c r="A142" i="2"/>
  <c r="C141" i="2"/>
  <c r="B141" i="2"/>
  <c r="A141" i="2"/>
  <c r="C140" i="2"/>
  <c r="B140" i="2"/>
  <c r="A140" i="2"/>
  <c r="C139" i="2"/>
  <c r="B139" i="2"/>
  <c r="A139" i="2"/>
  <c r="C138" i="2"/>
  <c r="B138" i="2"/>
  <c r="A138" i="2"/>
  <c r="C137" i="2"/>
  <c r="B137" i="2"/>
  <c r="A137" i="2"/>
  <c r="C136" i="2"/>
  <c r="B136" i="2"/>
  <c r="A136" i="2"/>
  <c r="C135" i="2"/>
  <c r="B135" i="2"/>
  <c r="A135" i="2"/>
  <c r="C134" i="2"/>
  <c r="B134" i="2"/>
  <c r="A134" i="2"/>
  <c r="C133" i="2"/>
  <c r="B133" i="2"/>
  <c r="A133" i="2"/>
  <c r="C132" i="2"/>
  <c r="B132" i="2"/>
  <c r="A132" i="2"/>
  <c r="C131" i="2"/>
  <c r="B131" i="2"/>
  <c r="A131" i="2"/>
  <c r="C130" i="2"/>
  <c r="B130" i="2"/>
  <c r="A130" i="2"/>
  <c r="C129" i="2"/>
  <c r="B129" i="2"/>
  <c r="A129" i="2"/>
  <c r="C128" i="2"/>
  <c r="B128" i="2"/>
  <c r="A128" i="2"/>
  <c r="C127" i="2"/>
  <c r="B127" i="2"/>
  <c r="A127" i="2"/>
  <c r="C126" i="2"/>
  <c r="B126" i="2"/>
  <c r="A126" i="2"/>
  <c r="C125" i="2"/>
  <c r="B125" i="2"/>
  <c r="A125" i="2"/>
  <c r="C124" i="2"/>
  <c r="B124" i="2"/>
  <c r="A124" i="2"/>
  <c r="C123" i="2"/>
  <c r="B123" i="2"/>
  <c r="A123" i="2"/>
  <c r="C122" i="2"/>
  <c r="B122" i="2"/>
  <c r="A122" i="2"/>
  <c r="C121" i="2"/>
  <c r="B121" i="2"/>
  <c r="A121" i="2"/>
  <c r="C120" i="2"/>
  <c r="B120" i="2"/>
  <c r="A120" i="2"/>
  <c r="C119" i="2"/>
  <c r="B119" i="2"/>
  <c r="A119" i="2"/>
  <c r="C118" i="2"/>
  <c r="B118" i="2"/>
  <c r="A118" i="2"/>
  <c r="C117" i="2"/>
  <c r="B117" i="2"/>
  <c r="A117" i="2"/>
  <c r="C116" i="2"/>
  <c r="B116" i="2"/>
  <c r="A116" i="2"/>
  <c r="C115" i="2"/>
  <c r="B115" i="2"/>
  <c r="A115" i="2"/>
  <c r="C114" i="2"/>
  <c r="B114" i="2"/>
  <c r="A114" i="2"/>
  <c r="C113" i="2"/>
  <c r="B113" i="2"/>
  <c r="A113" i="2"/>
  <c r="C112" i="2"/>
  <c r="B112" i="2"/>
  <c r="A112" i="2"/>
  <c r="C111" i="2"/>
  <c r="B111" i="2"/>
  <c r="A111" i="2"/>
  <c r="C110" i="2"/>
  <c r="B110" i="2"/>
  <c r="A110" i="2"/>
  <c r="C109" i="2"/>
  <c r="B109" i="2"/>
  <c r="A109" i="2"/>
  <c r="C108" i="2"/>
  <c r="B108" i="2"/>
  <c r="A108" i="2"/>
  <c r="C107" i="2"/>
  <c r="B107" i="2"/>
  <c r="A107" i="2"/>
  <c r="C106" i="2"/>
  <c r="B106" i="2"/>
  <c r="A106" i="2"/>
  <c r="C105" i="2"/>
  <c r="B105" i="2"/>
  <c r="A105" i="2"/>
  <c r="C104" i="2"/>
  <c r="B104" i="2"/>
  <c r="A104" i="2"/>
  <c r="C103" i="2"/>
  <c r="B103" i="2"/>
  <c r="A103" i="2"/>
  <c r="C102" i="2"/>
  <c r="B102" i="2"/>
  <c r="A102" i="2"/>
  <c r="C101" i="2"/>
  <c r="B101" i="2"/>
  <c r="A101" i="2"/>
  <c r="C100" i="2"/>
  <c r="B100" i="2"/>
  <c r="A100" i="2"/>
  <c r="C99" i="2"/>
  <c r="B99" i="2"/>
  <c r="A99" i="2"/>
  <c r="C98" i="2"/>
  <c r="B98" i="2"/>
  <c r="A98" i="2"/>
  <c r="C97" i="2"/>
  <c r="B97" i="2"/>
  <c r="A97" i="2"/>
  <c r="C96" i="2"/>
  <c r="B96" i="2"/>
  <c r="A96" i="2"/>
  <c r="C95" i="2"/>
  <c r="B95" i="2"/>
  <c r="A95" i="2"/>
  <c r="C94" i="2"/>
  <c r="B94" i="2"/>
  <c r="A94" i="2"/>
  <c r="C93" i="2"/>
  <c r="B93" i="2"/>
  <c r="A93" i="2"/>
  <c r="C92" i="2"/>
  <c r="B92" i="2"/>
  <c r="A92" i="2"/>
  <c r="C91" i="2"/>
  <c r="B91" i="2"/>
  <c r="A91" i="2"/>
  <c r="C90" i="2"/>
  <c r="B90" i="2"/>
  <c r="A90" i="2"/>
  <c r="C89" i="2"/>
  <c r="B89" i="2"/>
  <c r="A89" i="2"/>
  <c r="C88" i="2"/>
  <c r="B88" i="2"/>
  <c r="A88" i="2"/>
  <c r="C87" i="2"/>
  <c r="B87" i="2"/>
  <c r="A87" i="2"/>
  <c r="C86" i="2"/>
  <c r="B86" i="2"/>
  <c r="A86" i="2"/>
  <c r="C85" i="2"/>
  <c r="B85" i="2"/>
  <c r="A85" i="2"/>
  <c r="C84" i="2"/>
  <c r="B84" i="2"/>
  <c r="A84" i="2"/>
  <c r="C83" i="2"/>
  <c r="B83" i="2"/>
  <c r="A83" i="2"/>
  <c r="C82" i="2"/>
  <c r="B82" i="2"/>
  <c r="A82" i="2"/>
  <c r="C81" i="2"/>
  <c r="B81" i="2"/>
  <c r="A81" i="2"/>
  <c r="C80" i="2"/>
  <c r="B80" i="2"/>
  <c r="A80" i="2"/>
  <c r="C79" i="2"/>
  <c r="B79" i="2"/>
  <c r="A79" i="2"/>
  <c r="C78" i="2"/>
  <c r="B78" i="2"/>
  <c r="A78" i="2"/>
  <c r="C77" i="2"/>
  <c r="B77" i="2"/>
  <c r="A77" i="2"/>
  <c r="C76" i="2"/>
  <c r="B76" i="2"/>
  <c r="A76" i="2"/>
  <c r="C75" i="2"/>
  <c r="B75" i="2"/>
  <c r="A75" i="2"/>
  <c r="C74" i="2"/>
  <c r="B74" i="2"/>
  <c r="A74" i="2"/>
  <c r="C73" i="2"/>
  <c r="B73" i="2"/>
  <c r="A73" i="2"/>
  <c r="C72" i="2"/>
  <c r="B72" i="2"/>
  <c r="A72" i="2"/>
  <c r="C71" i="2"/>
  <c r="B71" i="2"/>
  <c r="A71" i="2"/>
  <c r="C70" i="2"/>
  <c r="B70" i="2"/>
  <c r="A70" i="2"/>
  <c r="C69" i="2"/>
  <c r="B69" i="2"/>
  <c r="A69" i="2"/>
  <c r="C68" i="2"/>
  <c r="B68" i="2"/>
  <c r="A68" i="2"/>
  <c r="C67" i="2"/>
  <c r="B67" i="2"/>
  <c r="A67" i="2"/>
  <c r="C66" i="2"/>
  <c r="B66" i="2"/>
  <c r="A66" i="2"/>
  <c r="C65" i="2"/>
  <c r="B65" i="2"/>
  <c r="A65" i="2"/>
  <c r="C64" i="2"/>
  <c r="B64" i="2"/>
  <c r="A64" i="2"/>
  <c r="C63" i="2"/>
  <c r="B63" i="2"/>
  <c r="A63" i="2"/>
  <c r="C62" i="2"/>
  <c r="B62" i="2"/>
  <c r="A62" i="2"/>
  <c r="C61" i="2"/>
  <c r="B61" i="2"/>
  <c r="A61" i="2"/>
  <c r="C60" i="2"/>
  <c r="B60" i="2"/>
  <c r="A60" i="2"/>
  <c r="C59" i="2"/>
  <c r="B59" i="2"/>
  <c r="A59" i="2"/>
  <c r="C58" i="2"/>
  <c r="B58" i="2"/>
  <c r="A58" i="2"/>
  <c r="C57" i="2"/>
  <c r="B57" i="2"/>
  <c r="A57" i="2"/>
  <c r="C56" i="2"/>
  <c r="B56" i="2"/>
  <c r="A56" i="2"/>
  <c r="C55" i="2"/>
  <c r="B55" i="2"/>
  <c r="A55" i="2"/>
  <c r="C54" i="2"/>
  <c r="B54" i="2"/>
  <c r="A54" i="2"/>
  <c r="C53" i="2"/>
  <c r="B53" i="2"/>
  <c r="A53" i="2"/>
  <c r="C52" i="2"/>
  <c r="B52" i="2"/>
  <c r="A52" i="2"/>
  <c r="C51" i="2"/>
  <c r="B51" i="2"/>
  <c r="A51" i="2"/>
  <c r="C50" i="2"/>
  <c r="B50" i="2"/>
  <c r="A50" i="2"/>
  <c r="C49" i="2"/>
  <c r="B49" i="2"/>
  <c r="A49" i="2"/>
  <c r="C48" i="2"/>
  <c r="B48" i="2"/>
  <c r="A48" i="2"/>
  <c r="C47" i="2"/>
  <c r="B47" i="2"/>
  <c r="A47" i="2"/>
  <c r="C46" i="2"/>
  <c r="B46" i="2"/>
  <c r="A46" i="2"/>
  <c r="C45" i="2"/>
  <c r="B45" i="2"/>
  <c r="A45" i="2"/>
  <c r="C44" i="2"/>
  <c r="B44" i="2"/>
  <c r="A44" i="2"/>
  <c r="C43" i="2"/>
  <c r="B43" i="2"/>
  <c r="A43" i="2"/>
  <c r="C42" i="2"/>
  <c r="B42" i="2"/>
  <c r="A42" i="2"/>
  <c r="C41" i="2"/>
  <c r="B41" i="2"/>
  <c r="A41" i="2"/>
  <c r="C40" i="2"/>
  <c r="B40" i="2"/>
  <c r="A40" i="2"/>
  <c r="C39" i="2"/>
  <c r="B39" i="2"/>
  <c r="A39" i="2"/>
  <c r="C38" i="2"/>
  <c r="B38" i="2"/>
  <c r="A38" i="2"/>
  <c r="C37" i="2"/>
  <c r="B37" i="2"/>
  <c r="A37" i="2"/>
  <c r="C36" i="2"/>
  <c r="B36" i="2"/>
  <c r="A36" i="2"/>
  <c r="C35" i="2"/>
  <c r="B35" i="2"/>
  <c r="A35" i="2"/>
  <c r="C34" i="2"/>
  <c r="B34" i="2"/>
  <c r="A34" i="2"/>
  <c r="C33" i="2"/>
  <c r="B33" i="2"/>
  <c r="A33" i="2"/>
  <c r="C32" i="2"/>
  <c r="B32" i="2"/>
  <c r="A32" i="2"/>
  <c r="C31" i="2"/>
  <c r="B31" i="2"/>
  <c r="A31" i="2"/>
  <c r="C30" i="2"/>
  <c r="B30" i="2"/>
  <c r="A30" i="2"/>
  <c r="C29" i="2"/>
  <c r="B29" i="2"/>
  <c r="A29" i="2"/>
  <c r="C28" i="2"/>
  <c r="B28" i="2"/>
  <c r="A28" i="2"/>
  <c r="C27" i="2"/>
  <c r="B27" i="2"/>
  <c r="A27" i="2"/>
  <c r="C26" i="2"/>
  <c r="B26" i="2"/>
  <c r="A26" i="2"/>
  <c r="C25" i="2"/>
  <c r="B25" i="2"/>
  <c r="A25" i="2"/>
  <c r="C24" i="2"/>
  <c r="B24" i="2"/>
  <c r="A24" i="2"/>
  <c r="C23" i="2"/>
  <c r="B23" i="2"/>
  <c r="A23" i="2"/>
  <c r="C22" i="2"/>
  <c r="B22" i="2"/>
  <c r="A22" i="2"/>
  <c r="C21" i="2"/>
  <c r="B21" i="2"/>
  <c r="A21" i="2"/>
  <c r="C20" i="2"/>
  <c r="B20" i="2"/>
  <c r="A20" i="2"/>
  <c r="C19" i="2"/>
  <c r="B19" i="2"/>
  <c r="A19" i="2"/>
  <c r="C18" i="2"/>
  <c r="B18" i="2"/>
  <c r="A18" i="2"/>
  <c r="C17" i="2"/>
  <c r="B17" i="2"/>
  <c r="A17" i="2"/>
  <c r="C16" i="2"/>
  <c r="B16" i="2"/>
  <c r="A16" i="2"/>
  <c r="C15" i="2"/>
  <c r="B15" i="2"/>
  <c r="A15" i="2"/>
  <c r="C14" i="2"/>
  <c r="B14" i="2"/>
  <c r="A14" i="2"/>
  <c r="C13" i="2"/>
  <c r="B13" i="2"/>
  <c r="A13" i="2"/>
  <c r="C12" i="2"/>
  <c r="B12" i="2"/>
  <c r="A12" i="2"/>
  <c r="C11" i="2"/>
  <c r="B11" i="2"/>
  <c r="A11" i="2"/>
  <c r="C10" i="2"/>
  <c r="B10" i="2"/>
  <c r="A10" i="2"/>
  <c r="C9" i="2"/>
  <c r="B9" i="2"/>
  <c r="A9" i="2"/>
  <c r="C8" i="2"/>
  <c r="B8" i="2"/>
  <c r="A8" i="2"/>
  <c r="C7" i="2"/>
  <c r="B7" i="2"/>
  <c r="A7" i="2"/>
  <c r="C6" i="2"/>
  <c r="B6" i="2"/>
  <c r="A6" i="2"/>
  <c r="C5" i="2"/>
  <c r="B5" i="2"/>
  <c r="A5" i="2"/>
  <c r="C4" i="2"/>
  <c r="B4" i="2"/>
  <c r="A4" i="2"/>
  <c r="C3" i="2"/>
  <c r="B3" i="2"/>
  <c r="A3" i="2"/>
  <c r="C2" i="2"/>
  <c r="B2" i="2"/>
  <c r="A2" i="2"/>
</calcChain>
</file>

<file path=xl/sharedStrings.xml><?xml version="1.0" encoding="utf-8"?>
<sst xmlns="http://schemas.openxmlformats.org/spreadsheetml/2006/main" count="1884" uniqueCount="1809">
  <si>
    <t>Txn Date</t>
  </si>
  <si>
    <t>Value Date</t>
  </si>
  <si>
    <t>Cheque No.</t>
  </si>
  <si>
    <t>Description</t>
  </si>
  <si>
    <t>Branch Code</t>
  </si>
  <si>
    <t>Debit</t>
  </si>
  <si>
    <t>Credit</t>
  </si>
  <si>
    <t>Balance</t>
  </si>
  <si>
    <t>IB OAT 9190700 120001771174 DRIPS FOODS PRIVATE LIMITED OTH-Transfer</t>
  </si>
  <si>
    <t xml:space="preserve">IB NEFT Dr CNRBH00128663514 Rohan Vimal Shah  HDFC0000204 59124011995775 Travel and Fuel Allowance </t>
  </si>
  <si>
    <t>SC NEFT OTHER THAN SB IMB</t>
  </si>
  <si>
    <t>IB NEFT Dr CNRBH00128663845 Shiven Chaturvedi  KKBK0001360 8946481884 Travel and Fuel Allowance Jan  June</t>
  </si>
  <si>
    <t>IB NEFT Dr CNRBH00128663962 Darshan Gattani  HDFC0004371 50100142836084 Travel and Fuel Allowance Jan  June</t>
  </si>
  <si>
    <t>IB NEFT Dr CNRBH00128642227 Krishna Products  KCCB0PCV013 01320104912 Payment</t>
  </si>
  <si>
    <t>IB NEFT Dr CNRBH00128664630 Hi Tech Natural Products  PUNB0052010 05204015010754 01506</t>
  </si>
  <si>
    <t>IB NEFT Dr CNRBH00128642898 Nutralife Foods LLP  IDFB0040342 26042019012 Payment NLFL 25 26 105</t>
  </si>
  <si>
    <t>IB NEFT Dr CNRBH00128665455 Redhive ODM LLP  SBIN0010560 42104060142 RH CPCRI feb</t>
  </si>
  <si>
    <t>IB NEFT Dr CNRBH00128643465 Darbar Uniforms and workwear  KCCB0MDR030 03020101229 20 2627</t>
  </si>
  <si>
    <t>IB NEFT Dr CNRBH00128665925 Mistry Rahul Jagdishbhai  UBIN0574627 746202010008189 Allowance April 26</t>
  </si>
  <si>
    <t xml:space="preserve">IB NEFT Dr CNRBH00128666067 Adarsh Industries  IOBA0000353 035302000002677 Payment </t>
  </si>
  <si>
    <t>IB NEFT Dr CNRBH00128666284 Aarav Fragrances And Flavours Pvt L  HDFC0002503 25032790000011 0823</t>
  </si>
  <si>
    <t>IB NEFT Dr CNRBH00128651957 VRL  ICIC0000157 015705001575 Asha Ram</t>
  </si>
  <si>
    <t>IB NEFT Dr CNRBH00128968042 Somabhai Ghanshyambhai Beldar  KKBK0000158 3749436130 RO Factory Payment</t>
  </si>
  <si>
    <t>IB NEFT Dr CNRBH00128907634 Star trading Company  UTIB0001064 917020024867644 2 2627</t>
  </si>
  <si>
    <t>IB ITG 1065200 Online Transaction BDP-SHIPROCK-RAZORPAY-SkpBiNG6UPLnCC-CLIENTCODE</t>
  </si>
  <si>
    <t>IB OAT 74597800 120001771174 DRIPS FOODS PRIVATE LIMITED OTH-Transfer</t>
  </si>
  <si>
    <t>IB NEFT Dr CNRBH00129350367 Mistry Rahul Jagdishbhai  UBIN0574627 746202010008189 Advance on April Salary</t>
  </si>
  <si>
    <t>IB NEFT Dr CNRBH00129350446 Riteshbhai Ganpatbhai Parmar  UBIN0562998 629902010005544 Milk Factory Expense</t>
  </si>
  <si>
    <t>IB OAT 67857500 120001771174 DRIPS FOODS PRIVATE LIMITED OTH-Transfer</t>
  </si>
  <si>
    <t>IB NEFT Dr CNRBH00129721383 Swiss Pac Pvt Ltd  UTIB0000013 912020008644558 Payment</t>
  </si>
  <si>
    <t>IB NEFT Dr CNRBH00129721587 IKIGAI CHASE PRIVATE LIMITED  HDFC0001794 50200067159245  INV 2627 1513</t>
  </si>
  <si>
    <t>IB NEFT Dr CNRBH00129684059 Ameya performant pvt ltd  IDIB000B011 6618376389 PID201</t>
  </si>
  <si>
    <t>170006544612    -DRIPS FOODS PRIVATE Drawdown From CASA.</t>
  </si>
  <si>
    <t>IB ITG 6736200 Online Transaction BDP-CRED-CASHFREE-5520744087-CRED</t>
  </si>
  <si>
    <t>IB NEFT Dr CNRBH00130116341 VKE Food Solution Private Limited  KCCB0NAR050 05020100613 Payment</t>
  </si>
  <si>
    <t>IB NEFT Dr CNRBH00130076925 Trunative FB Pvt Ltd  KKBK0000962 9182736451 85569</t>
  </si>
  <si>
    <t>IB NEFT Dr CNRBH00130119848 John Sony Kannampally  FDRL0001016 10160100211978 Advance on reel</t>
  </si>
  <si>
    <t>IB NEFT Dr CNRBH00130079603 ALANKIT ASSIGNMENTS LTD  UBIN0531791 317904010060395 2526 RTA 7242</t>
  </si>
  <si>
    <t>IB NEFT Dr CNRBH00130122360 Thakkar Enterprise  NKGS0000034 034110100000468 150</t>
  </si>
  <si>
    <t>IB NEFT Dr CNRBH00130231887 Flavaroma Flavours and Fragrances  ICIC0004296 429605000453 136</t>
  </si>
  <si>
    <t>IB ITG 6068800 Online Transaction BDP-ORCHESTRADE TEC-CCAVENUEF-114492962685-101</t>
  </si>
  <si>
    <t>IB ITG 8551400 Online Transaction BDP-TIN-352507052600040179-3110201012954</t>
  </si>
  <si>
    <t>IB OAT 30430200 120001771174 DRIPS FOODS PRIVATE LIMITED OTH-Transfer</t>
  </si>
  <si>
    <t>IB NEFT Dr CNRBH00130625944 Santosh Ingle  ICIC0003471 347101501017 Drips Foods Salary April 26</t>
  </si>
  <si>
    <t>IB NEFT Dr CNRBH00130626291 Vijay Balgovind Gupta  SBIN0008373 31540001134 Drips Foods Salary April 26</t>
  </si>
  <si>
    <t>IB NEFT Dr CNRBH00130626617 Sanju Factory  IDIB000K781 22150466974 Drips Foods Salary April 26</t>
  </si>
  <si>
    <t>IB NEFT Dr CNRBH00130627366 Sonalben M Damor  BARB0PANDAR 11278100005316 Drips Foods Salary April 26</t>
  </si>
  <si>
    <t>IB NEFT Dr CNRBH00130595633 Sangada Suhaniben  BKID0002045 204518210000084 Drips Foods Salary April 26</t>
  </si>
  <si>
    <t>IB NEFT Dr CNRBH00130629586 Shinde Chandrashekar Dattatray  UBIN0560898 608902010013482 Drips Foods Salary April 26</t>
  </si>
  <si>
    <t>IB IFT 33815900 110240580064 SENVA MANISHABEN KIRITBHAI Online Transaction OTH-Drips Foods Salary April 26</t>
  </si>
  <si>
    <t>IB NEFT Dr CNRBH00130633100 Sudhir Balgovind Gupta  SBIN0008373 31852904835 Drips Foods Salary April 26</t>
  </si>
  <si>
    <t>IB NEFT Dr CNRBH00130637436 Dimple Ravjani  SBIN0011304 34214565955 Drips Foods Salary April 26</t>
  </si>
  <si>
    <t>IB NEFT Dr CNRBH00130639253 Sanjay Pundalik Rukekar  BARB0DBTHEN 99020100010923 Drips Foods Salary April 26</t>
  </si>
  <si>
    <t>IB NEFT Dr CNRBH00130640895 Hemant Pal Singh  SBIN0002296 41592215289 Drips Foods Salary April 26</t>
  </si>
  <si>
    <t>IB NEFT Dr CNRBH00130604695 Aakash yadav  KKBK0003542 8848441580 Drips Foods Salary April 26</t>
  </si>
  <si>
    <t>IB NEFT Dr CNRBH00130880029 Nitin Borana  HDFC0006309 50100642000046 Drips Foods marketing April 2026</t>
  </si>
  <si>
    <t>IB NEFT Dr CNRBH00130880078 Rani Gupta  TMSB0000004 100422211006385 Drips Foods Sampling April 2026</t>
  </si>
  <si>
    <t>IB NEFT Dr CNRBH00130974303 Riteshbhai Ganpatbhai Parmar  UBIN0562998 629902010005544 factory Floater labour</t>
  </si>
  <si>
    <t>IB NEFT Dr CNRBH00130931003 Mistry Rahul Jagdishbhai  UBIN0574627 746202010008189 Drips Foods Floater Labour</t>
  </si>
  <si>
    <t>IB ITG 576800 Online Transaction BDP-SHIPROCK-RAZORPAY-SnYfTFWO7uH16H-CLIENTCODE</t>
  </si>
  <si>
    <t>Chq Paid-MICR Inward Clearing-SHREE GANESH ENTERPRISE-DEUTSCHE BANK (DTB)-DEUTSCHE BANK (DEU)N20</t>
  </si>
  <si>
    <t>IB NEFT Dr CNRBH00131321247 Avinash Cargo Private Limited  ICIC0006460 646005002051 Payment Swiss packaging</t>
  </si>
  <si>
    <t>IB OAT 27787700 120001771174 DRIPS FOODS PRIVATE LIMITED OTH-Transfer</t>
  </si>
  <si>
    <t>IB ITG 3302600 Online Transaction BDP-ESI-105120526035415-3525201000188</t>
  </si>
  <si>
    <t>IB OAT 64465600 120001771174 DRIPS FOODS PRIVATE LIMITED OTH-Transfer</t>
  </si>
  <si>
    <t>IB ITG 1575400 Online Transaction BDP-SHIPROCK-RAZORPAY-SokJZnJcuhH6Rq-CLIENTCODE</t>
  </si>
  <si>
    <t>IB OAT 16903800 120001771174 DRIPS FOODS PRIVATE LIMITED OTH-Transfer</t>
  </si>
  <si>
    <t>IB NEFT Dr CNRBH00131997592 Siddharth Loungani  ICIC0000315 031501549498 Video Jaipur</t>
  </si>
  <si>
    <t>IB NEFT Dr CNRBH00131998637 Sudhirr Madishetty  SBIN0002772 33421773503 Hyderabad Marketing One time amount</t>
  </si>
  <si>
    <t>IB NEFT Dr CNRBH00131999385 Colonel Consulting Partners LLP  HDFC0000036 59207405260342 APril Invoice</t>
  </si>
  <si>
    <t>IB NEFT Dr CNRBH00132016855 Niramish Now  SBIN0005658 39636060583 Payment</t>
  </si>
  <si>
    <t>IB NEFT Dr CNRBH00132000273 Krishna Products  KCCB0PCV013 01320104912 Payment</t>
  </si>
  <si>
    <t>IB NEFT Dr CNRBH00132017927 Synthite Industries Private Limited  ICIC0000103 SYN1010009749 2200086260</t>
  </si>
  <si>
    <t>IB NEFT Dr CNRBH00132002023 Bajaj Industries  HDFC0003652 50200066189045 Payment</t>
  </si>
  <si>
    <t>IB ITG 1254000 Online Transaction BDP-SHIPROCK-RAZORPAY-SpWrmpYdBOelwO-CLIENTCODE</t>
  </si>
  <si>
    <t>IB NEFT Dr CNRBH00132229800 Scope Health and Wellness Pvt Ltd  HSBC0600002 042110007001 payment</t>
  </si>
  <si>
    <t>IB ITG 3734600 Online Transaction BDP-EPF-015150526064387-2605183127273-3525201000168</t>
  </si>
  <si>
    <t>UPI/CR/109824093691/NANDHANI /ICIC/**9.ibz@icici/UPI Pay//ICIa7004f97f75545ff842356ee32548289/16/05/2026 15:11:14</t>
  </si>
  <si>
    <t>IB OAT 39822900 120001771174 DRIPS FOODS PRIVATE LIMITED OTH-Transfer</t>
  </si>
  <si>
    <t>IB NEFT Dr CNRBH00132722541 Indra Hassija  SBIN0016531 38923553376 Rent May 2026</t>
  </si>
  <si>
    <t>IB NEFT Dr CNRBH00132689442 Flavaroma Flavours and Fragrances  ICIC0004296 429605000453 Payment against PO 012</t>
  </si>
  <si>
    <t>IB NEFT Dr CNRBH00132733120 Revelations Biotech Private Limited  SBIN0010104 41507317565 PI 115</t>
  </si>
  <si>
    <t>IB ITG 2009500 Online Transaction BDP-SHIPROCK-RAZORPAY-SqVoOiPTOQNkLM-CLIENTCODE</t>
  </si>
  <si>
    <t>IB OAT 31260800 120001771174 DRIPS FOODS PRIVATE LIMITED OTH-Transfer</t>
  </si>
  <si>
    <t>IB NEFT Dr CNRBH00132968878 Anil Bhati  SBIN0004267 33379420918 April Goa Promotion</t>
  </si>
  <si>
    <t>IB NEFT Dr CNRBH00132940655 SM Ice cream Mart  KKBK0000323 1045827898 Wafer</t>
  </si>
  <si>
    <t xml:space="preserve">IB NEFT Dr CNRBH00132941296 Prashant Gurung  PUNB0469000 4690000100114691 Payment for Reel </t>
  </si>
  <si>
    <t>IB NEFT Dr CNRBH00132970531 Krishna Ramchandani  SBIN0030272 42447024012 Video Payment</t>
  </si>
  <si>
    <t>IB NEFT Dr CNRBH00132972269 KAM Konsulents Private Limited  ICIC0007391 739105000264 000153</t>
  </si>
  <si>
    <t>IB OAT 60272200 120001771174 DRIPS FOODS PRIVATE LIMITED OTH-Transfer</t>
  </si>
  <si>
    <t>IB NEFT Dr CNRBH00133035251 Chandra Logistics Services  KKBK0000838 3547343692 Payment 042</t>
  </si>
  <si>
    <t>IB NEFT Dr CNRBH00133080148 Shree Ganesh Enterprise  UTIB0001530 916030037468335 3492</t>
  </si>
  <si>
    <t>GSTN10819052619455-209272804</t>
  </si>
  <si>
    <t>IB OAT 27292500 120001771174 DRIPS FOODS PRIVATE LIMITED OTH-Transfer</t>
  </si>
  <si>
    <t>IB ITG 2061100 Online Transaction BDP-SHIPROCK-RAZORPAY-SrwIgAEujGV8kG-CLIENTCODE</t>
  </si>
  <si>
    <t>IB OAT 30534700 120001771174 DRIPS FOODS PRIVATE LIMITED OTH-Transfer</t>
  </si>
  <si>
    <t xml:space="preserve">IB NEFT Dr CNRBH00133585332 Rajesh Jayantilal Drona  IBKL0000513 0513104000187107 Expense </t>
  </si>
  <si>
    <t>IB OAT 6466100 120001771174 DRIPS FOODS PRIVATE LIMITED OTH-Transfer</t>
  </si>
  <si>
    <t>IB NEFT Dr CNRBH00134028254 Krishna Products  KCCB0PCV013 01320104912 Payment</t>
  </si>
  <si>
    <t>IB NEFT Dr CNRBH00134029213 Regency Global ingredient LLP  KKBK0001370 5946763422 Payment</t>
  </si>
  <si>
    <t>IB NEFT Dr CNRBH00134156399 NSDL New  ICIC0000106 NSDLCF1FOS Annual Fees</t>
  </si>
  <si>
    <t>IB OAT 64141100 120001771174 DRIPS FOODS PRIVATE LIMITED OTH-Transfer</t>
  </si>
  <si>
    <t>IB NEFT Dr CNRBH00134209888 Satgurukrupa Dryfruits and Nuts  ICIC0001396 139605501005 Payment for Quinoa</t>
  </si>
  <si>
    <t>IB NEFT Dr CNRBH00134209930 Shinde Chandrashekar Dattatray  UBIN0560898 608902010013482 TA DA April 26</t>
  </si>
  <si>
    <t>IB NEFT Dr CNRBH00134221046 Nitin Borana  HDFC0006309 50100642000046 TA DA April 26</t>
  </si>
  <si>
    <t>IB NEFT Dr CNRBH00134209968 Sanjay Pundalik Rukekar  BARB0DBTHEN 99020100010923 TA DA April 26</t>
  </si>
  <si>
    <t>IB NEFT Dr CNRBH00134221120 Santosh Ingle  ICIC0003471 347101501017 TA DA April 26</t>
  </si>
  <si>
    <t>IB NEFT Dr CNRBH00134221171 Sudhir Balgovind Gupta  SBIN0008373 31852904835 Goa Expense Reimburse</t>
  </si>
  <si>
    <t xml:space="preserve">IB NEFT Dr CNRBH00134221189 Vaibhav Vinay Toshniwal  HDFC0009326 50100411809718 Expense April </t>
  </si>
  <si>
    <t>IB NEFT Dr CNRBH00134221205 Vijay Balgovind Gupta  SBIN0008373 31540001134 TA DA April 26</t>
  </si>
  <si>
    <t>IB ITG 364700 Online Transaction BDP-SHIPROCK-RAZORPAY-St59RJaxX8u6FQ-CLIENTCODE</t>
  </si>
  <si>
    <t>Bank Accounts</t>
  </si>
  <si>
    <t>Canara Bank A/c-120001771174</t>
  </si>
  <si>
    <t>HDFC Bank-50200088973020</t>
  </si>
  <si>
    <t>Hdfc Bank-59210801080108</t>
  </si>
  <si>
    <t>HDFC ESCROW A/c 50200088973020</t>
  </si>
  <si>
    <t>Cash-in-Hand</t>
  </si>
  <si>
    <t>Cash</t>
  </si>
  <si>
    <t>Deposits (Asset)</t>
  </si>
  <si>
    <t>Lease Deposit</t>
  </si>
  <si>
    <t>NSDL Security Deposit</t>
  </si>
  <si>
    <t>GST</t>
  </si>
  <si>
    <t>Inward GST</t>
  </si>
  <si>
    <t>Capital ITC</t>
  </si>
  <si>
    <t>Inward CGST @ 14% Capital</t>
  </si>
  <si>
    <t>Inward CGST @ 9% Capital</t>
  </si>
  <si>
    <t>Inward IGST @ 18% Capital</t>
  </si>
  <si>
    <t>Inward SGST @ 14%Capital</t>
  </si>
  <si>
    <t>Inward SGST @ 9% Capital</t>
  </si>
  <si>
    <t>Inter-State ITC</t>
  </si>
  <si>
    <t>Inward IGST @12%</t>
  </si>
  <si>
    <t>Inward IGST @18 %</t>
  </si>
  <si>
    <t>Inward IGST @ 3%</t>
  </si>
  <si>
    <t>Inward IGST @ 5%</t>
  </si>
  <si>
    <t>Intra-State ITC</t>
  </si>
  <si>
    <t>Inward CGST @ 2.5%</t>
  </si>
  <si>
    <t>Inward CGST @ 6%</t>
  </si>
  <si>
    <t>Inward CGST @ 9%</t>
  </si>
  <si>
    <t>Inward SGST @ 2.5%</t>
  </si>
  <si>
    <t>Inward SGST @ 6%</t>
  </si>
  <si>
    <t>Inward SGST @9 %</t>
  </si>
  <si>
    <t>Inward CGST @ 14%</t>
  </si>
  <si>
    <t>Inward IGST @12 % Capital</t>
  </si>
  <si>
    <t>Inward SGST @ 14%</t>
  </si>
  <si>
    <t>Output GST</t>
  </si>
  <si>
    <t>Output CGST @2.5%</t>
  </si>
  <si>
    <t>Output CGST @6%</t>
  </si>
  <si>
    <t>OUTPUT CGST@9%</t>
  </si>
  <si>
    <t>Output IGST @12%</t>
  </si>
  <si>
    <t>OUTPUT IGST@18%</t>
  </si>
  <si>
    <t>Output IGST @5%</t>
  </si>
  <si>
    <t>Output SGST @2.5%</t>
  </si>
  <si>
    <t>Output SGST @6%</t>
  </si>
  <si>
    <t>OUTPUT SGST@9%</t>
  </si>
  <si>
    <t>GST Payable &amp; Receivable</t>
  </si>
  <si>
    <t>Loans &amp; Advances (Asset)</t>
  </si>
  <si>
    <t>Gattani Sanitaries and Electricals (Loan)</t>
  </si>
  <si>
    <t>Other Current Asset</t>
  </si>
  <si>
    <t>Tds Receivables FY 2024-25</t>
  </si>
  <si>
    <t>Stock-in-Hand</t>
  </si>
  <si>
    <t>Finished Stock</t>
  </si>
  <si>
    <t>Raw Materials Stock</t>
  </si>
  <si>
    <t>Sundry Debtors</t>
  </si>
  <si>
    <t>Amazon-B2B</t>
  </si>
  <si>
    <t>Gujarat-24 (Amazon)</t>
  </si>
  <si>
    <t>AIRAN LIMITED</t>
  </si>
  <si>
    <t>BRIGHT GEMS</t>
  </si>
  <si>
    <t>Drips Food Pvt Ltd (K)(Dr) (Amazon)(Guj to Kar)</t>
  </si>
  <si>
    <t>Drips Foods Pvt Ltd (H)(Dr) (Amazon)(Guj to Har)</t>
  </si>
  <si>
    <t>EGAIA ASSOCIATES</t>
  </si>
  <si>
    <t>Eliture Apparel (OPC) Private Limited</t>
  </si>
  <si>
    <t>HEALTH REACTIVE-Amazon-B2B</t>
  </si>
  <si>
    <t>NIRVANA HAMTA RETREAT</t>
  </si>
  <si>
    <t>POLYGRAPH PRINTING TECHNOLOGIES LTD</t>
  </si>
  <si>
    <t>RELIABLE ENGINEERING</t>
  </si>
  <si>
    <t>SUDEV NAIR FILMS PRIVATE LIMITED(G)</t>
  </si>
  <si>
    <t>SYNTHITE INDUSTRIES PRIVATE LIMITED-32</t>
  </si>
  <si>
    <t>TANISH META SOLUTION</t>
  </si>
  <si>
    <t>Vaishali &amp; Associates-Amazon B2B</t>
  </si>
  <si>
    <t>VIEG SERVICES PRIVATE LIMITED</t>
  </si>
  <si>
    <t>Haryana-06 (Amazon)</t>
  </si>
  <si>
    <t>Dhingra Traders</t>
  </si>
  <si>
    <t>Drips Food Pvt Ltd(G)(Dr)(Amazon)(Har to Guj)</t>
  </si>
  <si>
    <t>Drips Food Pvt Ltd(K)(DR)(Amazon)(Har to Kar)</t>
  </si>
  <si>
    <t>DRK INFRA SOLUTIONS PRIVATE LIMITED</t>
  </si>
  <si>
    <t>Karvan Brands Private Limited-Amazon-B2B</t>
  </si>
  <si>
    <t>Laksh Computers-Amazon B2B</t>
  </si>
  <si>
    <t>Mradul Goel</t>
  </si>
  <si>
    <t>RUPESH RAJENDRA GHOGARE</t>
  </si>
  <si>
    <t>SIMPLEX CASTINGS LIMITED</t>
  </si>
  <si>
    <t>S S JEWELLERS</t>
  </si>
  <si>
    <t>ST CREATIONS</t>
  </si>
  <si>
    <t>SUDEV NAIR FILMS PRIVATE LIMITED(H)</t>
  </si>
  <si>
    <t>VK Enterprises-Amazon-B2B</t>
  </si>
  <si>
    <t>Karanataka-29 (Amazon)</t>
  </si>
  <si>
    <t>AARYA ENTERPRISES</t>
  </si>
  <si>
    <t>ACIES LLP</t>
  </si>
  <si>
    <t>C P Agencies-Amazon B2B</t>
  </si>
  <si>
    <t>Designscape &amp; Country of Origin-Amazon B2B</t>
  </si>
  <si>
    <t>Drips food pvt ltd (G)(dr)(amazon)(kar to Guj)</t>
  </si>
  <si>
    <t>Drips food pvt ltd (H)(dr)(amazon)(Kar to har)</t>
  </si>
  <si>
    <t>DURVA ASSOCIATES</t>
  </si>
  <si>
    <t>Nagaraj Srinivasa</t>
  </si>
  <si>
    <t>ROSHNEE BILIMORIA</t>
  </si>
  <si>
    <t>STANDARD PRIME EXPORT INDORE PVT LTD</t>
  </si>
  <si>
    <t>SUDEV NAIR FILMS PRIVATE LIMITED(K)</t>
  </si>
  <si>
    <t>27DCCPA8912A1Z5</t>
  </si>
  <si>
    <t>ADEES EXPORTS</t>
  </si>
  <si>
    <t>MYSTIC MANN PANELS PRIVATE LIMITED</t>
  </si>
  <si>
    <t>NURUDEEN MOHAMMED ABDULKHARIM</t>
  </si>
  <si>
    <t>PRIMENUMBERS TECHNOLOGIES PRIVATE LIMITED</t>
  </si>
  <si>
    <t>RAJABHAU MADHUKARRAO BHATE</t>
  </si>
  <si>
    <t>TRIOSE PRIVATE LIMITED</t>
  </si>
  <si>
    <t>Amazon-B2C</t>
  </si>
  <si>
    <t>B2C (Guj to Guj)</t>
  </si>
  <si>
    <t>B2C-(HAR TO HAR)</t>
  </si>
  <si>
    <t>B2C Interstate-01-J&amp;K</t>
  </si>
  <si>
    <t>B2C Interstate-02</t>
  </si>
  <si>
    <t>B2C Interstate-03</t>
  </si>
  <si>
    <t>B2C Interstate-04</t>
  </si>
  <si>
    <t>B2C Interstate-05</t>
  </si>
  <si>
    <t>B2C Interstate-06</t>
  </si>
  <si>
    <t>B2C Interstate-07</t>
  </si>
  <si>
    <t>B2C Interstate-08</t>
  </si>
  <si>
    <t>B2C Interstate-09</t>
  </si>
  <si>
    <t>B2C Interstate-10</t>
  </si>
  <si>
    <t>B2C Interstate-11</t>
  </si>
  <si>
    <t>B2C Interstate-15</t>
  </si>
  <si>
    <t>B2C Interstate-17</t>
  </si>
  <si>
    <t>B2C Interstate-18</t>
  </si>
  <si>
    <t>B2C Interstate-19</t>
  </si>
  <si>
    <t>B2C Interstate-20</t>
  </si>
  <si>
    <t>B2C Interstate-21</t>
  </si>
  <si>
    <t>B2C Interstate-22</t>
  </si>
  <si>
    <t>B2C Interstate-23</t>
  </si>
  <si>
    <t>B2C Interstate-24</t>
  </si>
  <si>
    <t>B2C Interstate27</t>
  </si>
  <si>
    <t>B2C Interstate-29</t>
  </si>
  <si>
    <t>B2C Interstate-30</t>
  </si>
  <si>
    <t>B2C Interstate-32</t>
  </si>
  <si>
    <t>B2C Interstate-33</t>
  </si>
  <si>
    <t>B2C Interstate-34</t>
  </si>
  <si>
    <t>B2C Interstate-36</t>
  </si>
  <si>
    <t>B2C Interstate-37</t>
  </si>
  <si>
    <t>B2C Interstste-35</t>
  </si>
  <si>
    <t>B2C-(KAR TO KAR)</t>
  </si>
  <si>
    <t>B2C K-K</t>
  </si>
  <si>
    <t>B2C T-T</t>
  </si>
  <si>
    <t>B2C-GJ</t>
  </si>
  <si>
    <t>Abdul Shaik</t>
  </si>
  <si>
    <t>Abhishek Chavakar-27</t>
  </si>
  <si>
    <t>ACHYUT MISRA</t>
  </si>
  <si>
    <t>Aditya Ishwar Sardanaa-03</t>
  </si>
  <si>
    <t>Aditya Jindal-27</t>
  </si>
  <si>
    <t>Ahtesham Khan</t>
  </si>
  <si>
    <t>Akash Varshney-09</t>
  </si>
  <si>
    <t>Akshay R</t>
  </si>
  <si>
    <t>Amandeep Singh-B2c-29</t>
  </si>
  <si>
    <t>Andrew Leo</t>
  </si>
  <si>
    <t>ANHAD SINGH ARORA-07</t>
  </si>
  <si>
    <t>Ankit Bajaj-18</t>
  </si>
  <si>
    <t>Ankit Chandak-24</t>
  </si>
  <si>
    <t>Ankit Chandak-Guj</t>
  </si>
  <si>
    <t>Anudeep Buddhi</t>
  </si>
  <si>
    <t>Anuradha shroff</t>
  </si>
  <si>
    <t>Archana Anand</t>
  </si>
  <si>
    <t>Aryan Bansal-09</t>
  </si>
  <si>
    <t>Ashu Gogia-B2c-07</t>
  </si>
  <si>
    <t>Ashutosh Merchant</t>
  </si>
  <si>
    <t>Avika Lal</t>
  </si>
  <si>
    <t>Ayush Pranav-29</t>
  </si>
  <si>
    <t>B2C Interstate-16</t>
  </si>
  <si>
    <t>Babu Dewasi-24</t>
  </si>
  <si>
    <t>BHARGAV MODI-27</t>
  </si>
  <si>
    <t>Chirag M</t>
  </si>
  <si>
    <t>CHIRAG TYAGI - B2C</t>
  </si>
  <si>
    <t>D2C Shopify</t>
  </si>
  <si>
    <t>Deepesh Shah</t>
  </si>
  <si>
    <t>Dev G-29</t>
  </si>
  <si>
    <t>Dr. Deepak Mota</t>
  </si>
  <si>
    <t>Fathima Rena Abdulla-32</t>
  </si>
  <si>
    <t>Forever Lifescience-24</t>
  </si>
  <si>
    <t>Ganesh Venkatesan-B2c-33</t>
  </si>
  <si>
    <t>Garima Jhanwar-24</t>
  </si>
  <si>
    <t>Harsh kumar</t>
  </si>
  <si>
    <t>Hemant Nassa-B2C-07</t>
  </si>
  <si>
    <t>Himanshu Bajaj-24</t>
  </si>
  <si>
    <t>Himanshu Pratap-24</t>
  </si>
  <si>
    <t>Ishan Patel-24</t>
  </si>
  <si>
    <t>Jaitra Narkar</t>
  </si>
  <si>
    <t>Jaskaran Singh-B2c-29</t>
  </si>
  <si>
    <t>Jay Shah-27</t>
  </si>
  <si>
    <t>Jeyavardhan K-27</t>
  </si>
  <si>
    <t>Kalyani Patle</t>
  </si>
  <si>
    <t>Kanika Verma</t>
  </si>
  <si>
    <t>Kashish Patel -B2C</t>
  </si>
  <si>
    <t>Kaushik-B2-29</t>
  </si>
  <si>
    <t>Ketan Prajapati</t>
  </si>
  <si>
    <t>Kiran S</t>
  </si>
  <si>
    <t>Krishnan V</t>
  </si>
  <si>
    <t>Kritika Mathur-08</t>
  </si>
  <si>
    <t>Kushagra Jain</t>
  </si>
  <si>
    <t>Madalsa Aggarwal</t>
  </si>
  <si>
    <t>Mahendra-24</t>
  </si>
  <si>
    <t>Manar Mankad</t>
  </si>
  <si>
    <t>Manish Agarwal-18</t>
  </si>
  <si>
    <t>Monish Anand-B2c-29</t>
  </si>
  <si>
    <t>Mr. Bhagwan Gattani-24</t>
  </si>
  <si>
    <t>Mr. Deshpande-24</t>
  </si>
  <si>
    <t>Naga saaketh Makam</t>
  </si>
  <si>
    <t>Naman Khurana</t>
  </si>
  <si>
    <t>Neelaksh Sharma-07</t>
  </si>
  <si>
    <t>Nicika Jhanwar - B2c</t>
  </si>
  <si>
    <t>Nikhil Redishetty-B2c-36</t>
  </si>
  <si>
    <t>Nikita Jain -B2c</t>
  </si>
  <si>
    <t>Nitesh Jain</t>
  </si>
  <si>
    <t>PARTHA RAJAK</t>
  </si>
  <si>
    <t>Priyanka S. - B2c</t>
  </si>
  <si>
    <t>Pushpendra Singh</t>
  </si>
  <si>
    <t>Puspa Devi</t>
  </si>
  <si>
    <t>Raaga Madappa</t>
  </si>
  <si>
    <t>Raghav Jhawar-29</t>
  </si>
  <si>
    <t>Raghav Mimani</t>
  </si>
  <si>
    <t>RAJNEESH KUMAR SAINI</t>
  </si>
  <si>
    <t>RAKESH RANJAN-B2c-24</t>
  </si>
  <si>
    <t>Ravi Trivedi -B2c</t>
  </si>
  <si>
    <t>Razorpay Software Pvt. Ltd.</t>
  </si>
  <si>
    <t>R I-B2c-36</t>
  </si>
  <si>
    <t>Rohan Shah-24</t>
  </si>
  <si>
    <t>Rohit Madaan-B2C-07</t>
  </si>
  <si>
    <t>Saniyah Mashhadi-B2c-24</t>
  </si>
  <si>
    <t>Sanyam Gupta-09</t>
  </si>
  <si>
    <t>Satya Patel-24</t>
  </si>
  <si>
    <t>Senthil kaliyannan-33</t>
  </si>
  <si>
    <t>Sharad Saxena</t>
  </si>
  <si>
    <t>Sheer Management--24</t>
  </si>
  <si>
    <t>Shivang Gupta</t>
  </si>
  <si>
    <t>Shivasheesh Sharma-B2c-07</t>
  </si>
  <si>
    <t>Shiven Chaturvedi-24</t>
  </si>
  <si>
    <t>Shivratan Somani-24</t>
  </si>
  <si>
    <t>Shreeshail Hingane</t>
  </si>
  <si>
    <t>Shubhra Mitra</t>
  </si>
  <si>
    <t>Sunil Bajaj-24</t>
  </si>
  <si>
    <t>SWASTIK VISIONS</t>
  </si>
  <si>
    <t>Tanish Gandhi</t>
  </si>
  <si>
    <t>Tarachand Mohata-24</t>
  </si>
  <si>
    <t>Tarun Hassija-24</t>
  </si>
  <si>
    <t>ULLAS V - B2c</t>
  </si>
  <si>
    <t>Vaibhav Toshniwal - B2c-24</t>
  </si>
  <si>
    <t>Varun N</t>
  </si>
  <si>
    <t>Vijay Ahuja</t>
  </si>
  <si>
    <t>Vikas Chaturvedi-27</t>
  </si>
  <si>
    <t>Viniza Tapp-B2c-27</t>
  </si>
  <si>
    <t>Vishakha Jaipuria-B2c-08</t>
  </si>
  <si>
    <t>Vishal Dhoot-24</t>
  </si>
  <si>
    <t>Vrinda Somanath</t>
  </si>
  <si>
    <t>Blink Sales /purchase</t>
  </si>
  <si>
    <t>Blink Commerce Private Limited-05</t>
  </si>
  <si>
    <t>BLINK COMMERCE PRIVATE LIMITED A2 Ahmedabad</t>
  </si>
  <si>
    <t>BLINK COMMERCE PRIVATE LIMITED JHAJJAR</t>
  </si>
  <si>
    <t>BLINK COMMERCE PRIVATE LIMITED Kolkata K4</t>
  </si>
  <si>
    <t>BLINK COMMERCE PRIVATE LIMITED MUMBAI</t>
  </si>
  <si>
    <t>BLINK COMMERCE PRIVATE LIMITED Pune P2</t>
  </si>
  <si>
    <t>BLINK COMMERCE PRIVATE LIMITED-Raj</t>
  </si>
  <si>
    <t>BLINK COMMERCE PRIVATE LIMITED- TN</t>
  </si>
  <si>
    <t>BLINK COMMERCE PRIVATE LIMITED - UP</t>
  </si>
  <si>
    <t>BLINK COMMERCE PRIVATE LIMITED -WB</t>
  </si>
  <si>
    <t>BLINKIT B2C-GUJARAT</t>
  </si>
  <si>
    <t>BLINKIT B2C-HARYANA</t>
  </si>
  <si>
    <t>BLINKIT B2C-KARNATAKA</t>
  </si>
  <si>
    <t>BLINKIT B2C- Telengana</t>
  </si>
  <si>
    <t>Blink It-Sales</t>
  </si>
  <si>
    <t>12 Flags Advisors Private Limited</t>
  </si>
  <si>
    <t>4SYZ Infotech Solutions Pvt Ltd</t>
  </si>
  <si>
    <t>AAHWAAN CREATIONS(H)</t>
  </si>
  <si>
    <t>AAHWAN CREATION</t>
  </si>
  <si>
    <t>Aayush Shah</t>
  </si>
  <si>
    <t>Abhilash Bhuyan</t>
  </si>
  <si>
    <t>Abhilash Sarangi</t>
  </si>
  <si>
    <t>Abhinash Kumar Poddar</t>
  </si>
  <si>
    <t>Abhiraj Shivhare</t>
  </si>
  <si>
    <t>Abhishek Sarwate</t>
  </si>
  <si>
    <t>ADARSH KUMAR</t>
  </si>
  <si>
    <t>ADHIKARI ENTERPRISES</t>
  </si>
  <si>
    <t>ADITI SHARMA</t>
  </si>
  <si>
    <t>Aditi Thakur</t>
  </si>
  <si>
    <t>Adityan Singh</t>
  </si>
  <si>
    <t>Adyant Chaturvedi</t>
  </si>
  <si>
    <t>AHA Group</t>
  </si>
  <si>
    <t>Aindrila Rakshit</t>
  </si>
  <si>
    <t>Akanksha Chaturvedi</t>
  </si>
  <si>
    <t>Akash Varshney</t>
  </si>
  <si>
    <t>AKKINENI WOMEN'S HOSPITALS PRIVATE LIMITED</t>
  </si>
  <si>
    <t>Akshay Chugh</t>
  </si>
  <si>
    <t>ALCHLONIST</t>
  </si>
  <si>
    <t>ALGHAR ENTERPRISES</t>
  </si>
  <si>
    <t>ALGO8 AI PRIVATE LIMITED</t>
  </si>
  <si>
    <t>Ali Deshmukh</t>
  </si>
  <si>
    <t>ALOK MATHUR</t>
  </si>
  <si>
    <t>ALPHA DIGITAL HEALTH PRIVATE LIMITED</t>
  </si>
  <si>
    <t>Aman Enterprise</t>
  </si>
  <si>
    <t>Amazon Sales</t>
  </si>
  <si>
    <t>Ambrella Nexus pvt ltd</t>
  </si>
  <si>
    <t>Amin Salon</t>
  </si>
  <si>
    <t>Amit Gulati</t>
  </si>
  <si>
    <t>Amogh Pendharkar</t>
  </si>
  <si>
    <t>AMTIK POLYMERS PVT LTD.</t>
  </si>
  <si>
    <t>Anand Rushdi</t>
  </si>
  <si>
    <t>ANBS ENTERPRISE PRIVATE LIMITED BANGALORE-07</t>
  </si>
  <si>
    <t>ANBS ENTERPRISE PRIVATE LIMITED CHENNAI</t>
  </si>
  <si>
    <t>ANBS ENTERPRISE PRIVATE LIMITED GURGAON</t>
  </si>
  <si>
    <t>ANBS ENTERPRISE PRIVATE LIMITED Hyderabad</t>
  </si>
  <si>
    <t>ANBS ENTERPRISE PRIVATE LIMITED MUMBAI</t>
  </si>
  <si>
    <t>ANBS ENTERPRISE PRIVATE LIMITED PUNE</t>
  </si>
  <si>
    <t>Anchal Trading Company</t>
  </si>
  <si>
    <t>Angan Enterprise-Sales</t>
  </si>
  <si>
    <t>Anil Bhargava</t>
  </si>
  <si>
    <t>ANITA TRADING CO</t>
  </si>
  <si>
    <t>Ankit Jain</t>
  </si>
  <si>
    <t>Anmol Hura</t>
  </si>
  <si>
    <t>ANMOL RECREATION SERVICES PRIVATE LIMITED</t>
  </si>
  <si>
    <t>Ansif Latheef</t>
  </si>
  <si>
    <t>Archita Purwar</t>
  </si>
  <si>
    <t>ARHAM INFRACON</t>
  </si>
  <si>
    <t>Arihant Distributor</t>
  </si>
  <si>
    <t>ARMSTRONG</t>
  </si>
  <si>
    <t>Arnav Agrawal</t>
  </si>
  <si>
    <t>A R O2O Commerce Pvt  Ltd</t>
  </si>
  <si>
    <t>Arora Sports Private Ltd.</t>
  </si>
  <si>
    <t>Arpit</t>
  </si>
  <si>
    <t>ARTISAN FOODS</t>
  </si>
  <si>
    <t>Arun Bhardwaj</t>
  </si>
  <si>
    <t>A. Rushabh Tradelink Private Limited</t>
  </si>
  <si>
    <t>Asha. Chat.</t>
  </si>
  <si>
    <t>Ashim Dhingra</t>
  </si>
  <si>
    <t>Ashish Karwa</t>
  </si>
  <si>
    <t>ASHISH R SHUKLA</t>
  </si>
  <si>
    <t>Ashoka construction company</t>
  </si>
  <si>
    <t>ASIAD INFRAPROJECTS LIMITED</t>
  </si>
  <si>
    <t>Athang Jain</t>
  </si>
  <si>
    <t>Atika Vaz</t>
  </si>
  <si>
    <t>Atul Kolankar</t>
  </si>
  <si>
    <t>Audentia Tech Ventures Pvt Ltd</t>
  </si>
  <si>
    <t>AURO ENGINEERS</t>
  </si>
  <si>
    <t>AUTO CARE SOLUTIONS (INDIA)</t>
  </si>
  <si>
    <t>AUXO ENTERTAINMENT</t>
  </si>
  <si>
    <t>AZEYA VENTURES</t>
  </si>
  <si>
    <t>B2C</t>
  </si>
  <si>
    <t>B2C (Flipkart)</t>
  </si>
  <si>
    <t>B2C Interstate-01 (Flipkart)</t>
  </si>
  <si>
    <t>B2C Interstate-02 (Flipkart)</t>
  </si>
  <si>
    <t>B2C Interstate-05 (Flipkart)</t>
  </si>
  <si>
    <t>B2C Interstate-06 (Flipkart)</t>
  </si>
  <si>
    <t>B2C Interstate-07 (Flipkart)</t>
  </si>
  <si>
    <t>B2C Interstate-08 (Flipkart)</t>
  </si>
  <si>
    <t>B2C Interstate-09 (Flipkart)</t>
  </si>
  <si>
    <t>B2C Interstate -10 (Flipkart)</t>
  </si>
  <si>
    <t>B2C Interstate-12</t>
  </si>
  <si>
    <t>B2C Interstate-13</t>
  </si>
  <si>
    <t>B2C Interstate-14</t>
  </si>
  <si>
    <t>B2C Interstate -15 (Flipkart)</t>
  </si>
  <si>
    <t>B2C Interstate-18 (Flipkart)</t>
  </si>
  <si>
    <t>B2C Interstate-19 (Flipkart)</t>
  </si>
  <si>
    <t>B2C Interstate-20 (Flipkart)</t>
  </si>
  <si>
    <t>B2C Interstate-21 (Flipkart)</t>
  </si>
  <si>
    <t>B2C Interstate- 22 (Flipkart)</t>
  </si>
  <si>
    <t>B2C Interstate-23 (Flipkart)</t>
  </si>
  <si>
    <t>B2C Interstate-26</t>
  </si>
  <si>
    <t>B2C Interstate-27 (Flipkart)</t>
  </si>
  <si>
    <t>B2C Interstate-29 (Flipkart)</t>
  </si>
  <si>
    <t>B2C Interstate -30 (Flipkart)</t>
  </si>
  <si>
    <t>B2C Interstate -32 (Flipkart)</t>
  </si>
  <si>
    <t>B2C Interstate-33 (Flipkart)</t>
  </si>
  <si>
    <t>B2C Interstate-36 (Flipkart)</t>
  </si>
  <si>
    <t>B2C Interstate-37 (Flipkart)</t>
  </si>
  <si>
    <t>B2C Interstste -03 (Flipkart)</t>
  </si>
  <si>
    <t>Bagadiya Traders</t>
  </si>
  <si>
    <t>BAGRRYS INDIA PRIVATE LIMITED</t>
  </si>
  <si>
    <t>Bajaj Tours and Travels</t>
  </si>
  <si>
    <t>Balaji Enterprise</t>
  </si>
  <si>
    <t>BANGARD COMMERCE</t>
  </si>
  <si>
    <t>BEAUSANCY CONSULTING PRIVATE LIMITED</t>
  </si>
  <si>
    <t>BELCON TEX PRIVATE LIMITED</t>
  </si>
  <si>
    <t>bengia chito</t>
  </si>
  <si>
    <t>Bhadur Dewasi</t>
  </si>
  <si>
    <t>Bhagvan Gattani</t>
  </si>
  <si>
    <t>Bhagwandas Vehicle Test Services Private Limited</t>
  </si>
  <si>
    <t>BHAGWATI GRAPHICS</t>
  </si>
  <si>
    <t>Bhagyavijayta Param Pujya Muni Shree Vidhyachandra Vijayji Marajsaheb</t>
  </si>
  <si>
    <t>BHARAT MEDICAL CORPORATION</t>
  </si>
  <si>
    <t>Bharti Su.</t>
  </si>
  <si>
    <t>BHOOMIKA AGENCIES</t>
  </si>
  <si>
    <t>BIKEAFFAIR CYCLING INDIA PRIVATE LIMITED</t>
  </si>
  <si>
    <t>BIZ CONSULTEK SOLUTIONS</t>
  </si>
  <si>
    <t>B.Kumar Food Consultancy Service</t>
  </si>
  <si>
    <t>BLINK COMMERCE PRIVATE LIMITED Kundli Feeder</t>
  </si>
  <si>
    <t>BLUEJERSEY18 TECHNOLOGIES PRIVATE LIMITED-B2B</t>
  </si>
  <si>
    <t>Blu Kart</t>
  </si>
  <si>
    <t>BOTS CYCLING PVT. LTD</t>
  </si>
  <si>
    <t>Boyen Haddin Consultants Limited</t>
  </si>
  <si>
    <t>BPSV MEDIA PRIVATE LIMITED</t>
  </si>
  <si>
    <t>Brijesh</t>
  </si>
  <si>
    <t>B S FOODS</t>
  </si>
  <si>
    <t>Cakes N Craft Kushagra Foods</t>
  </si>
  <si>
    <t>Camson Green Valley Products Private Limited</t>
  </si>
  <si>
    <t>Canara Bank</t>
  </si>
  <si>
    <t>CANSALA RESTAURANT</t>
  </si>
  <si>
    <t>CELONA NETWORKS PRIVATE LIMITED</t>
  </si>
  <si>
    <t>Chambal Enterprises</t>
  </si>
  <si>
    <t>chandrashekhar khankhoje</t>
  </si>
  <si>
    <t>CHARMAM AESTHETICS AND WELLNESS PRIVATE LIMITED</t>
  </si>
  <si>
    <t>CLAD WOODS PRIVATE LIMITED</t>
  </si>
  <si>
    <t>CLEAN DEXTER PRIVATE LIMITED</t>
  </si>
  <si>
    <t>CLOUDKART VENTURES PRIVATE LIMITED</t>
  </si>
  <si>
    <t>CLOUDSTORE RETAIL PRIVATE LIMITED</t>
  </si>
  <si>
    <t>Clumio Technologies India LLP</t>
  </si>
  <si>
    <t>Confused Genius Private Limited</t>
  </si>
  <si>
    <t>CORR INNOVATIONS PRIVATE LIMITED</t>
  </si>
  <si>
    <t>Cosmos Corp</t>
  </si>
  <si>
    <t>CultureX Entertainment Pvt Ltd</t>
  </si>
  <si>
    <t>CYBERAGE MULTIMEDIA</t>
  </si>
  <si>
    <t>Dania Hasnaath</t>
  </si>
  <si>
    <t>DANKUNI AUTOMOBILES</t>
  </si>
  <si>
    <t>Darshan Gatani</t>
  </si>
  <si>
    <t>DATA SENSE</t>
  </si>
  <si>
    <t>DECATHLON SPORTS INDIA PRIVATE LIMITED</t>
  </si>
  <si>
    <t>DEFIN8 CONSULTING</t>
  </si>
  <si>
    <t>DESIGNERS DELIGHT INC.</t>
  </si>
  <si>
    <t>DESTREZZA INNOVATIONS PRIVATE LIMITED</t>
  </si>
  <si>
    <t>Dhanesh Samant</t>
  </si>
  <si>
    <t>Dharani</t>
  </si>
  <si>
    <t>Dhiren Mishra</t>
  </si>
  <si>
    <t>Dhwani Patel</t>
  </si>
  <si>
    <t>Diksha Enterprises</t>
  </si>
  <si>
    <t>Dilip B</t>
  </si>
  <si>
    <t>Dinesh Traders</t>
  </si>
  <si>
    <t>Divya chopra</t>
  </si>
  <si>
    <t>DIWAKAR CHAUDHRI</t>
  </si>
  <si>
    <t>Diwas Gill</t>
  </si>
  <si>
    <t>D K Chaturvedi</t>
  </si>
  <si>
    <t>Dynamik Trade Kraft</t>
  </si>
  <si>
    <t>eINDOTIME</t>
  </si>
  <si>
    <t>ELEVEN</t>
  </si>
  <si>
    <t>Elite Mindset  Private Limited</t>
  </si>
  <si>
    <t>ENERGY NANOTECH CORP.</t>
  </si>
  <si>
    <t>ESHUBHAM</t>
  </si>
  <si>
    <t>ESPACIOS</t>
  </si>
  <si>
    <t>EVIS Healthcare Limited</t>
  </si>
  <si>
    <t>EVOLVE</t>
  </si>
  <si>
    <t>FIRSTCLUB TECHNOLOGY PRIVATE LIMITED</t>
  </si>
  <si>
    <t>FITNESSTACK INDIA PRIVATE LIMITED-Sales</t>
  </si>
  <si>
    <t>FLIPKART INDIA PRIVATE LIMITED BENGALURU</t>
  </si>
  <si>
    <t>FLIPKART INDIA PRIVATE LIMITED BHIWANDI</t>
  </si>
  <si>
    <t>FLIPKART INDIA PRIVATE LIMITED DELHI</t>
  </si>
  <si>
    <t>FLIPKART INDIA PRIVATE LIMITED DELHI_HYPERLOCAL</t>
  </si>
  <si>
    <t>FLIPKART INDIA PRIVATE LIMITED GURGAON</t>
  </si>
  <si>
    <t>FLIPKART INDIA PRIVATE LIMITED HOWRAH</t>
  </si>
  <si>
    <t>FoodSure Solution</t>
  </si>
  <si>
    <t>FORMING CONSTRUCTION</t>
  </si>
  <si>
    <t>FOUNDRY WELLNESS PRIVATE LIMITED</t>
  </si>
  <si>
    <t>Full Spectrum Services LLP</t>
  </si>
  <si>
    <t>Gajanand Gattani(GATTANI SANITARIES &amp; ELECTRICALS)</t>
  </si>
  <si>
    <t>GALA ENTERPRISES</t>
  </si>
  <si>
    <t>George Francis Maliyamave</t>
  </si>
  <si>
    <t>GHK HOSPITALITY &amp; INFRASTRUCTURES LIMITED</t>
  </si>
  <si>
    <t>GHOSH METAL WORKS P LTD</t>
  </si>
  <si>
    <t>Gift Point</t>
  </si>
  <si>
    <t>Giftsvilla Private Limited</t>
  </si>
  <si>
    <t>Girdhar Gattani</t>
  </si>
  <si>
    <t>Girish Raheja</t>
  </si>
  <si>
    <t>Glo Clinic</t>
  </si>
  <si>
    <t>Gorang Gupta</t>
  </si>
  <si>
    <t>Gourav Gupta</t>
  </si>
  <si>
    <t>Govendra Gupta</t>
  </si>
  <si>
    <t>GPSAR Healthcare Ltd</t>
  </si>
  <si>
    <t>G S ENTERPRISES</t>
  </si>
  <si>
    <t>Gurgaon Mills</t>
  </si>
  <si>
    <t>GWALIOR TOOLS LIMITED</t>
  </si>
  <si>
    <t>Haiden Maples</t>
  </si>
  <si>
    <t>HAPPIEHATCH</t>
  </si>
  <si>
    <t>Haransh batra</t>
  </si>
  <si>
    <t>Hardik Dave</t>
  </si>
  <si>
    <t>Harisam Sharma</t>
  </si>
  <si>
    <t>Harsiddh Enterprise</t>
  </si>
  <si>
    <t>Healthy Grubs &amp; Nuts</t>
  </si>
  <si>
    <t>Helly Enterprises</t>
  </si>
  <si>
    <t>Hemant Negi</t>
  </si>
  <si>
    <t>HENLEY GROUPS</t>
  </si>
  <si>
    <t>HNH Solutions</t>
  </si>
  <si>
    <t>HOTEL HIMALAYA</t>
  </si>
  <si>
    <t>i-Hub</t>
  </si>
  <si>
    <t>IKC FOODS LLP</t>
  </si>
  <si>
    <t>Ikram Hakda</t>
  </si>
  <si>
    <t>Indian Food &amp; Beverages</t>
  </si>
  <si>
    <t>INDUS ENGINEERS PRIVATE LIMITED</t>
  </si>
  <si>
    <t>Infinity Retail</t>
  </si>
  <si>
    <t>INFINITY TECHNOLOGIES</t>
  </si>
  <si>
    <t>Innovative Retail Concepts Private Limited</t>
  </si>
  <si>
    <t>INNOVATIVE RETAIL CONCEPTS PRIVATE LIMITED AHMEDABAD</t>
  </si>
  <si>
    <t>INNOVATIVE RETAIL CONCEPTS PRIVATE LIMITED BANGALORE</t>
  </si>
  <si>
    <t>INNOVATIVE RETAIL CONCEPTS PRIVATE LIMITED CHENNAI</t>
  </si>
  <si>
    <t>INNOVATIVE RETAIL CONCEPTS PRIVATE LIMITED KOLKATA</t>
  </si>
  <si>
    <t>Innovative Retail Concepts Private Limited Kundli</t>
  </si>
  <si>
    <t>INNOVATIVE RETAIL CONCEPTS PRIVATE LIMITED MUMBAI</t>
  </si>
  <si>
    <t>INNOVATIVE RETAIL CONCEPTS PRIVATE LIMITED NOIDA RETAIL CONCEPTS PRIVATE LIMITED</t>
  </si>
  <si>
    <t>INNOVATIVE RETAIL CONCEPTS PRIVATE LIMITED PUNE</t>
  </si>
  <si>
    <t>Invincible Fitness</t>
  </si>
  <si>
    <t>Itisha Pa.</t>
  </si>
  <si>
    <t>ixchange.me ideas &amp; pioneers GmbH</t>
  </si>
  <si>
    <t>Jagdish Gattani</t>
  </si>
  <si>
    <t>Jai Kishan</t>
  </si>
  <si>
    <t>Jalaj Mishra</t>
  </si>
  <si>
    <t>JAYALAKSHMI SILKS PRIVATE LIMITED</t>
  </si>
  <si>
    <t>Jayanee Thanki</t>
  </si>
  <si>
    <t>Jay Gupta</t>
  </si>
  <si>
    <t>Jay Jentilal Bhinde</t>
  </si>
  <si>
    <t>Jigeesha Yada</t>
  </si>
  <si>
    <t>JINDAL SOFTWARE CONSULTANTS</t>
  </si>
  <si>
    <t>Jindutt Superfoods Private Limited</t>
  </si>
  <si>
    <t>Joel</t>
  </si>
  <si>
    <t>Join Commerce Pvt Ltd</t>
  </si>
  <si>
    <t>J Radha Dairy and Food Products</t>
  </si>
  <si>
    <t>JUPITER KART PRIVATE LIMITED</t>
  </si>
  <si>
    <t>JYOTI INFRASTRUCTURE AGENCY</t>
  </si>
  <si>
    <t>Kabir Marketing</t>
  </si>
  <si>
    <t>KAILASHNATH JEEVAN KOPPIKAR</t>
  </si>
  <si>
    <t>Kanav Gupta</t>
  </si>
  <si>
    <t>KARAN RAVI KAPOOR</t>
  </si>
  <si>
    <t>Karan Shah</t>
  </si>
  <si>
    <t>KARTIK JOSHI</t>
  </si>
  <si>
    <t>Kartik Tanna</t>
  </si>
  <si>
    <t>Kartik Trading Co</t>
  </si>
  <si>
    <t>Ket Sanja</t>
  </si>
  <si>
    <t>Kevi Enterprise</t>
  </si>
  <si>
    <t>Kevin Kariappa</t>
  </si>
  <si>
    <t>Khavda Namkeen</t>
  </si>
  <si>
    <t>Khush Enterprise</t>
  </si>
  <si>
    <t>Kinnari Gandhi</t>
  </si>
  <si>
    <t>KIRAANA THE SUPERMARKET</t>
  </si>
  <si>
    <t>Kiranakart Pvt Ltdchennai  Theruvallar</t>
  </si>
  <si>
    <t>KIRANAKART TECHNOLOGIES PRIVATE LIMITED JHAJJAR</t>
  </si>
  <si>
    <t>KiranaKart Technologies Private Limited - Koregaon Park PUNE</t>
  </si>
  <si>
    <t>KIRANAKART TECHNOLOGIES PRIVATE LIMITED Lucknow</t>
  </si>
  <si>
    <t>Kiranakart Technologies Pvt Ltd- (06-Haryana-Sales)</t>
  </si>
  <si>
    <t>Kiranakart Technologies Pvt Ltd Ahmd.</t>
  </si>
  <si>
    <t>Kiranakart Technologies Pvt Ltd BLR</t>
  </si>
  <si>
    <t>KIRANAKART TECHNOLOGIES PVT LTD CHENNAI</t>
  </si>
  <si>
    <t>Kiranakart Technologies Pvt Ltd FBD</t>
  </si>
  <si>
    <t>KIRANAKART TECHNOLOGIES PVT LTD Jaipur</t>
  </si>
  <si>
    <t>Kiranakart Technologies Pvt Ltd M.BLR</t>
  </si>
  <si>
    <t>KIRANAKART TECHNOLOGIES PVT LTD MEDAK-HYD</t>
  </si>
  <si>
    <t>Kiranakart Technologies Pvt Ltd Mumbai</t>
  </si>
  <si>
    <t>Kiranakart Technologies Pvt Ltd PUNE</t>
  </si>
  <si>
    <t>KIRANAKART TECHNOLOGIES PVT LTD WB</t>
  </si>
  <si>
    <t>KK Creatives</t>
  </si>
  <si>
    <t>KOLKATA SUPPLEMENT STORE</t>
  </si>
  <si>
    <t>KOREBI GOURMET PRIVATE LIMITED</t>
  </si>
  <si>
    <t>Kranthi Elluru</t>
  </si>
  <si>
    <t>Kunal Jain</t>
  </si>
  <si>
    <t>La Belleza Cake Mall</t>
  </si>
  <si>
    <t>Lakshay Bang</t>
  </si>
  <si>
    <t>Lata Jaiswani</t>
  </si>
  <si>
    <t>Lavender Chemist</t>
  </si>
  <si>
    <t>LCS Services India Private Limited</t>
  </si>
  <si>
    <t>LEGAJOIST SOLUTIONS PRIVATE LIMITED</t>
  </si>
  <si>
    <t>LIGHT MART</t>
  </si>
  <si>
    <t>LOCUM APP PRIVATE LIMITED</t>
  </si>
  <si>
    <t>Lu Legi</t>
  </si>
  <si>
    <t>LWS AVIATION</t>
  </si>
  <si>
    <t>LYNKIT</t>
  </si>
  <si>
    <t>Madhurdas Chaturvedi</t>
  </si>
  <si>
    <t>Mahendra Govekar</t>
  </si>
  <si>
    <t>Manan Shah</t>
  </si>
  <si>
    <t>Manan Sureka</t>
  </si>
  <si>
    <t>Manisha</t>
  </si>
  <si>
    <t>Manish Shah</t>
  </si>
  <si>
    <t>Manshi Padhiar</t>
  </si>
  <si>
    <t>Maxx Nutrition</t>
  </si>
  <si>
    <t>MAYAPUR COMMUNICATIONS PRIVATE LIMITED</t>
  </si>
  <si>
    <t>MEGA STAR NUTRITION</t>
  </si>
  <si>
    <t>Melting Cheese</t>
  </si>
  <si>
    <t>Midhun Parithosh</t>
  </si>
  <si>
    <t>Milind Ambekar</t>
  </si>
  <si>
    <t>MiM-Essay.com</t>
  </si>
  <si>
    <t>Mistix Waters LLP</t>
  </si>
  <si>
    <t>MITHRA CONSTRUCTIONS</t>
  </si>
  <si>
    <t>Mittal And Brothers</t>
  </si>
  <si>
    <t>Mitul Impex</t>
  </si>
  <si>
    <t>Mogul Krupa Marketing</t>
  </si>
  <si>
    <t>Mohan Khanal</t>
  </si>
  <si>
    <t>Mohit Kheskwani</t>
  </si>
  <si>
    <t>MOKSH ENTERPRISES PRIVATE LIMITED-(29-Karnataka-B2B</t>
  </si>
  <si>
    <t>MOLD TEK TECHNOLOGIES LIMITED</t>
  </si>
  <si>
    <t>Monaf Stores</t>
  </si>
  <si>
    <t>Monisha Vankina</t>
  </si>
  <si>
    <t>MOONFREEZE FOODS PRIVATE LIMITED</t>
  </si>
  <si>
    <t>Mr. Aryan</t>
  </si>
  <si>
    <t>MRC FOODS PRIVATE LIMITED</t>
  </si>
  <si>
    <t>Mrugank</t>
  </si>
  <si>
    <t>M/s LITTLE SURPRISE BOX LLP-27</t>
  </si>
  <si>
    <t>M/S MAHINDRA MEDICALS AND ELECTRONICS</t>
  </si>
  <si>
    <t>M/S MARKS GENERAL STORE</t>
  </si>
  <si>
    <t>M/S NEW IQBAL SHOE STORE</t>
  </si>
  <si>
    <t>M/S SS DEALS</t>
  </si>
  <si>
    <t>Mukul Chaturvedi</t>
  </si>
  <si>
    <t>Muralidhar Rao P</t>
  </si>
  <si>
    <t>MUTATE</t>
  </si>
  <si>
    <t>NANDINI SHYAMBIHARI GUPTA</t>
  </si>
  <si>
    <t>Nasreen Ayub Mansoori</t>
  </si>
  <si>
    <t>NATASHA AUTOMOBILES PRIVATE LIMITED</t>
  </si>
  <si>
    <t>Natures Basket Limited</t>
  </si>
  <si>
    <t>Natures Basket Limited (Wb)</t>
  </si>
  <si>
    <t>NEXUS ENTERPRISES</t>
  </si>
  <si>
    <t>Nidhi Garg</t>
  </si>
  <si>
    <t>Nikhar Arora</t>
  </si>
  <si>
    <t>NIKHIL AGARWAL</t>
  </si>
  <si>
    <t>Nikita Chaturvedi</t>
  </si>
  <si>
    <t>NILESH PRAKASH JADHAV</t>
  </si>
  <si>
    <t>Niranjan</t>
  </si>
  <si>
    <t>Nokha Agrotech Private Limited</t>
  </si>
  <si>
    <t>Nourish9</t>
  </si>
  <si>
    <t>Numix Industries Private Limited</t>
  </si>
  <si>
    <t>Nupur Gattani</t>
  </si>
  <si>
    <t>NUTRITAP TECHNOLOGIES PRIVATE LIMITED</t>
  </si>
  <si>
    <t>Nutritap Technologies Private Limited - GGN (H)</t>
  </si>
  <si>
    <t>NUTRITAP TECHNOLOGIES PRIVATE LIMITED(M)</t>
  </si>
  <si>
    <t>NUTRITAP TECHNOLOGIES PRIVATE LIMITED ( T.N)</t>
  </si>
  <si>
    <t>NUTRITAP TECHNOLOGIES PRIVATE LIMITED (U)</t>
  </si>
  <si>
    <t>NUTRITAP TECHNOLOGIES PVT. LTD. NOIDA NEW</t>
  </si>
  <si>
    <t>Nutritrap Technologies Private Limited(T)</t>
  </si>
  <si>
    <t>OCTAVOS ENTERPRISE SOLUTIONS PRIVATE LIMITED GURUGRAM</t>
  </si>
  <si>
    <t>OCTAVOS ENTERPRISE SOLUTIONS PVT LTD GUJ</t>
  </si>
  <si>
    <t>OPTA</t>
  </si>
  <si>
    <t>OPUSTAYZ HOSPITALITY SOLUTIONS PRIVATE LIMITED</t>
  </si>
  <si>
    <t>ORION ACCESSORIES</t>
  </si>
  <si>
    <t>Palak Shah</t>
  </si>
  <si>
    <t>PALM FUELS</t>
  </si>
  <si>
    <t>PANAMA FOODS</t>
  </si>
  <si>
    <t>Panega Tech Solution Private Limited</t>
  </si>
  <si>
    <t>Pankaj Chaddah</t>
  </si>
  <si>
    <t>Pankaj Vidhan</t>
  </si>
  <si>
    <t>Paraj Primlani</t>
  </si>
  <si>
    <t>Paramveer Bhatia</t>
  </si>
  <si>
    <t>PARAS VEGA COMMERCIAL</t>
  </si>
  <si>
    <t>Pashupati Enterprises</t>
  </si>
  <si>
    <t>PEDALS UP INNOVATIONS LLP</t>
  </si>
  <si>
    <t>PERDURA THERAPEUTICS PRIVATE LIMITED</t>
  </si>
  <si>
    <t>Phoenix Marketing</t>
  </si>
  <si>
    <t>Pickel Ball</t>
  </si>
  <si>
    <t>PJTJ TECHNOLOGIES PRIVATE LIMITED-(06-Haryana-B2b)</t>
  </si>
  <si>
    <t>PJTJ TECHNOLOGIES PRIVATE LIMITED MOHALI</t>
  </si>
  <si>
    <t>PJTJ Technologies Private limited-UP</t>
  </si>
  <si>
    <t>Ppl Care Private Limited</t>
  </si>
  <si>
    <t>Pracchi Poddaar</t>
  </si>
  <si>
    <t>Pradeep Kumar</t>
  </si>
  <si>
    <t>Pranav Kishore</t>
  </si>
  <si>
    <t>Pranjal Patel</t>
  </si>
  <si>
    <t>Prashant Chaturvedi</t>
  </si>
  <si>
    <t>Pratik Sehajpal</t>
  </si>
  <si>
    <t>Priti Narkar</t>
  </si>
  <si>
    <t>Priyanka Chawan</t>
  </si>
  <si>
    <t>PROLINE SALES AGENCY</t>
  </si>
  <si>
    <t>Promax Nutrition</t>
  </si>
  <si>
    <t>PROZVO FITNESS</t>
  </si>
  <si>
    <t>Puja Chaturvedi</t>
  </si>
  <si>
    <t>Punit</t>
  </si>
  <si>
    <t>Pure Life</t>
  </si>
  <si>
    <t>QUANTUM SYSTEMS(PROP ANIRUDDHA GUPTA)</t>
  </si>
  <si>
    <t>RAGHAV TEXTILES CORPORATION</t>
  </si>
  <si>
    <t>Rahul Somani</t>
  </si>
  <si>
    <t>Rajat</t>
  </si>
  <si>
    <t>Rajvi Khajanchi</t>
  </si>
  <si>
    <t>RANCHHODJI TEXTILES / RAM TEXTILES</t>
  </si>
  <si>
    <t>Rans Exports</t>
  </si>
  <si>
    <t>R.D.Distributors</t>
  </si>
  <si>
    <t>RICHARD RAMANUJAM</t>
  </si>
  <si>
    <t>Richa Sharma</t>
  </si>
  <si>
    <t>RICO SEEDS INTERNATIONAL</t>
  </si>
  <si>
    <t>Rishabh Khandelwal</t>
  </si>
  <si>
    <t>Rishi Ahuja</t>
  </si>
  <si>
    <t>Rishi Nilesh Shroff</t>
  </si>
  <si>
    <t>R M Enterprise</t>
  </si>
  <si>
    <t>ROMIL AGENCIES</t>
  </si>
  <si>
    <t>Ronak Gupta</t>
  </si>
  <si>
    <t>ROSHAN CHEMICAL INDUSTRIES</t>
  </si>
  <si>
    <t>ROWTH TECH LIMITED</t>
  </si>
  <si>
    <t>RP-SG VENTURES ADVISORY LLP</t>
  </si>
  <si>
    <t>Ruchieka Dutt</t>
  </si>
  <si>
    <t>Rushabh</t>
  </si>
  <si>
    <t>Rushikesh Aravkar</t>
  </si>
  <si>
    <t>Sagar Didwal</t>
  </si>
  <si>
    <t>Sagarika Exim Private Limited</t>
  </si>
  <si>
    <t>Sai Tradelink</t>
  </si>
  <si>
    <t>Sales Combine</t>
  </si>
  <si>
    <t>Samarth</t>
  </si>
  <si>
    <t>Sambaraju</t>
  </si>
  <si>
    <t>Sameer Hussain</t>
  </si>
  <si>
    <t>Sam enterprise</t>
  </si>
  <si>
    <t>Samriddhi Mittal</t>
  </si>
  <si>
    <t>Sandhya S</t>
  </si>
  <si>
    <t>Sanjukta Nandy</t>
  </si>
  <si>
    <t>San Logistix</t>
  </si>
  <si>
    <t>Santosh</t>
  </si>
  <si>
    <t>Santosh Chand Misra</t>
  </si>
  <si>
    <t>SARA CAPELA</t>
  </si>
  <si>
    <t>Savera Shah</t>
  </si>
  <si>
    <t>SELLPRO COMMERCE PRIVATE LIMITED</t>
  </si>
  <si>
    <t>SERVEHUNT SERVICES PRIVATE LIMITED</t>
  </si>
  <si>
    <t>SEUTE FASHIONS PRIVATE LIMITED</t>
  </si>
  <si>
    <t>S G ENTERPRISE</t>
  </si>
  <si>
    <t>Shades of Coorg</t>
  </si>
  <si>
    <t>Shafiq M</t>
  </si>
  <si>
    <t>Shagun Agarwal</t>
  </si>
  <si>
    <t>Shailendra Sharma</t>
  </si>
  <si>
    <t>Shanthi</t>
  </si>
  <si>
    <t>Shashwat Saxena</t>
  </si>
  <si>
    <t>Shilpa Sakhare</t>
  </si>
  <si>
    <t>Shiv Shakti Pvt Ltd</t>
  </si>
  <si>
    <t>Shradha Joshi</t>
  </si>
  <si>
    <t>Shree Jhitri</t>
  </si>
  <si>
    <t>Shreeji Enterprise</t>
  </si>
  <si>
    <t>Shreeniwas Traders</t>
  </si>
  <si>
    <t>SHREE VARI MULTIPLAST INDIA PRIVATE LIMITED</t>
  </si>
  <si>
    <t>Shriji Dryfruits &amp; Collection</t>
  </si>
  <si>
    <t>Shubham Chourasia</t>
  </si>
  <si>
    <t>Shubham Enterprise</t>
  </si>
  <si>
    <t>Shubham Nikam</t>
  </si>
  <si>
    <t>Shubham Tandon</t>
  </si>
  <si>
    <t>Shubhangay Exim Pvt Ltd</t>
  </si>
  <si>
    <t>SHYAM MAHAPATRA</t>
  </si>
  <si>
    <t>Siddharth Enterprises</t>
  </si>
  <si>
    <t>Siddhi Lodha</t>
  </si>
  <si>
    <t>SIDDI SUSMITHA</t>
  </si>
  <si>
    <t>Sidharth Javvadi</t>
  </si>
  <si>
    <t>SKIN INNOVATIVE LASER &amp; SKIN SOLUTIONS</t>
  </si>
  <si>
    <t>S &amp; K Marketing</t>
  </si>
  <si>
    <t>SNEHA ANALYTICS AND SCIENTIFICS</t>
  </si>
  <si>
    <t>SNEH ACADEMIC SERVICES PRIVATE LIMITED</t>
  </si>
  <si>
    <t>Sober Ceramics</t>
  </si>
  <si>
    <t>SOLUTE TECHNOLABS PRIVATE LIMITED</t>
  </si>
  <si>
    <t>SONAM MARKETING Prop Suresh Kesharwani</t>
  </si>
  <si>
    <t>SPEED 4 PREFAB SOLUTIONS PVT LTD</t>
  </si>
  <si>
    <t>SRI GANESH AGENCY</t>
  </si>
  <si>
    <t>SRIMAHIMA ENTERPRISES</t>
  </si>
  <si>
    <t>S S AGENCIES</t>
  </si>
  <si>
    <t>STARDUSTER SCIENCES LLP</t>
  </si>
  <si>
    <t>Star Enterprise</t>
  </si>
  <si>
    <t>ST. John Marketers Pvt. Ltd.</t>
  </si>
  <si>
    <t>Stylus Sound and Lighting Professionals</t>
  </si>
  <si>
    <t>Subash Pathak</t>
  </si>
  <si>
    <t>Subhi Chaturvedi</t>
  </si>
  <si>
    <t>Subhiksha S</t>
  </si>
  <si>
    <t>SUDEV NAIR FILMS PRIVATE LIMITED(M)</t>
  </si>
  <si>
    <t>Suhaar INC</t>
  </si>
  <si>
    <t>Sujit Chaturvedi</t>
  </si>
  <si>
    <t>SUN ARK SERVICES PRIVATE LIMITED</t>
  </si>
  <si>
    <t>Sunil Dho.</t>
  </si>
  <si>
    <t>Super Products Read</t>
  </si>
  <si>
    <t>Suraj Jadhav</t>
  </si>
  <si>
    <t>SURYA SHAKTI VESSELS PVT. LTD</t>
  </si>
  <si>
    <t>Sushil Kum.</t>
  </si>
  <si>
    <t>SWAPNIL ENTERPRISES</t>
  </si>
  <si>
    <t>SWATI STEEL HOUSE</t>
  </si>
  <si>
    <t>Sweta</t>
  </si>
  <si>
    <t>SWIGGY HYDERABAD</t>
  </si>
  <si>
    <t>Taajas Food</t>
  </si>
  <si>
    <t>TAJ SATS AIR CATERING LIMITED</t>
  </si>
  <si>
    <t>Tanay Damania</t>
  </si>
  <si>
    <t>TAN PROTEIN STORE</t>
  </si>
  <si>
    <t>Task Access</t>
  </si>
  <si>
    <t>TC INFOTECH PRIVATE LIMITED</t>
  </si>
  <si>
    <t>TECHDIA PRIVATE LIMITED</t>
  </si>
  <si>
    <t>THAJ VENTURES</t>
  </si>
  <si>
    <t>The Fitness Hub</t>
  </si>
  <si>
    <t>THE MILLET COMPANY</t>
  </si>
  <si>
    <t>Theo Solution Private Limited</t>
  </si>
  <si>
    <t>Traimbak Bhat</t>
  </si>
  <si>
    <t>TRENDZ (PROP.KULKARNI SACHIN S)</t>
  </si>
  <si>
    <t>Trinity Signs</t>
  </si>
  <si>
    <t>Truptiben</t>
  </si>
  <si>
    <t>TSG FITNESS CORNER</t>
  </si>
  <si>
    <t>UCO BANK</t>
  </si>
  <si>
    <t>Unique Solutions</t>
  </si>
  <si>
    <t>Urbanpod Innovation Private Limited</t>
  </si>
  <si>
    <t>UTH BEVERAGE FACTORY PRIVATE LIMITED</t>
  </si>
  <si>
    <t>Vanitha Srinivasan</t>
  </si>
  <si>
    <t>Varam Global Services</t>
  </si>
  <si>
    <t>Vedicai Technologies LLP</t>
  </si>
  <si>
    <t>VEDIKA METALS PRIVATE LIMITED</t>
  </si>
  <si>
    <t>Vending Brothers Private Limited-Sales</t>
  </si>
  <si>
    <t>Venkateshwar Rao Poolla</t>
  </si>
  <si>
    <t>Venkat Pasagadugula</t>
  </si>
  <si>
    <t>Venus Distributors</t>
  </si>
  <si>
    <t>VENUS FAASHIIONS</t>
  </si>
  <si>
    <t>VIBRANT DESIGNS PVT LTD</t>
  </si>
  <si>
    <t>Vidhi</t>
  </si>
  <si>
    <t>Vijay Dange</t>
  </si>
  <si>
    <t>VIJAY S</t>
  </si>
  <si>
    <t>Vikash Kumar Jangir</t>
  </si>
  <si>
    <t>VIKAS SHARMA</t>
  </si>
  <si>
    <t>Vikas Singh</t>
  </si>
  <si>
    <t>Vikram Pendharkar</t>
  </si>
  <si>
    <t>Vimal Shah</t>
  </si>
  <si>
    <t>Vinod Food &amp; Mandal</t>
  </si>
  <si>
    <t>Vinod Foods &amp; Beverages</t>
  </si>
  <si>
    <t>VInod Mandal</t>
  </si>
  <si>
    <t>VINOD RICE MILL</t>
  </si>
  <si>
    <t>Vistaran Health Care Services-B2b</t>
  </si>
  <si>
    <t>Vivan Enterprise</t>
  </si>
  <si>
    <t>VIVID FITNESS</t>
  </si>
  <si>
    <t>VK Enterprises</t>
  </si>
  <si>
    <t>V R ENTERPRISE</t>
  </si>
  <si>
    <t>WALLNUT HOMES LLP</t>
  </si>
  <si>
    <t>WATERBRIDGE CAPITAL MANAGEMENT LLP</t>
  </si>
  <si>
    <t>Welcome Medical &amp; General Store</t>
  </si>
  <si>
    <t>Wellness Ville Private Limited</t>
  </si>
  <si>
    <t>We Vend Technologies Private Limited (H)</t>
  </si>
  <si>
    <t>We Vend Technologies Private Limited(K)</t>
  </si>
  <si>
    <t>We Vend Technologies Private Limited(M)</t>
  </si>
  <si>
    <t>We Vend Technologies Private Limited(T)</t>
  </si>
  <si>
    <t>We Vend Technologies Private Limited (TN)</t>
  </si>
  <si>
    <t>We Vend Technologies Private Limited(UP)</t>
  </si>
  <si>
    <t>We Vend Technologies Private Limited (W)</t>
  </si>
  <si>
    <t>WeWork</t>
  </si>
  <si>
    <t>Whiskat Care</t>
  </si>
  <si>
    <t>WINMAK NUTRILABS PRIVATE LIMITED</t>
  </si>
  <si>
    <t>WIRLEBEN SOFTECH PRIVATE LIMITED</t>
  </si>
  <si>
    <t>Wizqart Private Limited</t>
  </si>
  <si>
    <t>Woodencart Online Service LLP</t>
  </si>
  <si>
    <t>WOODENCART ONLINE SERVICES LLP</t>
  </si>
  <si>
    <t>WOWELZ INTERACTEKA PRIVATE LIMITED</t>
  </si>
  <si>
    <t>Yash Chaturvedi</t>
  </si>
  <si>
    <t>Yash Tradelink</t>
  </si>
  <si>
    <t>Yatin Patel</t>
  </si>
  <si>
    <t>YBS &amp; CO</t>
  </si>
  <si>
    <t>YK RETAILS PRIVATE LIMITED</t>
  </si>
  <si>
    <t>Zeeshan Hasware</t>
  </si>
  <si>
    <t>ZEPTO PRIVATE LIMITED JAIPUR</t>
  </si>
  <si>
    <t>Zinnia Goswami</t>
  </si>
  <si>
    <t>Deferred Tax Asset</t>
  </si>
  <si>
    <t>Other Receivables</t>
  </si>
  <si>
    <t>Tds Receivables FY 2022-23</t>
  </si>
  <si>
    <t>Tds Receivables FY 2023-24</t>
  </si>
  <si>
    <t>Fixed Assets</t>
  </si>
  <si>
    <t>FURNITURE &amp; FIXTURES</t>
  </si>
  <si>
    <t>FURNITURE &amp; FIXTURES @18%</t>
  </si>
  <si>
    <t>FURNITURE &amp; FIXTURES @ INTERSTATE@12%</t>
  </si>
  <si>
    <t>FURNITURE &amp; FIXTURES @ INTERSTATE@18%</t>
  </si>
  <si>
    <t>OTHER ASSET</t>
  </si>
  <si>
    <t>Electrical Equipment (Asset) @28%</t>
  </si>
  <si>
    <t>Electrification Other  Assets@18%</t>
  </si>
  <si>
    <t>IPAD</t>
  </si>
  <si>
    <t>PLANT &amp; MACHINERY</t>
  </si>
  <si>
    <t>PLANT AND MACHINERY@18%</t>
  </si>
  <si>
    <t>PLANT AND MACHINERY @28%</t>
  </si>
  <si>
    <t>PLANT AND MACHINERY@INTERSTATE@12%</t>
  </si>
  <si>
    <t>PLANT AND MACHINERY @ INTERSTATE@18%</t>
  </si>
  <si>
    <t>PLANT &amp; MACHINERY@ INTERNATIONAL</t>
  </si>
  <si>
    <t>Deprecation Fund- Furniture and Fixtures</t>
  </si>
  <si>
    <t>Depreciation Fund -Other Assets</t>
  </si>
  <si>
    <t>Depreciation Fund-Plant &amp; Machinery</t>
  </si>
  <si>
    <t>Furniture &amp; Fixtures</t>
  </si>
  <si>
    <t>Plant and Machinery</t>
  </si>
  <si>
    <t>Investments</t>
  </si>
  <si>
    <t>FD-140084037995-1</t>
  </si>
  <si>
    <t>FD-140084037995-2</t>
  </si>
  <si>
    <t>Fixed Deposit (FD)-50301088730042-HDFC</t>
  </si>
  <si>
    <t>Term Deposit A/c</t>
  </si>
  <si>
    <t>Misc. Expenses (ASSET)</t>
  </si>
  <si>
    <t>Liabilities</t>
  </si>
  <si>
    <t>Branch / Divisions</t>
  </si>
  <si>
    <t>Drips Food Private Limited(G)</t>
  </si>
  <si>
    <t>Drips Food Private Limited(K)</t>
  </si>
  <si>
    <t>Drips Foods Private Limited(H)</t>
  </si>
  <si>
    <t>Drips Foods Private Limited-M</t>
  </si>
  <si>
    <t>DRIPS FOOF PRIVATE LIMITED (T)</t>
  </si>
  <si>
    <t>Capital Account</t>
  </si>
  <si>
    <t>COMPULSORY CONVERTIBLE PREFERENCE SHARE CAPITAL</t>
  </si>
  <si>
    <t>Amish Jashwantlal Khandar Share Capital</t>
  </si>
  <si>
    <t>Amit Mohatta Share Capital</t>
  </si>
  <si>
    <t>Avadesh Kishorchandra Karia Share Capital</t>
  </si>
  <si>
    <t>Beyond Seeds Angel Fund 1</t>
  </si>
  <si>
    <t>Bharadva Dikshita Maheshkumar Share Capital</t>
  </si>
  <si>
    <t>Bharatkumar Ishwarlal Mehta Share Capital</t>
  </si>
  <si>
    <t>Capwise Financial Services Pvt Ltd Share Capital</t>
  </si>
  <si>
    <t>Chirag Jayrambhai Desai Share Capital</t>
  </si>
  <si>
    <t>Dhaval Bharatbhai Share Capital</t>
  </si>
  <si>
    <t>Dhvani Hardik Patwa Share Capital</t>
  </si>
  <si>
    <t>Divya Ajaykumar Pala Share Capital</t>
  </si>
  <si>
    <t>Giriraj Ajmera Share Capital</t>
  </si>
  <si>
    <t>Growth Sense Venture Fund</t>
  </si>
  <si>
    <t>Harsh Patel Share Capital</t>
  </si>
  <si>
    <t>Hathor Corporate Advisors LLP Share Capital</t>
  </si>
  <si>
    <t>Jainam Shah HUFShare Capital</t>
  </si>
  <si>
    <t>Jignesh Sagala Share Capital</t>
  </si>
  <si>
    <t>Latta Rameshbhai Thakkar Share Capital</t>
  </si>
  <si>
    <t>Mahati Hydro Power Projects Pvt Ltd Share Capital</t>
  </si>
  <si>
    <t>Megha Trushar Shah Share Capital</t>
  </si>
  <si>
    <t>MindTroveInc</t>
  </si>
  <si>
    <t>Modak Vyapar Private Limited Share Capital</t>
  </si>
  <si>
    <t>Neelam Darshak Maniar Share Capital</t>
  </si>
  <si>
    <t>Neha Nitish Mittal Share Capital</t>
  </si>
  <si>
    <t>Niyati Harsh Mehta Share Capital</t>
  </si>
  <si>
    <t>Partik Kiritkumar Shah Share Capital</t>
  </si>
  <si>
    <t>Parulben Kalpeshbhai Rachchh Share Capital</t>
  </si>
  <si>
    <t>Prakashkumar Ishwarlal Mehta Share Capital</t>
  </si>
  <si>
    <t>Priyanka Shwetkumar Share Capital</t>
  </si>
  <si>
    <t>Rajash D Shah HUF Share Capital</t>
  </si>
  <si>
    <t>Rajash D Share Capital</t>
  </si>
  <si>
    <t>Rajul Sandeep Jhaveri</t>
  </si>
  <si>
    <t>Ranjanben Kantilal Gandhi Share Capital</t>
  </si>
  <si>
    <t>Satarangi Fashion Pvt Ltd</t>
  </si>
  <si>
    <t>Shakun Advisors Private Limited Share Capital</t>
  </si>
  <si>
    <t>Shakun Medicare Private Limited Share Capital</t>
  </si>
  <si>
    <t>Shakun Snazzy Private Limited Share Capital</t>
  </si>
  <si>
    <t>Shakun Universal Private Limited Share Capital</t>
  </si>
  <si>
    <t>Shweta Rajit Tilani Share Capital</t>
  </si>
  <si>
    <t>Suryakant Chunilal Shah HUF Share Capital</t>
  </si>
  <si>
    <t>Syquant Ventures LLP Share Capital</t>
  </si>
  <si>
    <t>Vatvistaar Ventures LLP Share Capital</t>
  </si>
  <si>
    <t>Vishal Shirish Doshi Share Capital</t>
  </si>
  <si>
    <t>Vishal Shivprasad Dhoot Share Capital</t>
  </si>
  <si>
    <t>Vivek Madhav Damle Share Capital</t>
  </si>
  <si>
    <t>EQUITY SHARE CAPITAL</t>
  </si>
  <si>
    <t>Bharti Chaturvedi Share Capital</t>
  </si>
  <si>
    <t>Darshan Gattani Share Capital</t>
  </si>
  <si>
    <t>Rohan Shah Share Capital</t>
  </si>
  <si>
    <t>Shilaben Vimal Shah Share Capital</t>
  </si>
  <si>
    <t>Shiven Chaturvedi Share Capital</t>
  </si>
  <si>
    <t>Suman Devi Gattani Share Capital</t>
  </si>
  <si>
    <t>Reserves &amp; Surplus</t>
  </si>
  <si>
    <t>Capital Reserve</t>
  </si>
  <si>
    <t>PROFIT AND LOSS ACCUMULATION A/C</t>
  </si>
  <si>
    <t>Securities Premium A/c</t>
  </si>
  <si>
    <t>Securities Premium on Debentures</t>
  </si>
  <si>
    <t>Vsure Investment Affairs Pvt Ltd Share Capital</t>
  </si>
  <si>
    <t>Current Liabilities</t>
  </si>
  <si>
    <t>Duties &amp; Taxes</t>
  </si>
  <si>
    <t>TDS</t>
  </si>
  <si>
    <t>Tds on Profession U/s 194J</t>
  </si>
  <si>
    <t>TDS U/S 194C</t>
  </si>
  <si>
    <t>TDS U/S 194H</t>
  </si>
  <si>
    <t>TDS U/S 194I</t>
  </si>
  <si>
    <t>TDS U/S 194O</t>
  </si>
  <si>
    <t>TDS U/S 92B</t>
  </si>
  <si>
    <t>Cess Ac.</t>
  </si>
  <si>
    <t>MUNICIPAL TAX</t>
  </si>
  <si>
    <t>Expense Reimbrusement</t>
  </si>
  <si>
    <t>Darshan Gattani Expenses Reimbrusement</t>
  </si>
  <si>
    <t>Rohan Shah Expenses Reimbrusement</t>
  </si>
  <si>
    <t>Shiven Chaturvedi Reimbrusement</t>
  </si>
  <si>
    <t>Other Current Liabilities</t>
  </si>
  <si>
    <t>Directors Remuneration Payable</t>
  </si>
  <si>
    <t>Darshan Gattani Salary</t>
  </si>
  <si>
    <t>Rohan Shah Salary</t>
  </si>
  <si>
    <t>Shiven Chaturvedi Salary</t>
  </si>
  <si>
    <t>Salary / Wages Payable</t>
  </si>
  <si>
    <t>Anjanaben Kantibhai Rathod</t>
  </si>
  <si>
    <t>Anjnaben Pareshbhai Rathod</t>
  </si>
  <si>
    <t>Arunaben Shankarbhai Parmar</t>
  </si>
  <si>
    <t>Ashwinkumar Dhudabhai Parmar</t>
  </si>
  <si>
    <t>Bharat Chaudhari-Salary A/c</t>
  </si>
  <si>
    <t>Bhumika Solanki Salary</t>
  </si>
  <si>
    <t>Chandrashekhar Rangappa Nayak</t>
  </si>
  <si>
    <t>Damor Pareshbhai</t>
  </si>
  <si>
    <t>Dimple Ravjani-Salary A/c</t>
  </si>
  <si>
    <t>Gauriben Pandor</t>
  </si>
  <si>
    <t>Hanshaben</t>
  </si>
  <si>
    <t>Hetalben Solanki</t>
  </si>
  <si>
    <t>Himanshu Bhanuprasad Acharya-Salary A/c</t>
  </si>
  <si>
    <t>Jay Parmar</t>
  </si>
  <si>
    <t>Kinjal Ben Salary A/c</t>
  </si>
  <si>
    <t>Mahima</t>
  </si>
  <si>
    <t>Mistry Rahul Jagdishbhai-Salary A/c</t>
  </si>
  <si>
    <t>Mohammed Kaiyum Mansuri</t>
  </si>
  <si>
    <t>Nayan Kumar Salary</t>
  </si>
  <si>
    <t>Neetaben Solanki  Salary</t>
  </si>
  <si>
    <t>Nitaben Nayan Thakor</t>
  </si>
  <si>
    <t>Parmar Nayankumar Khemchandbhai - Salary</t>
  </si>
  <si>
    <t>Parmar Vishwaskumar Laxmikant</t>
  </si>
  <si>
    <t>Purvika Ben</t>
  </si>
  <si>
    <t>Radha Kumari</t>
  </si>
  <si>
    <t>Rathod Geetaben Nitinbhai</t>
  </si>
  <si>
    <t>Riteshbhai Ganpatbhai Parmar-Salary A/c</t>
  </si>
  <si>
    <t>Rohan Vimal Shah-Salary A/c</t>
  </si>
  <si>
    <t>Rovalekar Samrudhi Rohidas Stipend</t>
  </si>
  <si>
    <t>and</t>
  </si>
  <si>
    <t>861 Ledger(s)</t>
  </si>
  <si>
    <t>SANGADA SUHANIBEN</t>
  </si>
  <si>
    <t>Sanju</t>
  </si>
  <si>
    <t>Santosh Ingle-Salary A/c</t>
  </si>
  <si>
    <t>Senva Manishaben</t>
  </si>
  <si>
    <t>Senva Ushaben Nareshbhai</t>
  </si>
  <si>
    <t>SHINDE CHANDRASHEKHAR DATTATRAY</t>
  </si>
  <si>
    <t>Sonalben M Damor</t>
  </si>
  <si>
    <t>Vaibhaviben Panchasar</t>
  </si>
  <si>
    <t>Vaibhav Vinay Toshniwal</t>
  </si>
  <si>
    <t>Varma Sandipkumar Rajkumar-Salary A/c</t>
  </si>
  <si>
    <t>Vijay Balgovind Gupta-Salary A/c</t>
  </si>
  <si>
    <t>Credit Card</t>
  </si>
  <si>
    <t>Darshan Fuel Allowance</t>
  </si>
  <si>
    <t>ESIC Payable</t>
  </si>
  <si>
    <t>PROFESSIONAL TAX PAYABLE</t>
  </si>
  <si>
    <t>Rohan Fuel Allowance</t>
  </si>
  <si>
    <t>Shiven Fuel Allowance Exp</t>
  </si>
  <si>
    <t>Provisions</t>
  </si>
  <si>
    <t>Audit Fees Payable</t>
  </si>
  <si>
    <t>Professional Fees Payable</t>
  </si>
  <si>
    <t>Sundry Creditors</t>
  </si>
  <si>
    <t>Sundry Creditors for Exp.</t>
  </si>
  <si>
    <t>Adarsh Industries</t>
  </si>
  <si>
    <t>Air India Limited</t>
  </si>
  <si>
    <t>A R T H A and Associates</t>
  </si>
  <si>
    <t>Barque Hotels Pvt Ltd</t>
  </si>
  <si>
    <t>Bhavik Soni</t>
  </si>
  <si>
    <t>Canopy Essence Pvt Ltd</t>
  </si>
  <si>
    <t>889 Ledger(s)</t>
  </si>
  <si>
    <t>Chandra Logistics Service</t>
  </si>
  <si>
    <t>Clicktech Retail Private Limited</t>
  </si>
  <si>
    <t>Clicktech Retail Private Limited (H)</t>
  </si>
  <si>
    <t>Clicktech Retail Private Limited (M)</t>
  </si>
  <si>
    <t>COCOBLU RETAIL LIMITED</t>
  </si>
  <si>
    <t>COCOBLU RETAIL LIMITED (D)</t>
  </si>
  <si>
    <t>Darbar Uniform &amp; Workwear</t>
  </si>
  <si>
    <t>DBS Wing</t>
  </si>
  <si>
    <t>DELHIVERY  LIMITED</t>
  </si>
  <si>
    <t>Diksha Pradeep Vaikar</t>
  </si>
  <si>
    <t>Drasti Power Tools &amp; Electricals</t>
  </si>
  <si>
    <t>ETHNIC SURAT COM</t>
  </si>
  <si>
    <t>Ethnic Surat Com (G)</t>
  </si>
  <si>
    <t>Ethnic Surat Com (M)</t>
  </si>
  <si>
    <t>FALCON CARGO</t>
  </si>
  <si>
    <t>Growth 91 Advisors Private Limited</t>
  </si>
  <si>
    <t>Growth Sense Pvt Ltd</t>
  </si>
  <si>
    <t>Hakimi Traders</t>
  </si>
  <si>
    <t>Hotel Sarvoday</t>
  </si>
  <si>
    <t>Hotel Stay Inn</t>
  </si>
  <si>
    <t>Hotel Trimurti</t>
  </si>
  <si>
    <t>Interglobe Aviation Limited (M)</t>
  </si>
  <si>
    <t>Jains" Hotel Rajhans</t>
  </si>
  <si>
    <t>Komal Jain(Aurum Creations)</t>
  </si>
  <si>
    <t>Mahavir EngimachPrivate Limited</t>
  </si>
  <si>
    <t>MAKE MY TRIP (INDIA) PVT. LTD.</t>
  </si>
  <si>
    <t>MEERA FOOD AND BEVERAGES</t>
  </si>
  <si>
    <t>Ministry of Railways</t>
  </si>
  <si>
    <t>M K Enterprises</t>
  </si>
  <si>
    <t>M/S ONE 97 COMMUNICATION LTD</t>
  </si>
  <si>
    <t>Om Enterprise</t>
  </si>
  <si>
    <t>Orionz Industries Pvt Ltd</t>
  </si>
  <si>
    <t>Paradise Hospitality</t>
  </si>
  <si>
    <t>Parth Bharewala</t>
  </si>
  <si>
    <t>Rani Gupta</t>
  </si>
  <si>
    <t>Rathod Pushpaben Rahulbhai</t>
  </si>
  <si>
    <t>R D Mobile Solutions Pvt Ltd</t>
  </si>
  <si>
    <t>Rotary Club</t>
  </si>
  <si>
    <t>SANJEEVNI MULTI SERVICES</t>
  </si>
  <si>
    <t>Sanvi Khanna Marketing</t>
  </si>
  <si>
    <t>Shree Maruti Scientific</t>
  </si>
  <si>
    <t>Shuru Advisory Pvt Ltd</t>
  </si>
  <si>
    <t>Sky Flexi Pack</t>
  </si>
  <si>
    <t>Swiggy for Exp</t>
  </si>
  <si>
    <t>VAIBHAV CAFE</t>
  </si>
  <si>
    <t>Vishwakarma Pakaging</t>
  </si>
  <si>
    <t>Vrl Logistics Limited</t>
  </si>
  <si>
    <t>VRL Logistics Limited (D)</t>
  </si>
  <si>
    <t>VRL LOGISTICS LIMITED-Tel</t>
  </si>
  <si>
    <t>VRL LOGISTICS LIMITED (UTTAR PRADESH)</t>
  </si>
  <si>
    <t>VRL LOGISTICS LIMITED, VIJAYANAND TRAVELS-(M)</t>
  </si>
  <si>
    <t>VRL Logistics Ltd (K)</t>
  </si>
  <si>
    <t>V Trans</t>
  </si>
  <si>
    <t>V Trans (India) Ltd (G)</t>
  </si>
  <si>
    <t>V TRANS, V XPRESS &amp; V LOGIS</t>
  </si>
  <si>
    <t>A2Z Box Private Limited</t>
  </si>
  <si>
    <t>Aakash Business Solution</t>
  </si>
  <si>
    <t>Aanal Magnetic Industries</t>
  </si>
  <si>
    <t>Aarav Fragrances and Flavours Private Limited</t>
  </si>
  <si>
    <t>ABHAYA INTERNATIONAL LLP</t>
  </si>
  <si>
    <t>Abhishek Chhajed And Associates</t>
  </si>
  <si>
    <t>Accurate Products And Services</t>
  </si>
  <si>
    <t>Adaa and Ruchi Associates</t>
  </si>
  <si>
    <t>ADANI DIGITAL LABS PRIVATE LIMITED</t>
  </si>
  <si>
    <t>Adhasive Stamp</t>
  </si>
  <si>
    <t>Affiliate Traders</t>
  </si>
  <si>
    <t>Agro Solvent Product Pvt Ltd</t>
  </si>
  <si>
    <t>AIR INDIA LIMITED-(K)</t>
  </si>
  <si>
    <t>Airwill Home Collections Pvt Ltd</t>
  </si>
  <si>
    <t>Ajay Dhanaji Haral</t>
  </si>
  <si>
    <t>Ajit Shyamkishor Jha</t>
  </si>
  <si>
    <t>Akay Natural Ingredient Private Limited</t>
  </si>
  <si>
    <t>AKSHAR GRAVURES</t>
  </si>
  <si>
    <t>Alankit Assignments Ltd</t>
  </si>
  <si>
    <t>Alpino Health Foods Private Limited</t>
  </si>
  <si>
    <t>Amanora the Fern Hotel &amp; Club</t>
  </si>
  <si>
    <t>Aman Roadlines</t>
  </si>
  <si>
    <t>Amardhar Dubey</t>
  </si>
  <si>
    <t>Amazon Advertisement</t>
  </si>
  <si>
    <t>Amazone Seller Service Pvt Ltd</t>
  </si>
  <si>
    <t>Amazon.in (Karnataka)</t>
  </si>
  <si>
    <t>Amazon Seller Services(Haryana)</t>
  </si>
  <si>
    <t>AMAZON SELLER SERVICES PRIVATE LIMITED-M</t>
  </si>
  <si>
    <t>AMAZON SELLER SERVICES PRIVATE LIMITED-(T)</t>
  </si>
  <si>
    <t>AMAZON SELLER SERVICES PVT LTD-(K)</t>
  </si>
  <si>
    <t>AMEYA PERFORMATT PVT. LTD.</t>
  </si>
  <si>
    <t>A.M TRADING</t>
  </si>
  <si>
    <t>Anaysha Health Solutions Pvt Ltd</t>
  </si>
  <si>
    <t>Anbronica Technologies Pvt Ltd</t>
  </si>
  <si>
    <t>ANBS ENTERPRISE PRIVATE LIMITED-Delhi</t>
  </si>
  <si>
    <t>Angan Enterprise -Purchase</t>
  </si>
  <si>
    <t>Anil Bhati</t>
  </si>
  <si>
    <t>Anil Kumar Chenva</t>
  </si>
  <si>
    <t>Aparna Vishwas Sawant</t>
  </si>
  <si>
    <t>APPARIO RETAIL PRIVATE LIMITED (Telegana)</t>
  </si>
  <si>
    <t>Appario Retail Private Ltd</t>
  </si>
  <si>
    <t>ARBRO PHARMACEUTICALS PRIVATE LIMITED</t>
  </si>
  <si>
    <t>ARPITABEN</t>
  </si>
  <si>
    <t>A.S Enterprises</t>
  </si>
  <si>
    <t>ASHAPURA AGROCOMM PRIVATE LIMITED</t>
  </si>
  <si>
    <t>Asha Ram &amp; Sons Pvt Ltd</t>
  </si>
  <si>
    <t>Asha Ram &amp; Sons Pvt. Ltd.(U)</t>
  </si>
  <si>
    <t>Asha Telecom</t>
  </si>
  <si>
    <t>Ashutosh Ashok Vaidya</t>
  </si>
  <si>
    <t>Ashwinbhai Tribhovanbhai Solanki</t>
  </si>
  <si>
    <t>Atul N. Mehata</t>
  </si>
  <si>
    <t>Avadh Fast Food</t>
  </si>
  <si>
    <t>Ava International Pvt Ltd</t>
  </si>
  <si>
    <t>Ava International Pvt Ltd (D)</t>
  </si>
  <si>
    <t>AVK Tasteful Trails Afro House</t>
  </si>
  <si>
    <t>AVR Hotels</t>
  </si>
  <si>
    <t>Avyay Foods Ingredients Pvt Ltd</t>
  </si>
  <si>
    <t>AVYAY LEGAL &amp; FINANCIAL ADVISORS LLP</t>
  </si>
  <si>
    <t>Axio Biosolutions Private Limited</t>
  </si>
  <si>
    <t>Ayurva and Associates</t>
  </si>
  <si>
    <t>B2C Interstste -13 (Flipkart)</t>
  </si>
  <si>
    <t>Bajaj Industries</t>
  </si>
  <si>
    <t>Baldev Das Jhawar</t>
  </si>
  <si>
    <t>BEACON CONSULTANCY</t>
  </si>
  <si>
    <t>BEYONDSEED INDIA PRIVATE LIMITED</t>
  </si>
  <si>
    <t>Bigfoot Retail Solutions Private Limited</t>
  </si>
  <si>
    <t>BIGFOOT RETAIL SOLUTIONS PRIVATE LIMITED (D)</t>
  </si>
  <si>
    <t>Bijal Vaghela</t>
  </si>
  <si>
    <t>Bilal Iqbal nadmal</t>
  </si>
  <si>
    <t>Bins &amp; Services</t>
  </si>
  <si>
    <t>BIO SPECHEM</t>
  </si>
  <si>
    <t>BK Media</t>
  </si>
  <si>
    <t>BLINK COMMERCE PRIVATE LIMITED-08</t>
  </si>
  <si>
    <t>Blink Commerce Private Limited-30</t>
  </si>
  <si>
    <t>BLINK COMMERCE PRIVATE LIMITED-37</t>
  </si>
  <si>
    <t>BLINK COMMERCE PRIVATE LIMITED -D</t>
  </si>
  <si>
    <t>Blink Commerce Private Limited(H)</t>
  </si>
  <si>
    <t>BLINK COMMERCE PRIVATE LIMITED-K</t>
  </si>
  <si>
    <t>BLINK COMMERCE PRIVATE LIMITED(T)</t>
  </si>
  <si>
    <t>Blinkit Commerce Private Limited-Purchase</t>
  </si>
  <si>
    <t>Bloom Suites (M)</t>
  </si>
  <si>
    <t>Blueboy Industries-(20-21-22)</t>
  </si>
  <si>
    <t>Blue Zone Online Marketing Solutions</t>
  </si>
  <si>
    <t>BNA DEVELOPERS LLP</t>
  </si>
  <si>
    <t>Brainbox Communications</t>
  </si>
  <si>
    <t>Care IP Law Firm</t>
  </si>
  <si>
    <t>CFO ADVISORY SERVICES &amp; SOLUTIONS PRIVATE LIMITED</t>
  </si>
  <si>
    <t>CFOP TECHNOLOGIES PRIVATE LIMITED</t>
  </si>
  <si>
    <t>Chanchalben Saileshkumar Patel</t>
  </si>
  <si>
    <t>Charpot Samitaben Pankajbhai</t>
  </si>
  <si>
    <t>CHARTERED SPEED LIMITED</t>
  </si>
  <si>
    <t>Chirag Goyal Trading Co.</t>
  </si>
  <si>
    <t>Cibus Console Pvt Limited</t>
  </si>
  <si>
    <t>CIMPRESS INDIA PRIVATE LIMITED</t>
  </si>
  <si>
    <t>CLASSIC ENTERPRISE</t>
  </si>
  <si>
    <t>CLICKTECH RETAIL PRIVATE LIMITED(D)</t>
  </si>
  <si>
    <t>CLICKTECH RETAIL PRIVATE LIMITED-MP</t>
  </si>
  <si>
    <t>Cocoblu Retail Limited (M)</t>
  </si>
  <si>
    <t>COCOBLU RETAIL LIMITED(RJ)</t>
  </si>
  <si>
    <t>CODETASKER</t>
  </si>
  <si>
    <t>COFFEE CODES INDIA PRIVATE LIMITED(K)</t>
  </si>
  <si>
    <t>Coliwo</t>
  </si>
  <si>
    <t>Colnel Consulting Group LLP</t>
  </si>
  <si>
    <t>Colonel</t>
  </si>
  <si>
    <t>COLOUR BOX</t>
  </si>
  <si>
    <t>Cropel International Pvt Ltd</t>
  </si>
  <si>
    <t>Das Foodtech Private Limited</t>
  </si>
  <si>
    <t>Deepak Trading Company</t>
  </si>
  <si>
    <t>Deep Trivedi</t>
  </si>
  <si>
    <t>Delhi Analytical Resaerch Laboratery</t>
  </si>
  <si>
    <t>DELIGHT SERVICES AND MAINTENANCE PVT LTD</t>
  </si>
  <si>
    <t>Devsankalp Flexipack</t>
  </si>
  <si>
    <t>Dharmendrabhai Parsotambhai Makwana</t>
  </si>
  <si>
    <t>DHL EXPRESS (INDIA)  PVT LTD</t>
  </si>
  <si>
    <t>Dineshbhai Ramanbhai Damon</t>
  </si>
  <si>
    <t>DORABJEE &amp; CO PVT LTD</t>
  </si>
  <si>
    <t>D.P Lab Instruments</t>
  </si>
  <si>
    <t>Drakshe Shraddha Ratnakar</t>
  </si>
  <si>
    <t>Dream Forest</t>
  </si>
  <si>
    <t>Drips Foods Limited (G) (Cr)</t>
  </si>
  <si>
    <t>Drips Foods Private Limited(H)(Cr)</t>
  </si>
  <si>
    <t>Drips Foods Private Limited (K)(Cr)</t>
  </si>
  <si>
    <t>DRONESWAN PRODUCTION (OPC) PRIVATE LIMITED</t>
  </si>
  <si>
    <t>E And S Food Technologies Pvt Ltd</t>
  </si>
  <si>
    <t>Earth Like Organics</t>
  </si>
  <si>
    <t>Earthly India(U)</t>
  </si>
  <si>
    <t>EData Ventures Private Limited</t>
  </si>
  <si>
    <t>Enabel Plugz Enterprise Solutions LLP</t>
  </si>
  <si>
    <t>Equinox Labs Pvt Ltd</t>
  </si>
  <si>
    <t>Etrade Marketing Private Limited (M)</t>
  </si>
  <si>
    <t>Etrade Marketing Pvt Ltd</t>
  </si>
  <si>
    <t>ETRADE MARKETING PVT LTD (G)</t>
  </si>
  <si>
    <t>EXCELLENCE</t>
  </si>
  <si>
    <t>FACEBOOK INDIA ONLINE SERVICES PRIVATE LIMITED</t>
  </si>
  <si>
    <t>FEDEX EXPRESS TRANSPORTATION AND SUPPY CHAIN SERVICE (INDIA) PVT .LTD.</t>
  </si>
  <si>
    <t>FIRE BALL TECHNOLOGIES</t>
  </si>
  <si>
    <t>Firoz Nashir Shaikh</t>
  </si>
  <si>
    <t>FITNESSTACK INDIA PRIVATE LIMITED-Purchase</t>
  </si>
  <si>
    <t>Flamingo Hardware &amp; Tools</t>
  </si>
  <si>
    <t>Flavaroma Flavours and Fragrances</t>
  </si>
  <si>
    <t>FLIPKART INDIA PRIVATE LIMITED-M</t>
  </si>
  <si>
    <t>FLIPKART INTERNET PRIVATE LIMITED(K)</t>
  </si>
  <si>
    <t>Flipkart Pvt Ltd</t>
  </si>
  <si>
    <t>Food Junction Store</t>
  </si>
  <si>
    <t>Food Safety and Standards Authority of India(Fssai)</t>
  </si>
  <si>
    <t>Food Sure Solution -P</t>
  </si>
  <si>
    <t>Fornick Enterprise</t>
  </si>
  <si>
    <t>Frank Leisure And Events Private Limited</t>
  </si>
  <si>
    <t>Gajanan Print Solutions</t>
  </si>
  <si>
    <t>GARG MUKESH &amp; CO.</t>
  </si>
  <si>
    <t>Ga Trade Links Private Limited</t>
  </si>
  <si>
    <t>Gaurav Mishra</t>
  </si>
  <si>
    <t>Gautam Enterprises</t>
  </si>
  <si>
    <t>Ghanshyam Trading Co</t>
  </si>
  <si>
    <t>GOBBLECUBE TECH PVT LTD</t>
  </si>
  <si>
    <t>Go Digit General Insurance Limited</t>
  </si>
  <si>
    <t>Good Memories Pvt Ltd</t>
  </si>
  <si>
    <t>GOOGLE INDIA PVT LTD</t>
  </si>
  <si>
    <t>Grey Swift Private Limited</t>
  </si>
  <si>
    <t>GS1 India</t>
  </si>
  <si>
    <t>GUJARAT LABORATORY</t>
  </si>
  <si>
    <t>Happy Holidays</t>
  </si>
  <si>
    <t>HAPPYMATES</t>
  </si>
  <si>
    <t>Hareshkumar Pravinbhai Solanki</t>
  </si>
  <si>
    <t>HDFC ERGO GENERAL INSURANCE COMPANY LIMITED</t>
  </si>
  <si>
    <t>HELP US GREEN LLP</t>
  </si>
  <si>
    <t>HINDMED</t>
  </si>
  <si>
    <t>Hiren Chandrakant Solanki</t>
  </si>
  <si>
    <t>HISAB KITAB BUSINESS SOLUTIONS PRIVATE LIMITED</t>
  </si>
  <si>
    <t>Hi Tech Healthcare Laboratory &amp; Research Center</t>
  </si>
  <si>
    <t>H &amp; J Associates</t>
  </si>
  <si>
    <t>HOTEL ASHIRWAD SHRI SAIRAMA HOTELS PVT LTD</t>
  </si>
  <si>
    <t>Hotel Oasis</t>
  </si>
  <si>
    <t>Hotel Omni Palace</t>
  </si>
  <si>
    <t>Hotel Sahar International</t>
  </si>
  <si>
    <t>HYPER FOODS PRIVATE LIMITED</t>
  </si>
  <si>
    <t>Hyuga Ecommerce Ventures Pvt Ltd</t>
  </si>
  <si>
    <t>IBIBO GROUP PRIVATE LIMITED</t>
  </si>
  <si>
    <t>IKIGAI CHASE PRIVATE LIMITED</t>
  </si>
  <si>
    <t>Indeed India  Oprations Pvt Ltd</t>
  </si>
  <si>
    <t>INDIAN NAVAL CANTEEN SERVICE</t>
  </si>
  <si>
    <t>Indian Railway Catering &amp; Tourism Corporation Ltd</t>
  </si>
  <si>
    <t>INDIA PRINT N SERVE PRIVATE LIMITED</t>
  </si>
  <si>
    <t>Indra Hassija</t>
  </si>
  <si>
    <t>INFINITI RETAIL LIMITED (CROMA)</t>
  </si>
  <si>
    <t>Innovative Codes(I) Private Limited</t>
  </si>
  <si>
    <t>INNOVATIVE RETAIL CONCEPTS PRIVATE Ltd BANGALORE-(P)</t>
  </si>
  <si>
    <t>INNOVHER STARTUP ACCELERATOR PRIVATE LIMITED</t>
  </si>
  <si>
    <t>Intact Furniture &amp; Projects</t>
  </si>
  <si>
    <t>Integrated 360</t>
  </si>
  <si>
    <t>Ioconic Enterprises</t>
  </si>
  <si>
    <t>IRCTC</t>
  </si>
  <si>
    <t>Itrust Purchase Solutions Pvt Ltd</t>
  </si>
  <si>
    <t>JAI INGREDIENTS PRIVATE LIMITED</t>
  </si>
  <si>
    <t>Jaikumar N V</t>
  </si>
  <si>
    <t>Jaiswal Online Solution</t>
  </si>
  <si>
    <t>Jawla Advance Technology LLP</t>
  </si>
  <si>
    <t>Jay Bhole Mobile Shop</t>
  </si>
  <si>
    <t>Jay Foods</t>
  </si>
  <si>
    <t>Jignesh A Bhagat</t>
  </si>
  <si>
    <t>Jindutt Superfoods Private Limited-P</t>
  </si>
  <si>
    <t>JITO Incubation and Innovation</t>
  </si>
  <si>
    <t>Jitu Jorha</t>
  </si>
  <si>
    <t>Jiya surgichem pvt ltd</t>
  </si>
  <si>
    <t>Kad Housing Private Limited</t>
  </si>
  <si>
    <t>KAJ ESSENTIALS LLP</t>
  </si>
  <si>
    <t>Kamlaben Khrngarbhai Jadav</t>
  </si>
  <si>
    <t>Kapil Jagdish Kabra</t>
  </si>
  <si>
    <t>Khandhar Mehta  &amp; Shah</t>
  </si>
  <si>
    <t>KiranaKart(Cr.)(M)</t>
  </si>
  <si>
    <t>K.M Electrotech</t>
  </si>
  <si>
    <t>KONDE PRODUCTS  SERVICES PRIVATE LIMITED</t>
  </si>
  <si>
    <t>Krishna Enterprise</t>
  </si>
  <si>
    <t>Krishna Products</t>
  </si>
  <si>
    <t>Lakhamanbhai Kalubhai Dulera</t>
  </si>
  <si>
    <t>Lamehenow</t>
  </si>
  <si>
    <t>Laxman Jagannath Palaskar</t>
  </si>
  <si>
    <t>Life Care Solution</t>
  </si>
  <si>
    <t>LILU RAM &amp; SONS</t>
  </si>
  <si>
    <t>L J Knowledge Foundation</t>
  </si>
  <si>
    <t>LS Sport Management Private Limited</t>
  </si>
  <si>
    <t>Maani Expocomm</t>
  </si>
  <si>
    <t>MAGIC PROVIDERS</t>
  </si>
  <si>
    <t>Makvana Vinaben Vinodbhai</t>
  </si>
  <si>
    <t>Makwana Rekhaben Sanjaybhai</t>
  </si>
  <si>
    <t>Mangaldeep Engineering Company</t>
  </si>
  <si>
    <t>Manish Ravilal Dedhia</t>
  </si>
  <si>
    <t>Maya Transformers</t>
  </si>
  <si>
    <t>Mayur Corporation</t>
  </si>
  <si>
    <t>Mayuri Krunal Mistry</t>
  </si>
  <si>
    <t>Md Abdus Salam</t>
  </si>
  <si>
    <t>MGP Associates</t>
  </si>
  <si>
    <t>Miashi Consultancy Pvt Ltd</t>
  </si>
  <si>
    <t>Miletech Conveyor Belt</t>
  </si>
  <si>
    <t>Minaben Kamlesh Pargi</t>
  </si>
  <si>
    <t>Modern Ingredients</t>
  </si>
  <si>
    <t>Modhkra Ankitaben</t>
  </si>
  <si>
    <t>Mohammad Salik</t>
  </si>
  <si>
    <t>Mohit kachhawa Printer Cart</t>
  </si>
  <si>
    <t>Moonair Sales &amp; Services Pvt Ltd</t>
  </si>
  <si>
    <t>M/S BVSLF PRODUCTS</t>
  </si>
  <si>
    <t>M/S GOOD LUCK ENTERPRISES</t>
  </si>
  <si>
    <t>MS INDIAN NAVAL CANTEEN SERVICES</t>
  </si>
  <si>
    <t>M/S LA SWISS CHOCOLAT</t>
  </si>
  <si>
    <t>M/S OPAL AGRO FOOD &amp; BEVERAGES</t>
  </si>
  <si>
    <t>M/S PERFECT SCAN</t>
  </si>
  <si>
    <t>Multi Enterprise</t>
  </si>
  <si>
    <t>N4H HEALTHCARE PRIVATE LIMITED</t>
  </si>
  <si>
    <t>Naim Saleem Shaikh</t>
  </si>
  <si>
    <t>NANDUBA ECOM</t>
  </si>
  <si>
    <t>NATIONAL SECURITIES DEPOSITORY LIMITED</t>
  </si>
  <si>
    <t>Natures Basket Limited(K)</t>
  </si>
  <si>
    <t>NAVAKAR AIRCONDITIONING COMPANY</t>
  </si>
  <si>
    <t>Nectar Fresh</t>
  </si>
  <si>
    <t>Neehar Trading</t>
  </si>
  <si>
    <t>Neha Raval</t>
  </si>
  <si>
    <t>Netra Xerox</t>
  </si>
  <si>
    <t>NEWGEN COMMUNICATIONS</t>
  </si>
  <si>
    <t>Nilam Trading</t>
  </si>
  <si>
    <t>Nilendu Kumar Jha</t>
  </si>
  <si>
    <t>Nilesh Satishchandra Jha(STAY FIT STAY YOUNG)</t>
  </si>
  <si>
    <t>Nimida Tradelink</t>
  </si>
  <si>
    <t>NinjaKraft</t>
  </si>
  <si>
    <t>Nishaben Sureshbhai Makvana</t>
  </si>
  <si>
    <t>Nitin Borana</t>
  </si>
  <si>
    <t>NSDL E-GOVERNANCE INFRASTRUCTURE LIMITED</t>
  </si>
  <si>
    <t>Nutralife Foods LLP</t>
  </si>
  <si>
    <t>Nutritap Technologies Private Limited - GGN (H)-Pur</t>
  </si>
  <si>
    <t>N V Enterprise</t>
  </si>
  <si>
    <t>OCEAN STAR TECHNOLOGIES PRIVATE LIMITED</t>
  </si>
  <si>
    <t>OCTACHEM OVERSEAS</t>
  </si>
  <si>
    <t>Om Belting</t>
  </si>
  <si>
    <t>Om  Engineering</t>
  </si>
  <si>
    <t>Omniplast  Private Limited</t>
  </si>
  <si>
    <t>Omsky Processpack Solution</t>
  </si>
  <si>
    <t>Onair Technologies Pvt Ltd</t>
  </si>
  <si>
    <t>Online Hub(Kamal Kumar)</t>
  </si>
  <si>
    <t>ORCHESTRADE TECHNOLOGIES PRIVATE LIMITED</t>
  </si>
  <si>
    <t>Orchids International</t>
  </si>
  <si>
    <t>OTICA Healthcare Pvt Ltd</t>
  </si>
  <si>
    <t>OTICA MEDITRONIX CO (H)</t>
  </si>
  <si>
    <t>OTICA MEDITRONIX CO(K)</t>
  </si>
  <si>
    <t>OTICA MEDITRONIX CO (M)</t>
  </si>
  <si>
    <t>OTICA MEDITRONIX CO(Maharashtra)</t>
  </si>
  <si>
    <t>Otika Meditronix Co</t>
  </si>
  <si>
    <t>Pacdora Pte. Ltd</t>
  </si>
  <si>
    <t>Pankajkumar Laljibhai</t>
  </si>
  <si>
    <t>Panorama Industries</t>
  </si>
  <si>
    <t>Paragone Polymer Product Pvt Ltd</t>
  </si>
  <si>
    <t>Paras Light</t>
  </si>
  <si>
    <t>PARTH FLEXI PACK</t>
  </si>
  <si>
    <t>Parulben</t>
  </si>
  <si>
    <t>P Dave And Associates</t>
  </si>
  <si>
    <t>Peepvalue Solutions Pvt Ltd</t>
  </si>
  <si>
    <t>Pickrr Technologies Private Limited</t>
  </si>
  <si>
    <t>Pine Labs Private Limited</t>
  </si>
  <si>
    <t>PINGAAX</t>
  </si>
  <si>
    <t>PIXEL Media</t>
  </si>
  <si>
    <t>PLANTEX E-COMMERCE PRIVATE LIMITED</t>
  </si>
  <si>
    <t>Poonam Magson Listing</t>
  </si>
  <si>
    <t>Poorva Swapnil Kolhe-Stipend</t>
  </si>
  <si>
    <t>Powerpye electronics private Limited</t>
  </si>
  <si>
    <t>Prajakta Technology Private Limited</t>
  </si>
  <si>
    <t>Pramukh Consultancy</t>
  </si>
  <si>
    <t>Pratik Kumar Yogeshkumar Pandey</t>
  </si>
  <si>
    <t>Pravin M Gohil</t>
  </si>
  <si>
    <t>P.R Electronics</t>
  </si>
  <si>
    <t>Prime Entreprises</t>
  </si>
  <si>
    <t>Priti Enterprises</t>
  </si>
  <si>
    <t>Priya Halder</t>
  </si>
  <si>
    <t>Protector Firesafety India Pvt Ltd</t>
  </si>
  <si>
    <t>QS Mart Retails Limited</t>
  </si>
  <si>
    <t>Radisson Blu Kaushambi Delhi Ncr</t>
  </si>
  <si>
    <t>Radix Innovations Pvt Ltd</t>
  </si>
  <si>
    <t>Raghuvanshi Traders</t>
  </si>
  <si>
    <t>Rahul Solanki</t>
  </si>
  <si>
    <t>Raindrop World</t>
  </si>
  <si>
    <t>Rajiv Sabhapati Sharma</t>
  </si>
  <si>
    <t>Rajkamal Metal Marketing Pvt Ltd</t>
  </si>
  <si>
    <t>Ramilaben Mohanbhai Tundiya</t>
  </si>
  <si>
    <t>Rani Creations</t>
  </si>
  <si>
    <t>RASHMI STORAGE AND DISPLAY SYSTEM</t>
  </si>
  <si>
    <t>Rathod Kajalben Baldevbhai</t>
  </si>
  <si>
    <t>Raya Properties Pvt. Ltd</t>
  </si>
  <si>
    <t>RAZORPAY PAYMENTS PRIVATE LIMITED</t>
  </si>
  <si>
    <t>Redbus</t>
  </si>
  <si>
    <t>Redbus-MP</t>
  </si>
  <si>
    <t>Regency Global Ingredient LLP</t>
  </si>
  <si>
    <t>Rehan shaikh</t>
  </si>
  <si>
    <t>RELIANCE RETAIL LIMITED</t>
  </si>
  <si>
    <t>Retailez Private Limited</t>
  </si>
  <si>
    <t>Retailez Private Limited(H)</t>
  </si>
  <si>
    <t>Retailez Private Limited (M)</t>
  </si>
  <si>
    <t>Revelations Biotech Private Limited</t>
  </si>
  <si>
    <t>RightKnight</t>
  </si>
  <si>
    <t>Rinki Mishra</t>
  </si>
  <si>
    <t>RITUL PATWA AND CO</t>
  </si>
  <si>
    <t>R J Consultancy</t>
  </si>
  <si>
    <t>RK WORLDINFOCOM Pvt Ltd</t>
  </si>
  <si>
    <t>Roza Shaikh</t>
  </si>
  <si>
    <t>R.S Food</t>
  </si>
  <si>
    <t>SABAR INDUSTRIAL GASES</t>
  </si>
  <si>
    <t>SAFEXPRESS PRIVATE LTD</t>
  </si>
  <si>
    <t>Sagar Hardware</t>
  </si>
  <si>
    <t>Sandeepkumar Pandey</t>
  </si>
  <si>
    <t>Sanjay Scientific Corporation</t>
  </si>
  <si>
    <t>Sanket Maheshbhai Joshi</t>
  </si>
  <si>
    <t>Sanket Vijaykumar Rotithor</t>
  </si>
  <si>
    <t>Sarrah Enterprises</t>
  </si>
  <si>
    <t>Saurabh Industries</t>
  </si>
  <si>
    <t>SCOPE HEALTH &amp; WELLNESS PRIVATE LIMITED</t>
  </si>
  <si>
    <t>SEASONS FLAVOURS &amp; FRAGRANCES</t>
  </si>
  <si>
    <t>Sejal Print and Packs</t>
  </si>
  <si>
    <t>S.G Mundhra</t>
  </si>
  <si>
    <t>Shakti Hardware</t>
  </si>
  <si>
    <t>SHANGHAI PAPA INDUSTRIAL CO LTD</t>
  </si>
  <si>
    <t>Shankar Jati</t>
  </si>
  <si>
    <t>SHARP MEDIA SERVICES</t>
  </si>
  <si>
    <t>SHASHILA HEALTHY MASTER PRIVATE LIMITED</t>
  </si>
  <si>
    <t>Shiprocket</t>
  </si>
  <si>
    <t>Shivam Enterprises</t>
  </si>
  <si>
    <t>SHIV SALES CORPORATION</t>
  </si>
  <si>
    <t>Shiv Shakti Trading Corporation</t>
  </si>
  <si>
    <t>ShopifyShopify Commerce Singapore Pte. Ltd.</t>
  </si>
  <si>
    <t>Shop Online India</t>
  </si>
  <si>
    <t>Shree Balaji Tours &amp;  Travels</t>
  </si>
  <si>
    <t>Shree Communication</t>
  </si>
  <si>
    <t>Shree Ganesh CONSULTANCY</t>
  </si>
  <si>
    <t>Shree Ganesh Enterprise</t>
  </si>
  <si>
    <t>Shree Gopal Agri</t>
  </si>
  <si>
    <t>Shreeji Dry Fruits and Collection</t>
  </si>
  <si>
    <t>Shree Raj Technology</t>
  </si>
  <si>
    <t>SHREE SAI OVERSEAS</t>
  </si>
  <si>
    <t>Shree Umiya Gases</t>
  </si>
  <si>
    <t>Shreyash Petroleaum Addtives Limited</t>
  </si>
  <si>
    <t>Shri Uma Devi Enterprises</t>
  </si>
  <si>
    <t>SHYAM ENTERPRISE</t>
  </si>
  <si>
    <t>Shyam Print N Pack</t>
  </si>
  <si>
    <t>Sigma Associates</t>
  </si>
  <si>
    <t>Simone Reshad Chesson Reel</t>
  </si>
  <si>
    <t>SIX BY SIX COMMUNICATIONS PRIVATE LIMITED</t>
  </si>
  <si>
    <t>SK Consumer Wellness Coffee</t>
  </si>
  <si>
    <t>Smartshift Info Marketing Services Private Limited</t>
  </si>
  <si>
    <t>Smart Shift Logis</t>
  </si>
  <si>
    <t>SMARTSHIFT LOGISTICS SOLUTIONS PRIVATE LIMITED-27</t>
  </si>
  <si>
    <t>Smart Shift Log-Raj</t>
  </si>
  <si>
    <t>Smile for Miles Gifts India</t>
  </si>
  <si>
    <t>SNV AVIATION PRIVATE LIMITED</t>
  </si>
  <si>
    <t>SNV AVIATION PRIVATE LIMITED(DL)</t>
  </si>
  <si>
    <t>SNV Aviation Private Limited(K)</t>
  </si>
  <si>
    <t>SNV Aviation Pvt. Ltd</t>
  </si>
  <si>
    <t>Sonarome Private Limited</t>
  </si>
  <si>
    <t>Sovereign Precision Mould Craft</t>
  </si>
  <si>
    <t>Speed Wireless Broadband</t>
  </si>
  <si>
    <t>SPICEJET  LTD</t>
  </si>
  <si>
    <t>Srinarhji Exports</t>
  </si>
  <si>
    <t>STARSHOT TOOLS PRIVATE LIMITED</t>
  </si>
  <si>
    <t>STAR TRADING COMPANY</t>
  </si>
  <si>
    <t>STATE BANK OF INDIA</t>
  </si>
  <si>
    <t>Stratedgy</t>
  </si>
  <si>
    <t>Success Gyan India LLP</t>
  </si>
  <si>
    <t>SUN NUTRAFOODS -A Division of Agro Solvent Products Pvt Ltd</t>
  </si>
  <si>
    <t>Sunyy Fulchandji Shah</t>
  </si>
  <si>
    <t>Superb Insrtuments</t>
  </si>
  <si>
    <t>SUPERB SCALE REPAIRING WORKS</t>
  </si>
  <si>
    <t>Suraj Naskar</t>
  </si>
  <si>
    <t>Suraj Trademark Attorney</t>
  </si>
  <si>
    <t>Surit Foods And Gifts LLP</t>
  </si>
  <si>
    <t>Swamibapa Enterprise</t>
  </si>
  <si>
    <t>Swastik Gum Industries</t>
  </si>
  <si>
    <t>Swastik Pankaj Rai</t>
  </si>
  <si>
    <t>Swati Enterprise</t>
  </si>
  <si>
    <t>Swati  Water Purification</t>
  </si>
  <si>
    <t>Swiggy</t>
  </si>
  <si>
    <t>Swiss Pac Pvt.Ltd</t>
  </si>
  <si>
    <t>Synthite Industries Private Limited</t>
  </si>
  <si>
    <t>Taajas Food-PURCHASE</t>
  </si>
  <si>
    <t>Tayesha Trading Company</t>
  </si>
  <si>
    <t>Technospark</t>
  </si>
  <si>
    <t>Thakkar Enterprise</t>
  </si>
  <si>
    <t>The Dark Roast</t>
  </si>
  <si>
    <t>The Pioneer Chemical Company..</t>
  </si>
  <si>
    <t>TJS Bank Ltd, Pashupati</t>
  </si>
  <si>
    <t>TREEBO TREND OMNI
PALACE</t>
  </si>
  <si>
    <t>Treebo Trend Regency Bund Garden</t>
  </si>
  <si>
    <t>Tricore Enterprise</t>
  </si>
  <si>
    <t>Trinetra</t>
  </si>
  <si>
    <t>Tushar Ananda Dighe</t>
  </si>
  <si>
    <t>Tushar Xerox</t>
  </si>
  <si>
    <t>UMA SALES &amp; SERVICE</t>
  </si>
  <si>
    <t>Umiya Enterprise</t>
  </si>
  <si>
    <t>Unfitech Solution Pvt. Ltd</t>
  </si>
  <si>
    <t>UNICORN INFOSOLUTIONS PRIVATE LIMITED</t>
  </si>
  <si>
    <t>Unidos Exports(D)</t>
  </si>
  <si>
    <t>UNIDOS EXPORTS(H)</t>
  </si>
  <si>
    <t>Upriver Ecommerce Private Limited</t>
  </si>
  <si>
    <t>Vaghela Mayurbhai</t>
  </si>
  <si>
    <t>Vaghela Ranjanben Jagdishbhai</t>
  </si>
  <si>
    <t>Vaghela Surubha Kanubha</t>
  </si>
  <si>
    <t>Vaishnodevi Enterprises</t>
  </si>
  <si>
    <t>vajpayee enterprises</t>
  </si>
  <si>
    <t>Valuecart Private Limited</t>
  </si>
  <si>
    <t>Vankar Dharmeshkumar Kanabhai</t>
  </si>
  <si>
    <t>VARNI ENTERPRISE</t>
  </si>
  <si>
    <t>Vending Brothers Private Limited-Purchase</t>
  </si>
  <si>
    <t>Viaan Enterprise</t>
  </si>
  <si>
    <t>Videojet Technologies (I) Pvt Ltd</t>
  </si>
  <si>
    <t>Vigor Life Science</t>
  </si>
  <si>
    <t>Vijay Mavjibhai Vora</t>
  </si>
  <si>
    <t>Vijay Radhakrishan Garad</t>
  </si>
  <si>
    <t>Vikash Air Tech</t>
  </si>
  <si>
    <t>VINAYAK CORPORATION</t>
  </si>
  <si>
    <t>Vishaka Viran Mohite</t>
  </si>
  <si>
    <t>Vishal Bhai</t>
  </si>
  <si>
    <t>VISION PLASTIC</t>
  </si>
  <si>
    <t>Vista Print</t>
  </si>
  <si>
    <t>VKE FOOD SOLUTIONS PRIVATE LIMITED</t>
  </si>
  <si>
    <t>V. K. JAIN TRAVELS</t>
  </si>
  <si>
    <t>Vsure Investment Affairs Pvt Ltd</t>
  </si>
  <si>
    <t>VTSN &amp; ASSOCIATES LLP</t>
  </si>
  <si>
    <t>YASHEEL FOODS LLP</t>
  </si>
  <si>
    <t>Yash Enterprise</t>
  </si>
  <si>
    <t>Yolojet Internet Services Private Limited</t>
  </si>
  <si>
    <t>Zeel Pest Solution LLP</t>
  </si>
  <si>
    <t>ZOHO CORPORATION PRIVATE LIMITED</t>
  </si>
  <si>
    <t>Debentures Application Money</t>
  </si>
  <si>
    <t>Deferred Tax Liability</t>
  </si>
  <si>
    <t>Provident Fund Payable</t>
  </si>
  <si>
    <t>Share Application Money</t>
  </si>
  <si>
    <t>Loans (Liability)</t>
  </si>
  <si>
    <t>Bank OD A/c</t>
  </si>
  <si>
    <t>canara bank OD A/c-125003339529</t>
  </si>
  <si>
    <t>Compulsory Convertible Debentures</t>
  </si>
  <si>
    <t>Hemanshu Bhupendra Daxini Debentures</t>
  </si>
  <si>
    <t>Hemantkumar Ramanlal Shah Debentures</t>
  </si>
  <si>
    <t>Jay Siddharth Sutaria Debentures</t>
  </si>
  <si>
    <t>Shukla Nageshwar Nath Debentures</t>
  </si>
  <si>
    <t>Vaishal Kismatlal Shah Debentures</t>
  </si>
  <si>
    <t>Secured Loans</t>
  </si>
  <si>
    <t>canara bank a/c-170006544612</t>
  </si>
  <si>
    <t>Unsecured Loans</t>
  </si>
  <si>
    <t>Darshan Gattani Loan</t>
  </si>
  <si>
    <t>Nidhi Purohit</t>
  </si>
  <si>
    <t>Rohan Vimal Shah Loan</t>
  </si>
  <si>
    <t>Shiven Chaturvedi Loan</t>
  </si>
  <si>
    <t>Suspense A/c</t>
  </si>
  <si>
    <t>Suspens</t>
  </si>
  <si>
    <t>Suspens A/c</t>
  </si>
  <si>
    <t>Profit &amp; Loss A/c</t>
  </si>
  <si>
    <t>Expenses</t>
  </si>
  <si>
    <t>Direct Expenses</t>
  </si>
  <si>
    <t>Factory Expense</t>
  </si>
  <si>
    <t>Packaging (Direct Exp)</t>
  </si>
  <si>
    <t>Shipping Charges (Indirect Exp)</t>
  </si>
  <si>
    <t>Testing Exp</t>
  </si>
  <si>
    <t>Transportation Exp (Direct)</t>
  </si>
  <si>
    <t>Indirect Expenses</t>
  </si>
  <si>
    <t>Administrative Expenses</t>
  </si>
  <si>
    <t>Fuel Exp</t>
  </si>
  <si>
    <t>Fund Raising Expense</t>
  </si>
  <si>
    <t>Insurance Exp</t>
  </si>
  <si>
    <t>Interest Exp</t>
  </si>
  <si>
    <t>Listing Fees</t>
  </si>
  <si>
    <t>Refund Exps.</t>
  </si>
  <si>
    <t>Reimburshment Expenses</t>
  </si>
  <si>
    <t>Reverse Charges</t>
  </si>
  <si>
    <t>Subsidy Exps.</t>
  </si>
  <si>
    <t>Employees Expense</t>
  </si>
  <si>
    <t>Allowance Exp.</t>
  </si>
  <si>
    <t>Director Remuneration</t>
  </si>
  <si>
    <t>Diwali Bonus</t>
  </si>
  <si>
    <t>Employee Welfare Exp</t>
  </si>
  <si>
    <t>Employer Contribution - ESIC</t>
  </si>
  <si>
    <t>Employer Contribution - PF</t>
  </si>
  <si>
    <t>ESIC Expense</t>
  </si>
  <si>
    <t>Professional Tax Exp</t>
  </si>
  <si>
    <t>Provident Fund Expense</t>
  </si>
  <si>
    <t>Salary Exp.</t>
  </si>
  <si>
    <t>Stipend Exp</t>
  </si>
  <si>
    <t>Wages Exp.</t>
  </si>
  <si>
    <t>Factory Expenses</t>
  </si>
  <si>
    <t>Factory License</t>
  </si>
  <si>
    <t>FACTORY SUPPLIES</t>
  </si>
  <si>
    <t>Reemaben</t>
  </si>
  <si>
    <t>Finance Charges</t>
  </si>
  <si>
    <t>Inspection Charges</t>
  </si>
  <si>
    <t>Interest on Term Loan</t>
  </si>
  <si>
    <t>Loan Interest (XX4612)</t>
  </si>
  <si>
    <t>OD Interest</t>
  </si>
  <si>
    <t>OD Renewal Charges</t>
  </si>
  <si>
    <t>Legal and Compliance Exp</t>
  </si>
  <si>
    <t>Bharat Kosh (Govt Payment)</t>
  </si>
  <si>
    <t>Lawyer Exp</t>
  </si>
  <si>
    <t>Legal Exp</t>
  </si>
  <si>
    <t>Legal Exp (Direct Exp)</t>
  </si>
  <si>
    <t>NSDL Demat Charges</t>
  </si>
  <si>
    <t>Renewal Charges</t>
  </si>
  <si>
    <t>Success Fees</t>
  </si>
  <si>
    <t>Marketing Expenses</t>
  </si>
  <si>
    <t>Advertisement Exp</t>
  </si>
  <si>
    <t>Amazon Review</t>
  </si>
  <si>
    <t>Marketing Exp</t>
  </si>
  <si>
    <t>Promotion Exp</t>
  </si>
  <si>
    <t>Sales Bonus</t>
  </si>
  <si>
    <t>Sales Commission</t>
  </si>
  <si>
    <t>Sampling Fees</t>
  </si>
  <si>
    <t>Selling Expenses</t>
  </si>
  <si>
    <t>Social Media Marketing</t>
  </si>
  <si>
    <t>Website Charges</t>
  </si>
  <si>
    <t>Website Expense</t>
  </si>
  <si>
    <t>Office Expenses</t>
  </si>
  <si>
    <t>Bank Charges</t>
  </si>
  <si>
    <t>Consultancy Exp</t>
  </si>
  <si>
    <t>Consultation Fees</t>
  </si>
  <si>
    <t>Discount on Sales</t>
  </si>
  <si>
    <t>Ecommerce Service Exp</t>
  </si>
  <si>
    <t>Electricity Bill</t>
  </si>
  <si>
    <t>Freight Expenses</t>
  </si>
  <si>
    <t>GST Payble</t>
  </si>
  <si>
    <t>Hotel Expense</t>
  </si>
  <si>
    <t>Meeting Expenses</t>
  </si>
  <si>
    <t>Misc. Exp</t>
  </si>
  <si>
    <t>Office EXP</t>
  </si>
  <si>
    <t>Office Supplies (Direct Exp)</t>
  </si>
  <si>
    <t>Office Supplies (Indirect Exp)</t>
  </si>
  <si>
    <t>Petrol Expense</t>
  </si>
  <si>
    <t>Professional Fees Exp</t>
  </si>
  <si>
    <t>Razorpay Software Charges</t>
  </si>
  <si>
    <t>Rent Exp.</t>
  </si>
  <si>
    <t>ROC Charges</t>
  </si>
  <si>
    <t>Round Off</t>
  </si>
  <si>
    <t>Share Capital Exp</t>
  </si>
  <si>
    <t>Software Exp</t>
  </si>
  <si>
    <t>SPONSORSHIP EXP</t>
  </si>
  <si>
    <t>Stationery EXP</t>
  </si>
  <si>
    <t>Trademark Exp.</t>
  </si>
  <si>
    <t>Transportation Exp</t>
  </si>
  <si>
    <t>Operating Expenses</t>
  </si>
  <si>
    <t>R&amp;D Expense</t>
  </si>
  <si>
    <t>Repairs &amp; Maintenance</t>
  </si>
  <si>
    <t>Other Expense</t>
  </si>
  <si>
    <t>Other Expenses</t>
  </si>
  <si>
    <t>Sales Commission to Platform</t>
  </si>
  <si>
    <t>Traveling Expenses</t>
  </si>
  <si>
    <t>Traveling EXP</t>
  </si>
  <si>
    <t>Traveling Exp. 12%</t>
  </si>
  <si>
    <t>Traveling Exp.18%</t>
  </si>
  <si>
    <t>Traveling Exp.5%</t>
  </si>
  <si>
    <t>Bad Debts A/C</t>
  </si>
  <si>
    <t>Bank Godown Charges</t>
  </si>
  <si>
    <t>Brokerage Exp</t>
  </si>
  <si>
    <t>Business Seminar Exp.</t>
  </si>
  <si>
    <t>Construction Services</t>
  </si>
  <si>
    <t>Discount on Purchase</t>
  </si>
  <si>
    <t>E-Commerce Commission Fee</t>
  </si>
  <si>
    <t>Personal Expense</t>
  </si>
  <si>
    <t>Plumber Exp.</t>
  </si>
  <si>
    <t>PROFESSIONAL FEES EXPENSE</t>
  </si>
  <si>
    <t>Stamp Duty</t>
  </si>
  <si>
    <t>TERM LOAN CHARGES</t>
  </si>
  <si>
    <t>Ticket Exps.</t>
  </si>
  <si>
    <t>Torrent Power</t>
  </si>
  <si>
    <t>Uttar Gujrat Vij Company Limited</t>
  </si>
  <si>
    <t>Purchase Accounts</t>
  </si>
  <si>
    <t>FREIGHT CHARGES UNDER RCM</t>
  </si>
  <si>
    <t>Hosting and information technology (IT) infrastructure</t>
  </si>
  <si>
    <t>Intersrate Purchase</t>
  </si>
  <si>
    <t>Interstate Purchase @12%</t>
  </si>
  <si>
    <t>Interstate Purchase @ 18%</t>
  </si>
  <si>
    <t>Interstate Purchase @ 5%</t>
  </si>
  <si>
    <t>Purchase</t>
  </si>
  <si>
    <t>Purchase @ 12 %</t>
  </si>
  <si>
    <t>Purchase @ 18%</t>
  </si>
  <si>
    <t>Purchase @ 28%</t>
  </si>
  <si>
    <t>Purchase @ 3%</t>
  </si>
  <si>
    <t>Purchase @ 5%</t>
  </si>
  <si>
    <t>RAW MATERIAL</t>
  </si>
  <si>
    <t>Income</t>
  </si>
  <si>
    <t>Direct Incomes</t>
  </si>
  <si>
    <t>Indirect Incomes</t>
  </si>
  <si>
    <t>Interest Fee Refund</t>
  </si>
  <si>
    <t>Interest on Fixed Deposit(FD)</t>
  </si>
  <si>
    <t>Kasar Vatav</t>
  </si>
  <si>
    <t>Sales Accounts</t>
  </si>
  <si>
    <t>Zoho Sales</t>
  </si>
  <si>
    <t>Interstate Sales</t>
  </si>
  <si>
    <t>Interstate Sales @12%</t>
  </si>
  <si>
    <t>Interstate  Sales @18%</t>
  </si>
  <si>
    <t>Interstate Sales @5%</t>
  </si>
  <si>
    <t>Output Sales @18%</t>
  </si>
  <si>
    <t>Sales</t>
  </si>
  <si>
    <t>Sales @12%</t>
  </si>
  <si>
    <t>Sales @18%</t>
  </si>
  <si>
    <t>Sales @5%</t>
  </si>
  <si>
    <t>Sales (Export)</t>
  </si>
  <si>
    <t>67 Group(s)</t>
  </si>
  <si>
    <t>1627 Ledger(s)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</si>
</sst>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6" x14ac:knownFonts="1">
    <font>
      <sz val="11"/>
      <color theme="1"/>
      <name val="Calibri"/>
      <family val="2"/>
      <scheme val="minor"/>
    </font>
    <font>
      <b/>
      <sz val="12"/>
      <name val="Times New Roman"/>
      <family val="1"/>
    </font>
    <font>
      <sz val="10"/>
      <name val="Arial"/>
      <family val="2"/>
    </font>
    <font>
      <b/>
      <sz val="9"/>
      <name val="Arial"/>
      <family val="2"/>
    </font>
    <font>
      <i/>
      <sz val="9"/>
      <name val="Arial"/>
      <family val="2"/>
    </font>
    <font>
      <b/>
      <sz val="10"/>
      <name val="Arial"/>
      <family val="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/>
      <bottom style="thin">
        <color rgb="FF000008"/>
      </bottom>
      <diagonal/>
    </border>
    <border>
      <left/>
      <right/>
      <top style="thin">
        <color rgb="FF000008"/>
      </top>
      <bottom/>
      <diagonal/>
    </border>
  </borders>
  <cellStyleXfs count="1">
    <xf numFmtId="0" fontId="0" fillId="0" borderId="0"/>
  </cellStyleXfs>
  <cellXfs count="9">
    <xf numFmtId="0" fontId="0" fillId="0" borderId="0" xfId="0"/>
    <xf numFmtId="4" fontId="0" fillId="0" borderId="0" xfId="0" applyNumberFormat="1"/>
    <xf numFmtId="49" fontId="1" fillId="0" borderId="1" xfId="0" applyNumberFormat="1" applyFont="1" applyBorder="1" applyAlignment="1">
      <alignment vertical="top"/>
    </xf>
    <xf numFmtId="0" fontId="2" fillId="0" borderId="0" xfId="0" applyFont="1" applyAlignment="1">
      <alignment vertical="top"/>
    </xf>
    <xf numFmtId="49" fontId="3" fillId="0" borderId="0" xfId="0" applyNumberFormat="1" applyFont="1" applyAlignment="1">
      <alignment vertical="top"/>
    </xf>
    <xf numFmtId="49" fontId="4" fillId="0" borderId="0" xfId="0" applyNumberFormat="1" applyFont="1" applyAlignment="1">
      <alignment vertical="top"/>
    </xf>
    <xf numFmtId="49" fontId="4" fillId="0" borderId="0" xfId="0" applyNumberFormat="1" applyFont="1" applyAlignment="1">
      <alignment vertical="top" wrapText="1"/>
    </xf>
    <xf numFmtId="49" fontId="5" fillId="0" borderId="2" xfId="0" applyNumberFormat="1" applyFont="1" applyBorder="1" applyAlignment="1">
      <alignment vertical="top"/>
    </xf>
    <xf numFmtId="49" fontId="2" fillId="0" borderId="2" xfId="0" applyNumberFormat="1" applyFont="1" applyBorder="1" applyAlignment="1">
      <alignment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695"/>
  <sheetViews>
    <sheetView tabSelected="1" workbookViewId="0">
      <selection activeCell="J7" sqref="J7"/>
    </sheetView>
  </sheetViews>
  <sheetFormatPr defaultRowHeight="15" x14ac:dyDescent="0.25"/>
  <sheetData>
    <row r="1" spans="1:3" x14ac:dyDescent="0.25">
      <c r="A1" s="4" t="s">
        <v>111</v>
      </c>
      <c r="B1" s="3"/>
      <c r="C1" s="3"/>
    </row>
    <row r="2" spans="1:3" x14ac:dyDescent="0.25">
      <c r="A2" s="5" t="s">
        <v>112</v>
      </c>
      <c r="B2" s="3"/>
      <c r="C2" s="3"/>
    </row>
    <row r="3" spans="1:3" x14ac:dyDescent="0.25">
      <c r="A3" s="5" t="s">
        <v>113</v>
      </c>
      <c r="B3" s="3"/>
      <c r="C3" s="3"/>
    </row>
    <row r="4" spans="1:3" x14ac:dyDescent="0.25">
      <c r="A4" s="5" t="s">
        <v>114</v>
      </c>
      <c r="B4" s="3"/>
      <c r="C4" s="3"/>
    </row>
    <row r="5" spans="1:3" x14ac:dyDescent="0.25">
      <c r="A5" s="5" t="s">
        <v>115</v>
      </c>
      <c r="B5" s="3"/>
      <c r="C5" s="3"/>
    </row>
    <row r="6" spans="1:3" x14ac:dyDescent="0.25">
      <c r="A6" s="4" t="s">
        <v>116</v>
      </c>
      <c r="B6" s="3"/>
      <c r="C6" s="3"/>
    </row>
    <row r="7" spans="1:3" x14ac:dyDescent="0.25">
      <c r="A7" s="5" t="s">
        <v>117</v>
      </c>
      <c r="B7" s="3"/>
      <c r="C7" s="3"/>
    </row>
    <row r="8" spans="1:3" x14ac:dyDescent="0.25">
      <c r="A8" s="4" t="s">
        <v>118</v>
      </c>
      <c r="B8" s="3"/>
      <c r="C8" s="3"/>
    </row>
    <row r="9" spans="1:3" x14ac:dyDescent="0.25">
      <c r="A9" s="5" t="s">
        <v>119</v>
      </c>
      <c r="B9" s="3"/>
      <c r="C9" s="3"/>
    </row>
    <row r="10" spans="1:3" x14ac:dyDescent="0.25">
      <c r="A10" s="5" t="s">
        <v>120</v>
      </c>
      <c r="B10" s="3"/>
      <c r="C10" s="3"/>
    </row>
    <row r="11" spans="1:3" x14ac:dyDescent="0.25">
      <c r="A11" s="4" t="s">
        <v>121</v>
      </c>
      <c r="B11" s="3"/>
      <c r="C11" s="3"/>
    </row>
    <row r="12" spans="1:3" x14ac:dyDescent="0.25">
      <c r="A12" s="4" t="s">
        <v>122</v>
      </c>
      <c r="B12" s="3"/>
      <c r="C12" s="3"/>
    </row>
    <row r="13" spans="1:3" x14ac:dyDescent="0.25">
      <c r="A13" s="4" t="s">
        <v>123</v>
      </c>
      <c r="B13" s="3"/>
      <c r="C13" s="3"/>
    </row>
    <row r="14" spans="1:3" x14ac:dyDescent="0.25">
      <c r="A14" s="5" t="s">
        <v>124</v>
      </c>
      <c r="B14" s="3"/>
      <c r="C14" s="3"/>
    </row>
    <row r="15" spans="1:3" x14ac:dyDescent="0.25">
      <c r="A15" s="5" t="s">
        <v>125</v>
      </c>
      <c r="B15" s="3"/>
      <c r="C15" s="3"/>
    </row>
    <row r="16" spans="1:3" x14ac:dyDescent="0.25">
      <c r="A16" s="5" t="s">
        <v>126</v>
      </c>
      <c r="B16" s="3"/>
      <c r="C16" s="3"/>
    </row>
    <row r="17" spans="1:3" x14ac:dyDescent="0.25">
      <c r="A17" s="5" t="s">
        <v>127</v>
      </c>
      <c r="B17" s="3"/>
      <c r="C17" s="3"/>
    </row>
    <row r="18" spans="1:3" x14ac:dyDescent="0.25">
      <c r="A18" s="5" t="s">
        <v>128</v>
      </c>
      <c r="B18" s="3"/>
      <c r="C18" s="3"/>
    </row>
    <row r="19" spans="1:3" x14ac:dyDescent="0.25">
      <c r="A19" s="4" t="s">
        <v>129</v>
      </c>
      <c r="B19" s="3"/>
      <c r="C19" s="3"/>
    </row>
    <row r="20" spans="1:3" x14ac:dyDescent="0.25">
      <c r="A20" s="5" t="s">
        <v>130</v>
      </c>
      <c r="B20" s="3"/>
      <c r="C20" s="3"/>
    </row>
    <row r="21" spans="1:3" x14ac:dyDescent="0.25">
      <c r="A21" s="5" t="s">
        <v>131</v>
      </c>
      <c r="B21" s="3"/>
      <c r="C21" s="3"/>
    </row>
    <row r="22" spans="1:3" x14ac:dyDescent="0.25">
      <c r="A22" s="5" t="s">
        <v>132</v>
      </c>
      <c r="B22" s="3"/>
      <c r="C22" s="3"/>
    </row>
    <row r="23" spans="1:3" x14ac:dyDescent="0.25">
      <c r="A23" s="5" t="s">
        <v>133</v>
      </c>
      <c r="B23" s="3"/>
      <c r="C23" s="3"/>
    </row>
    <row r="24" spans="1:3" x14ac:dyDescent="0.25">
      <c r="A24" s="4" t="s">
        <v>134</v>
      </c>
      <c r="B24" s="3"/>
      <c r="C24" s="3"/>
    </row>
    <row r="25" spans="1:3" x14ac:dyDescent="0.25">
      <c r="A25" s="5" t="s">
        <v>135</v>
      </c>
      <c r="B25" s="3"/>
      <c r="C25" s="3"/>
    </row>
    <row r="26" spans="1:3" x14ac:dyDescent="0.25">
      <c r="A26" s="5" t="s">
        <v>136</v>
      </c>
      <c r="B26" s="3"/>
      <c r="C26" s="3"/>
    </row>
    <row r="27" spans="1:3" x14ac:dyDescent="0.25">
      <c r="A27" s="5" t="s">
        <v>137</v>
      </c>
      <c r="B27" s="3"/>
      <c r="C27" s="3"/>
    </row>
    <row r="28" spans="1:3" x14ac:dyDescent="0.25">
      <c r="A28" s="5" t="s">
        <v>138</v>
      </c>
      <c r="B28" s="3"/>
      <c r="C28" s="3"/>
    </row>
    <row r="29" spans="1:3" x14ac:dyDescent="0.25">
      <c r="A29" s="5" t="s">
        <v>139</v>
      </c>
      <c r="B29" s="3"/>
      <c r="C29" s="3"/>
    </row>
    <row r="30" spans="1:3" x14ac:dyDescent="0.25">
      <c r="A30" s="5" t="s">
        <v>140</v>
      </c>
      <c r="B30" s="3"/>
      <c r="C30" s="3"/>
    </row>
    <row r="31" spans="1:3" x14ac:dyDescent="0.25">
      <c r="A31" s="5" t="s">
        <v>141</v>
      </c>
      <c r="B31" s="3"/>
      <c r="C31" s="3"/>
    </row>
    <row r="32" spans="1:3" x14ac:dyDescent="0.25">
      <c r="A32" s="5" t="s">
        <v>142</v>
      </c>
      <c r="B32" s="3"/>
      <c r="C32" s="3"/>
    </row>
    <row r="33" spans="1:3" x14ac:dyDescent="0.25">
      <c r="A33" s="5" t="s">
        <v>143</v>
      </c>
      <c r="B33" s="3"/>
      <c r="C33" s="3"/>
    </row>
    <row r="34" spans="1:3" x14ac:dyDescent="0.25">
      <c r="A34" s="4" t="s">
        <v>144</v>
      </c>
      <c r="B34" s="3"/>
      <c r="C34" s="3"/>
    </row>
    <row r="35" spans="1:3" x14ac:dyDescent="0.25">
      <c r="A35" s="5" t="s">
        <v>145</v>
      </c>
      <c r="B35" s="3"/>
      <c r="C35" s="3"/>
    </row>
    <row r="36" spans="1:3" x14ac:dyDescent="0.25">
      <c r="A36" s="5" t="s">
        <v>146</v>
      </c>
      <c r="B36" s="3"/>
      <c r="C36" s="3"/>
    </row>
    <row r="37" spans="1:3" x14ac:dyDescent="0.25">
      <c r="A37" s="5" t="s">
        <v>147</v>
      </c>
      <c r="B37" s="3"/>
      <c r="C37" s="3"/>
    </row>
    <row r="38" spans="1:3" x14ac:dyDescent="0.25">
      <c r="A38" s="5" t="s">
        <v>148</v>
      </c>
      <c r="B38" s="3"/>
      <c r="C38" s="3"/>
    </row>
    <row r="39" spans="1:3" x14ac:dyDescent="0.25">
      <c r="A39" s="5" t="s">
        <v>149</v>
      </c>
      <c r="B39" s="3"/>
      <c r="C39" s="3"/>
    </row>
    <row r="40" spans="1:3" x14ac:dyDescent="0.25">
      <c r="A40" s="5" t="s">
        <v>150</v>
      </c>
      <c r="B40" s="3"/>
      <c r="C40" s="3"/>
    </row>
    <row r="41" spans="1:3" x14ac:dyDescent="0.25">
      <c r="A41" s="5" t="s">
        <v>151</v>
      </c>
      <c r="B41" s="3"/>
      <c r="C41" s="3"/>
    </row>
    <row r="42" spans="1:3" x14ac:dyDescent="0.25">
      <c r="A42" s="5" t="s">
        <v>152</v>
      </c>
      <c r="B42" s="3"/>
      <c r="C42" s="3"/>
    </row>
    <row r="43" spans="1:3" x14ac:dyDescent="0.25">
      <c r="A43" s="5" t="s">
        <v>153</v>
      </c>
      <c r="B43" s="3"/>
      <c r="C43" s="3"/>
    </row>
    <row r="44" spans="1:3" x14ac:dyDescent="0.25">
      <c r="A44" s="5" t="s">
        <v>154</v>
      </c>
      <c r="B44" s="3"/>
      <c r="C44" s="3"/>
    </row>
    <row r="45" spans="1:3" x14ac:dyDescent="0.25">
      <c r="A45" s="4" t="s">
        <v>155</v>
      </c>
      <c r="B45" s="3"/>
      <c r="C45" s="3"/>
    </row>
    <row r="46" spans="1:3" x14ac:dyDescent="0.25">
      <c r="A46" s="5" t="s">
        <v>156</v>
      </c>
      <c r="B46" s="3"/>
      <c r="C46" s="3"/>
    </row>
    <row r="47" spans="1:3" x14ac:dyDescent="0.25">
      <c r="A47" s="4" t="s">
        <v>157</v>
      </c>
      <c r="B47" s="3"/>
      <c r="C47" s="3"/>
    </row>
    <row r="48" spans="1:3" x14ac:dyDescent="0.25">
      <c r="A48" s="5" t="s">
        <v>158</v>
      </c>
      <c r="B48" s="3"/>
      <c r="C48" s="3"/>
    </row>
    <row r="49" spans="1:3" x14ac:dyDescent="0.25">
      <c r="A49" s="4" t="s">
        <v>159</v>
      </c>
      <c r="B49" s="3"/>
      <c r="C49" s="3"/>
    </row>
    <row r="50" spans="1:3" x14ac:dyDescent="0.25">
      <c r="A50" s="5" t="s">
        <v>160</v>
      </c>
      <c r="B50" s="3"/>
      <c r="C50" s="3"/>
    </row>
    <row r="51" spans="1:3" x14ac:dyDescent="0.25">
      <c r="A51" s="5" t="s">
        <v>161</v>
      </c>
      <c r="B51" s="3"/>
      <c r="C51" s="3"/>
    </row>
    <row r="52" spans="1:3" x14ac:dyDescent="0.25">
      <c r="A52" s="4" t="s">
        <v>162</v>
      </c>
      <c r="B52" s="3"/>
      <c r="C52" s="3"/>
    </row>
    <row r="53" spans="1:3" x14ac:dyDescent="0.25">
      <c r="A53" s="4" t="s">
        <v>163</v>
      </c>
      <c r="B53" s="3"/>
      <c r="C53" s="3"/>
    </row>
    <row r="54" spans="1:3" x14ac:dyDescent="0.25">
      <c r="A54" s="4" t="s">
        <v>164</v>
      </c>
      <c r="B54" s="3"/>
      <c r="C54" s="3"/>
    </row>
    <row r="55" spans="1:3" x14ac:dyDescent="0.25">
      <c r="A55" s="5" t="s">
        <v>165</v>
      </c>
      <c r="B55" s="3"/>
      <c r="C55" s="3"/>
    </row>
    <row r="56" spans="1:3" x14ac:dyDescent="0.25">
      <c r="A56" s="5" t="s">
        <v>166</v>
      </c>
      <c r="B56" s="3"/>
      <c r="C56" s="3"/>
    </row>
    <row r="57" spans="1:3" x14ac:dyDescent="0.25">
      <c r="A57" s="5" t="s">
        <v>167</v>
      </c>
      <c r="B57" s="3"/>
      <c r="C57" s="3"/>
    </row>
    <row r="58" spans="1:3" x14ac:dyDescent="0.25">
      <c r="A58" s="5" t="s">
        <v>168</v>
      </c>
      <c r="B58" s="3"/>
      <c r="C58" s="3"/>
    </row>
    <row r="59" spans="1:3" x14ac:dyDescent="0.25">
      <c r="A59" s="5" t="s">
        <v>169</v>
      </c>
      <c r="B59" s="3"/>
      <c r="C59" s="3"/>
    </row>
    <row r="60" spans="1:3" x14ac:dyDescent="0.25">
      <c r="A60" s="5" t="s">
        <v>170</v>
      </c>
      <c r="B60" s="3"/>
      <c r="C60" s="3"/>
    </row>
    <row r="61" spans="1:3" x14ac:dyDescent="0.25">
      <c r="A61" s="5" t="s">
        <v>171</v>
      </c>
      <c r="B61" s="3"/>
      <c r="C61" s="3"/>
    </row>
    <row r="62" spans="1:3" x14ac:dyDescent="0.25">
      <c r="A62" s="5" t="s">
        <v>172</v>
      </c>
      <c r="B62" s="3"/>
      <c r="C62" s="3"/>
    </row>
    <row r="63" spans="1:3" x14ac:dyDescent="0.25">
      <c r="A63" s="5" t="s">
        <v>173</v>
      </c>
      <c r="B63" s="3"/>
      <c r="C63" s="3"/>
    </row>
    <row r="64" spans="1:3" x14ac:dyDescent="0.25">
      <c r="A64" s="5" t="s">
        <v>174</v>
      </c>
      <c r="B64" s="3"/>
      <c r="C64" s="3"/>
    </row>
    <row r="65" spans="1:3" x14ac:dyDescent="0.25">
      <c r="A65" s="5" t="s">
        <v>175</v>
      </c>
      <c r="B65" s="3"/>
      <c r="C65" s="3"/>
    </row>
    <row r="66" spans="1:3" x14ac:dyDescent="0.25">
      <c r="A66" s="5" t="s">
        <v>176</v>
      </c>
      <c r="B66" s="3"/>
      <c r="C66" s="3"/>
    </row>
    <row r="67" spans="1:3" x14ac:dyDescent="0.25">
      <c r="A67" s="5" t="s">
        <v>177</v>
      </c>
      <c r="B67" s="3"/>
      <c r="C67" s="3"/>
    </row>
    <row r="68" spans="1:3" x14ac:dyDescent="0.25">
      <c r="A68" s="5" t="s">
        <v>178</v>
      </c>
      <c r="B68" s="3"/>
      <c r="C68" s="3"/>
    </row>
    <row r="69" spans="1:3" x14ac:dyDescent="0.25">
      <c r="A69" s="5" t="s">
        <v>179</v>
      </c>
      <c r="B69" s="3"/>
      <c r="C69" s="3"/>
    </row>
    <row r="70" spans="1:3" x14ac:dyDescent="0.25">
      <c r="A70" s="4" t="s">
        <v>180</v>
      </c>
      <c r="B70" s="3"/>
      <c r="C70" s="3"/>
    </row>
    <row r="71" spans="1:3" x14ac:dyDescent="0.25">
      <c r="A71" s="5" t="s">
        <v>181</v>
      </c>
      <c r="B71" s="3"/>
      <c r="C71" s="3"/>
    </row>
    <row r="72" spans="1:3" x14ac:dyDescent="0.25">
      <c r="A72" s="5" t="s">
        <v>182</v>
      </c>
      <c r="B72" s="3"/>
      <c r="C72" s="3"/>
    </row>
    <row r="73" spans="1:3" x14ac:dyDescent="0.25">
      <c r="A73" s="5" t="s">
        <v>183</v>
      </c>
      <c r="B73" s="3"/>
      <c r="C73" s="3"/>
    </row>
    <row r="74" spans="1:3" x14ac:dyDescent="0.25">
      <c r="A74" s="5" t="s">
        <v>184</v>
      </c>
      <c r="B74" s="3"/>
      <c r="C74" s="3"/>
    </row>
    <row r="75" spans="1:3" x14ac:dyDescent="0.25">
      <c r="A75" s="5" t="s">
        <v>185</v>
      </c>
      <c r="B75" s="3"/>
      <c r="C75" s="3"/>
    </row>
    <row r="76" spans="1:3" x14ac:dyDescent="0.25">
      <c r="A76" s="5" t="s">
        <v>186</v>
      </c>
      <c r="B76" s="3"/>
      <c r="C76" s="3"/>
    </row>
    <row r="77" spans="1:3" x14ac:dyDescent="0.25">
      <c r="A77" s="5" t="s">
        <v>187</v>
      </c>
      <c r="B77" s="3"/>
      <c r="C77" s="3"/>
    </row>
    <row r="78" spans="1:3" x14ac:dyDescent="0.25">
      <c r="A78" s="5" t="s">
        <v>188</v>
      </c>
      <c r="B78" s="3"/>
      <c r="C78" s="3"/>
    </row>
    <row r="79" spans="1:3" x14ac:dyDescent="0.25">
      <c r="A79" s="5" t="s">
        <v>189</v>
      </c>
      <c r="B79" s="3"/>
      <c r="C79" s="3"/>
    </row>
    <row r="80" spans="1:3" x14ac:dyDescent="0.25">
      <c r="A80" s="5" t="s">
        <v>190</v>
      </c>
      <c r="B80" s="3"/>
      <c r="C80" s="3"/>
    </row>
    <row r="81" spans="1:3" x14ac:dyDescent="0.25">
      <c r="A81" s="5" t="s">
        <v>191</v>
      </c>
      <c r="B81" s="3"/>
      <c r="C81" s="3"/>
    </row>
    <row r="82" spans="1:3" x14ac:dyDescent="0.25">
      <c r="A82" s="5" t="s">
        <v>192</v>
      </c>
      <c r="B82" s="3"/>
      <c r="C82" s="3"/>
    </row>
    <row r="83" spans="1:3" x14ac:dyDescent="0.25">
      <c r="A83" s="5" t="s">
        <v>193</v>
      </c>
      <c r="B83" s="3"/>
      <c r="C83" s="3"/>
    </row>
    <row r="84" spans="1:3" x14ac:dyDescent="0.25">
      <c r="A84" s="4" t="s">
        <v>194</v>
      </c>
      <c r="B84" s="3"/>
      <c r="C84" s="3"/>
    </row>
    <row r="85" spans="1:3" x14ac:dyDescent="0.25">
      <c r="A85" s="5" t="s">
        <v>195</v>
      </c>
      <c r="B85" s="3"/>
      <c r="C85" s="3"/>
    </row>
    <row r="86" spans="1:3" x14ac:dyDescent="0.25">
      <c r="A86" s="5" t="s">
        <v>196</v>
      </c>
      <c r="B86" s="3"/>
      <c r="C86" s="3"/>
    </row>
    <row r="87" spans="1:3" x14ac:dyDescent="0.25">
      <c r="A87" s="5" t="s">
        <v>197</v>
      </c>
      <c r="B87" s="3"/>
      <c r="C87" s="3"/>
    </row>
    <row r="88" spans="1:3" x14ac:dyDescent="0.25">
      <c r="A88" s="5" t="s">
        <v>198</v>
      </c>
      <c r="B88" s="3"/>
      <c r="C88" s="3"/>
    </row>
    <row r="89" spans="1:3" x14ac:dyDescent="0.25">
      <c r="A89" s="5" t="s">
        <v>199</v>
      </c>
      <c r="B89" s="3"/>
      <c r="C89" s="3"/>
    </row>
    <row r="90" spans="1:3" x14ac:dyDescent="0.25">
      <c r="A90" s="5" t="s">
        <v>200</v>
      </c>
      <c r="B90" s="3"/>
      <c r="C90" s="3"/>
    </row>
    <row r="91" spans="1:3" x14ac:dyDescent="0.25">
      <c r="A91" s="5" t="s">
        <v>201</v>
      </c>
      <c r="B91" s="3"/>
      <c r="C91" s="3"/>
    </row>
    <row r="92" spans="1:3" x14ac:dyDescent="0.25">
      <c r="A92" s="5" t="s">
        <v>202</v>
      </c>
      <c r="B92" s="3"/>
      <c r="C92" s="3"/>
    </row>
    <row r="93" spans="1:3" x14ac:dyDescent="0.25">
      <c r="A93" s="5" t="s">
        <v>203</v>
      </c>
      <c r="B93" s="3"/>
      <c r="C93" s="3"/>
    </row>
    <row r="94" spans="1:3" x14ac:dyDescent="0.25">
      <c r="A94" s="5" t="s">
        <v>204</v>
      </c>
      <c r="B94" s="3"/>
      <c r="C94" s="3"/>
    </row>
    <row r="95" spans="1:3" x14ac:dyDescent="0.25">
      <c r="A95" s="5" t="s">
        <v>205</v>
      </c>
      <c r="B95" s="3"/>
      <c r="C95" s="3"/>
    </row>
    <row r="96" spans="1:3" x14ac:dyDescent="0.25">
      <c r="A96" s="5" t="s">
        <v>206</v>
      </c>
      <c r="B96" s="3"/>
      <c r="C96" s="3"/>
    </row>
    <row r="97" spans="1:3" x14ac:dyDescent="0.25">
      <c r="A97" s="5" t="s">
        <v>207</v>
      </c>
      <c r="B97" s="3"/>
      <c r="C97" s="3"/>
    </row>
    <row r="98" spans="1:3" x14ac:dyDescent="0.25">
      <c r="A98" s="5" t="s">
        <v>208</v>
      </c>
      <c r="B98" s="3"/>
      <c r="C98" s="3"/>
    </row>
    <row r="99" spans="1:3" x14ac:dyDescent="0.25">
      <c r="A99" s="5" t="s">
        <v>209</v>
      </c>
      <c r="B99" s="3"/>
      <c r="C99" s="3"/>
    </row>
    <row r="100" spans="1:3" x14ac:dyDescent="0.25">
      <c r="A100" s="5" t="s">
        <v>210</v>
      </c>
      <c r="B100" s="3"/>
      <c r="C100" s="3"/>
    </row>
    <row r="101" spans="1:3" x14ac:dyDescent="0.25">
      <c r="A101" s="5" t="s">
        <v>211</v>
      </c>
      <c r="B101" s="3"/>
      <c r="C101" s="3"/>
    </row>
    <row r="102" spans="1:3" x14ac:dyDescent="0.25">
      <c r="A102" s="5" t="s">
        <v>212</v>
      </c>
      <c r="B102" s="3"/>
      <c r="C102" s="3"/>
    </row>
    <row r="103" spans="1:3" x14ac:dyDescent="0.25">
      <c r="A103" s="4" t="s">
        <v>213</v>
      </c>
      <c r="B103" s="3"/>
      <c r="C103" s="3"/>
    </row>
    <row r="104" spans="1:3" x14ac:dyDescent="0.25">
      <c r="A104" s="5" t="s">
        <v>214</v>
      </c>
      <c r="B104" s="3"/>
      <c r="C104" s="3"/>
    </row>
    <row r="105" spans="1:3" x14ac:dyDescent="0.25">
      <c r="A105" s="5" t="s">
        <v>215</v>
      </c>
      <c r="B105" s="3"/>
      <c r="C105" s="3"/>
    </row>
    <row r="106" spans="1:3" x14ac:dyDescent="0.25">
      <c r="A106" s="5" t="s">
        <v>216</v>
      </c>
      <c r="B106" s="3"/>
      <c r="C106" s="3"/>
    </row>
    <row r="107" spans="1:3" x14ac:dyDescent="0.25">
      <c r="A107" s="5" t="s">
        <v>217</v>
      </c>
      <c r="B107" s="3"/>
      <c r="C107" s="3"/>
    </row>
    <row r="108" spans="1:3" x14ac:dyDescent="0.25">
      <c r="A108" s="5" t="s">
        <v>218</v>
      </c>
      <c r="B108" s="3"/>
      <c r="C108" s="3"/>
    </row>
    <row r="109" spans="1:3" x14ac:dyDescent="0.25">
      <c r="A109" s="5" t="s">
        <v>219</v>
      </c>
      <c r="B109" s="3"/>
      <c r="C109" s="3"/>
    </row>
    <row r="110" spans="1:3" x14ac:dyDescent="0.25">
      <c r="A110" s="5" t="s">
        <v>220</v>
      </c>
      <c r="B110" s="3"/>
      <c r="C110" s="3"/>
    </row>
    <row r="111" spans="1:3" x14ac:dyDescent="0.25">
      <c r="A111" s="5" t="s">
        <v>221</v>
      </c>
      <c r="B111" s="3"/>
      <c r="C111" s="3"/>
    </row>
    <row r="112" spans="1:3" x14ac:dyDescent="0.25">
      <c r="A112" s="5" t="s">
        <v>222</v>
      </c>
      <c r="B112" s="3"/>
      <c r="C112" s="3"/>
    </row>
    <row r="113" spans="1:3" x14ac:dyDescent="0.25">
      <c r="A113" s="5" t="s">
        <v>223</v>
      </c>
      <c r="B113" s="3"/>
      <c r="C113" s="3"/>
    </row>
    <row r="114" spans="1:3" x14ac:dyDescent="0.25">
      <c r="A114" s="5" t="s">
        <v>224</v>
      </c>
      <c r="B114" s="3"/>
      <c r="C114" s="3"/>
    </row>
    <row r="115" spans="1:3" x14ac:dyDescent="0.25">
      <c r="A115" s="5" t="s">
        <v>225</v>
      </c>
      <c r="B115" s="3"/>
      <c r="C115" s="3"/>
    </row>
    <row r="116" spans="1:3" x14ac:dyDescent="0.25">
      <c r="A116" s="5" t="s">
        <v>226</v>
      </c>
      <c r="B116" s="3"/>
      <c r="C116" s="3"/>
    </row>
    <row r="117" spans="1:3" x14ac:dyDescent="0.25">
      <c r="A117" s="5" t="s">
        <v>227</v>
      </c>
      <c r="B117" s="3"/>
      <c r="C117" s="3"/>
    </row>
    <row r="118" spans="1:3" x14ac:dyDescent="0.25">
      <c r="A118" s="5" t="s">
        <v>228</v>
      </c>
      <c r="B118" s="3"/>
      <c r="C118" s="3"/>
    </row>
    <row r="119" spans="1:3" x14ac:dyDescent="0.25">
      <c r="A119" s="5" t="s">
        <v>229</v>
      </c>
      <c r="B119" s="3"/>
      <c r="C119" s="3"/>
    </row>
    <row r="120" spans="1:3" x14ac:dyDescent="0.25">
      <c r="A120" s="5" t="s">
        <v>230</v>
      </c>
      <c r="B120" s="3"/>
      <c r="C120" s="3"/>
    </row>
    <row r="121" spans="1:3" x14ac:dyDescent="0.25">
      <c r="A121" s="5" t="s">
        <v>231</v>
      </c>
      <c r="B121" s="3"/>
      <c r="C121" s="3"/>
    </row>
    <row r="122" spans="1:3" x14ac:dyDescent="0.25">
      <c r="A122" s="5" t="s">
        <v>232</v>
      </c>
      <c r="B122" s="3"/>
      <c r="C122" s="3"/>
    </row>
    <row r="123" spans="1:3" x14ac:dyDescent="0.25">
      <c r="A123" s="5" t="s">
        <v>233</v>
      </c>
      <c r="B123" s="3"/>
      <c r="C123" s="3"/>
    </row>
    <row r="124" spans="1:3" x14ac:dyDescent="0.25">
      <c r="A124" s="5" t="s">
        <v>234</v>
      </c>
      <c r="B124" s="3"/>
      <c r="C124" s="3"/>
    </row>
    <row r="125" spans="1:3" x14ac:dyDescent="0.25">
      <c r="A125" s="5" t="s">
        <v>235</v>
      </c>
      <c r="B125" s="3"/>
      <c r="C125" s="3"/>
    </row>
    <row r="126" spans="1:3" x14ac:dyDescent="0.25">
      <c r="A126" s="5" t="s">
        <v>236</v>
      </c>
      <c r="B126" s="3"/>
      <c r="C126" s="3"/>
    </row>
    <row r="127" spans="1:3" x14ac:dyDescent="0.25">
      <c r="A127" s="5" t="s">
        <v>237</v>
      </c>
      <c r="B127" s="3"/>
      <c r="C127" s="3"/>
    </row>
    <row r="128" spans="1:3" x14ac:dyDescent="0.25">
      <c r="A128" s="5" t="s">
        <v>238</v>
      </c>
      <c r="B128" s="3"/>
      <c r="C128" s="3"/>
    </row>
    <row r="129" spans="1:3" x14ac:dyDescent="0.25">
      <c r="A129" s="5" t="s">
        <v>239</v>
      </c>
      <c r="B129" s="3"/>
      <c r="C129" s="3"/>
    </row>
    <row r="130" spans="1:3" x14ac:dyDescent="0.25">
      <c r="A130" s="5" t="s">
        <v>240</v>
      </c>
      <c r="B130" s="3"/>
      <c r="C130" s="3"/>
    </row>
    <row r="131" spans="1:3" x14ac:dyDescent="0.25">
      <c r="A131" s="5" t="s">
        <v>241</v>
      </c>
      <c r="B131" s="3"/>
      <c r="C131" s="3"/>
    </row>
    <row r="132" spans="1:3" x14ac:dyDescent="0.25">
      <c r="A132" s="5" t="s">
        <v>242</v>
      </c>
      <c r="B132" s="3"/>
      <c r="C132" s="3"/>
    </row>
    <row r="133" spans="1:3" x14ac:dyDescent="0.25">
      <c r="A133" s="5" t="s">
        <v>243</v>
      </c>
      <c r="B133" s="3"/>
      <c r="C133" s="3"/>
    </row>
    <row r="134" spans="1:3" x14ac:dyDescent="0.25">
      <c r="A134" s="5" t="s">
        <v>244</v>
      </c>
      <c r="B134" s="3"/>
      <c r="C134" s="3"/>
    </row>
    <row r="135" spans="1:3" x14ac:dyDescent="0.25">
      <c r="A135" s="5" t="s">
        <v>245</v>
      </c>
      <c r="B135" s="3"/>
      <c r="C135" s="3"/>
    </row>
    <row r="136" spans="1:3" x14ac:dyDescent="0.25">
      <c r="A136" s="5" t="s">
        <v>246</v>
      </c>
      <c r="B136" s="3"/>
      <c r="C136" s="3"/>
    </row>
    <row r="137" spans="1:3" x14ac:dyDescent="0.25">
      <c r="A137" s="5" t="s">
        <v>247</v>
      </c>
      <c r="B137" s="3"/>
      <c r="C137" s="3"/>
    </row>
    <row r="138" spans="1:3" x14ac:dyDescent="0.25">
      <c r="A138" s="4" t="s">
        <v>248</v>
      </c>
      <c r="B138" s="3"/>
      <c r="C138" s="3"/>
    </row>
    <row r="139" spans="1:3" x14ac:dyDescent="0.25">
      <c r="A139" s="5" t="s">
        <v>249</v>
      </c>
      <c r="B139" s="3"/>
      <c r="C139" s="3"/>
    </row>
    <row r="140" spans="1:3" x14ac:dyDescent="0.25">
      <c r="A140" s="5" t="s">
        <v>250</v>
      </c>
      <c r="B140" s="3"/>
      <c r="C140" s="3"/>
    </row>
    <row r="141" spans="1:3" x14ac:dyDescent="0.25">
      <c r="A141" s="5" t="s">
        <v>251</v>
      </c>
      <c r="B141" s="3"/>
      <c r="C141" s="3"/>
    </row>
    <row r="142" spans="1:3" x14ac:dyDescent="0.25">
      <c r="A142" s="5" t="s">
        <v>252</v>
      </c>
      <c r="B142" s="3"/>
      <c r="C142" s="3"/>
    </row>
    <row r="143" spans="1:3" x14ac:dyDescent="0.25">
      <c r="A143" s="5" t="s">
        <v>253</v>
      </c>
      <c r="B143" s="3"/>
      <c r="C143" s="3"/>
    </row>
    <row r="144" spans="1:3" x14ac:dyDescent="0.25">
      <c r="A144" s="5" t="s">
        <v>254</v>
      </c>
      <c r="B144" s="3"/>
      <c r="C144" s="3"/>
    </row>
    <row r="145" spans="1:3" x14ac:dyDescent="0.25">
      <c r="A145" s="5" t="s">
        <v>255</v>
      </c>
      <c r="B145" s="3"/>
      <c r="C145" s="3"/>
    </row>
    <row r="146" spans="1:3" x14ac:dyDescent="0.25">
      <c r="A146" s="5" t="s">
        <v>256</v>
      </c>
      <c r="B146" s="3"/>
      <c r="C146" s="3"/>
    </row>
    <row r="147" spans="1:3" x14ac:dyDescent="0.25">
      <c r="A147" s="5" t="s">
        <v>257</v>
      </c>
      <c r="B147" s="3"/>
      <c r="C147" s="3"/>
    </row>
    <row r="148" spans="1:3" x14ac:dyDescent="0.25">
      <c r="A148" s="5" t="s">
        <v>258</v>
      </c>
      <c r="B148" s="3"/>
      <c r="C148" s="3"/>
    </row>
    <row r="149" spans="1:3" x14ac:dyDescent="0.25">
      <c r="A149" s="5" t="s">
        <v>259</v>
      </c>
      <c r="B149" s="3"/>
      <c r="C149" s="3"/>
    </row>
    <row r="150" spans="1:3" x14ac:dyDescent="0.25">
      <c r="A150" s="5" t="s">
        <v>260</v>
      </c>
      <c r="B150" s="3"/>
      <c r="C150" s="3"/>
    </row>
    <row r="151" spans="1:3" x14ac:dyDescent="0.25">
      <c r="A151" s="5" t="s">
        <v>261</v>
      </c>
      <c r="B151" s="3"/>
      <c r="C151" s="3"/>
    </row>
    <row r="152" spans="1:3" x14ac:dyDescent="0.25">
      <c r="A152" s="5" t="s">
        <v>262</v>
      </c>
      <c r="B152" s="3"/>
      <c r="C152" s="3"/>
    </row>
    <row r="153" spans="1:3" x14ac:dyDescent="0.25">
      <c r="A153" s="5" t="s">
        <v>263</v>
      </c>
      <c r="B153" s="3"/>
      <c r="C153" s="3"/>
    </row>
    <row r="154" spans="1:3" x14ac:dyDescent="0.25">
      <c r="A154" s="5" t="s">
        <v>264</v>
      </c>
      <c r="B154" s="3"/>
      <c r="C154" s="3"/>
    </row>
    <row r="155" spans="1:3" x14ac:dyDescent="0.25">
      <c r="A155" s="5" t="s">
        <v>265</v>
      </c>
      <c r="B155" s="3"/>
      <c r="C155" s="3"/>
    </row>
    <row r="156" spans="1:3" x14ac:dyDescent="0.25">
      <c r="A156" s="5" t="s">
        <v>266</v>
      </c>
      <c r="B156" s="3"/>
      <c r="C156" s="3"/>
    </row>
    <row r="157" spans="1:3" x14ac:dyDescent="0.25">
      <c r="A157" s="5" t="s">
        <v>267</v>
      </c>
      <c r="B157" s="3"/>
      <c r="C157" s="3"/>
    </row>
    <row r="158" spans="1:3" x14ac:dyDescent="0.25">
      <c r="A158" s="5" t="s">
        <v>268</v>
      </c>
      <c r="B158" s="3"/>
      <c r="C158" s="3"/>
    </row>
    <row r="159" spans="1:3" x14ac:dyDescent="0.25">
      <c r="A159" s="5" t="s">
        <v>269</v>
      </c>
      <c r="B159" s="3"/>
      <c r="C159" s="3"/>
    </row>
    <row r="160" spans="1:3" x14ac:dyDescent="0.25">
      <c r="A160" s="5" t="s">
        <v>270</v>
      </c>
      <c r="B160" s="3"/>
      <c r="C160" s="3"/>
    </row>
    <row r="161" spans="1:3" x14ac:dyDescent="0.25">
      <c r="A161" s="5" t="s">
        <v>271</v>
      </c>
      <c r="B161" s="3"/>
      <c r="C161" s="3"/>
    </row>
    <row r="162" spans="1:3" x14ac:dyDescent="0.25">
      <c r="A162" s="5" t="s">
        <v>272</v>
      </c>
      <c r="B162" s="3"/>
      <c r="C162" s="3"/>
    </row>
    <row r="163" spans="1:3" x14ac:dyDescent="0.25">
      <c r="A163" s="5" t="s">
        <v>273</v>
      </c>
      <c r="B163" s="3"/>
      <c r="C163" s="3"/>
    </row>
    <row r="164" spans="1:3" x14ac:dyDescent="0.25">
      <c r="A164" s="5" t="s">
        <v>274</v>
      </c>
      <c r="B164" s="3"/>
      <c r="C164" s="3"/>
    </row>
    <row r="165" spans="1:3" x14ac:dyDescent="0.25">
      <c r="A165" s="5" t="s">
        <v>275</v>
      </c>
      <c r="B165" s="3"/>
      <c r="C165" s="3"/>
    </row>
    <row r="166" spans="1:3" x14ac:dyDescent="0.25">
      <c r="A166" s="5" t="s">
        <v>276</v>
      </c>
      <c r="B166" s="3"/>
      <c r="C166" s="3"/>
    </row>
    <row r="167" spans="1:3" x14ac:dyDescent="0.25">
      <c r="A167" s="5" t="s">
        <v>277</v>
      </c>
      <c r="B167" s="3"/>
      <c r="C167" s="3"/>
    </row>
    <row r="168" spans="1:3" x14ac:dyDescent="0.25">
      <c r="A168" s="5" t="s">
        <v>278</v>
      </c>
      <c r="B168" s="3"/>
      <c r="C168" s="3"/>
    </row>
    <row r="169" spans="1:3" x14ac:dyDescent="0.25">
      <c r="A169" s="5" t="s">
        <v>279</v>
      </c>
      <c r="B169" s="3"/>
      <c r="C169" s="3"/>
    </row>
    <row r="170" spans="1:3" x14ac:dyDescent="0.25">
      <c r="A170" s="5" t="s">
        <v>280</v>
      </c>
      <c r="B170" s="3"/>
      <c r="C170" s="3"/>
    </row>
    <row r="171" spans="1:3" x14ac:dyDescent="0.25">
      <c r="A171" s="5" t="s">
        <v>281</v>
      </c>
      <c r="B171" s="3"/>
      <c r="C171" s="3"/>
    </row>
    <row r="172" spans="1:3" x14ac:dyDescent="0.25">
      <c r="A172" s="5" t="s">
        <v>282</v>
      </c>
      <c r="B172" s="3"/>
      <c r="C172" s="3"/>
    </row>
    <row r="173" spans="1:3" x14ac:dyDescent="0.25">
      <c r="A173" s="5" t="s">
        <v>283</v>
      </c>
      <c r="B173" s="3"/>
      <c r="C173" s="3"/>
    </row>
    <row r="174" spans="1:3" x14ac:dyDescent="0.25">
      <c r="A174" s="5" t="s">
        <v>284</v>
      </c>
      <c r="B174" s="3"/>
      <c r="C174" s="3"/>
    </row>
    <row r="175" spans="1:3" x14ac:dyDescent="0.25">
      <c r="A175" s="5" t="s">
        <v>285</v>
      </c>
      <c r="B175" s="3"/>
      <c r="C175" s="3"/>
    </row>
    <row r="176" spans="1:3" x14ac:dyDescent="0.25">
      <c r="A176" s="5" t="s">
        <v>286</v>
      </c>
      <c r="B176" s="3"/>
      <c r="C176" s="3"/>
    </row>
    <row r="177" spans="1:3" x14ac:dyDescent="0.25">
      <c r="A177" s="5" t="s">
        <v>287</v>
      </c>
      <c r="B177" s="3"/>
      <c r="C177" s="3"/>
    </row>
    <row r="178" spans="1:3" x14ac:dyDescent="0.25">
      <c r="A178" s="5" t="s">
        <v>288</v>
      </c>
      <c r="B178" s="3"/>
      <c r="C178" s="3"/>
    </row>
    <row r="179" spans="1:3" x14ac:dyDescent="0.25">
      <c r="A179" s="5" t="s">
        <v>289</v>
      </c>
      <c r="B179" s="3"/>
      <c r="C179" s="3"/>
    </row>
    <row r="180" spans="1:3" x14ac:dyDescent="0.25">
      <c r="A180" s="5" t="s">
        <v>290</v>
      </c>
      <c r="B180" s="3"/>
      <c r="C180" s="3"/>
    </row>
    <row r="181" spans="1:3" x14ac:dyDescent="0.25">
      <c r="A181" s="5" t="s">
        <v>291</v>
      </c>
      <c r="B181" s="3"/>
      <c r="C181" s="3"/>
    </row>
    <row r="182" spans="1:3" x14ac:dyDescent="0.25">
      <c r="A182" s="5" t="s">
        <v>292</v>
      </c>
      <c r="B182" s="3"/>
      <c r="C182" s="3"/>
    </row>
    <row r="183" spans="1:3" x14ac:dyDescent="0.25">
      <c r="A183" s="5" t="s">
        <v>293</v>
      </c>
      <c r="B183" s="3"/>
      <c r="C183" s="3"/>
    </row>
    <row r="184" spans="1:3" x14ac:dyDescent="0.25">
      <c r="A184" s="5" t="s">
        <v>294</v>
      </c>
      <c r="B184" s="3"/>
      <c r="C184" s="3"/>
    </row>
    <row r="185" spans="1:3" x14ac:dyDescent="0.25">
      <c r="A185" s="5" t="s">
        <v>295</v>
      </c>
      <c r="B185" s="3"/>
      <c r="C185" s="3"/>
    </row>
    <row r="186" spans="1:3" x14ac:dyDescent="0.25">
      <c r="A186" s="5" t="s">
        <v>296</v>
      </c>
      <c r="B186" s="3"/>
      <c r="C186" s="3"/>
    </row>
    <row r="187" spans="1:3" x14ac:dyDescent="0.25">
      <c r="A187" s="5" t="s">
        <v>297</v>
      </c>
      <c r="B187" s="3"/>
      <c r="C187" s="3"/>
    </row>
    <row r="188" spans="1:3" x14ac:dyDescent="0.25">
      <c r="A188" s="5" t="s">
        <v>298</v>
      </c>
      <c r="B188" s="3"/>
      <c r="C188" s="3"/>
    </row>
    <row r="189" spans="1:3" x14ac:dyDescent="0.25">
      <c r="A189" s="5" t="s">
        <v>299</v>
      </c>
      <c r="B189" s="3"/>
      <c r="C189" s="3"/>
    </row>
    <row r="190" spans="1:3" x14ac:dyDescent="0.25">
      <c r="A190" s="5" t="s">
        <v>300</v>
      </c>
      <c r="B190" s="3"/>
      <c r="C190" s="3"/>
    </row>
    <row r="191" spans="1:3" x14ac:dyDescent="0.25">
      <c r="A191" s="5" t="s">
        <v>301</v>
      </c>
      <c r="B191" s="3"/>
      <c r="C191" s="3"/>
    </row>
    <row r="192" spans="1:3" x14ac:dyDescent="0.25">
      <c r="A192" s="5" t="s">
        <v>302</v>
      </c>
      <c r="B192" s="3"/>
      <c r="C192" s="3"/>
    </row>
    <row r="193" spans="1:3" x14ac:dyDescent="0.25">
      <c r="A193" s="5" t="s">
        <v>303</v>
      </c>
      <c r="B193" s="3"/>
      <c r="C193" s="3"/>
    </row>
    <row r="194" spans="1:3" x14ac:dyDescent="0.25">
      <c r="A194" s="5" t="s">
        <v>304</v>
      </c>
      <c r="B194" s="3"/>
      <c r="C194" s="3"/>
    </row>
    <row r="195" spans="1:3" x14ac:dyDescent="0.25">
      <c r="A195" s="5" t="s">
        <v>305</v>
      </c>
      <c r="B195" s="3"/>
      <c r="C195" s="3"/>
    </row>
    <row r="196" spans="1:3" x14ac:dyDescent="0.25">
      <c r="A196" s="5" t="s">
        <v>306</v>
      </c>
      <c r="B196" s="3"/>
      <c r="C196" s="3"/>
    </row>
    <row r="197" spans="1:3" x14ac:dyDescent="0.25">
      <c r="A197" s="5" t="s">
        <v>307</v>
      </c>
      <c r="B197" s="3"/>
      <c r="C197" s="3"/>
    </row>
    <row r="198" spans="1:3" x14ac:dyDescent="0.25">
      <c r="A198" s="5" t="s">
        <v>308</v>
      </c>
      <c r="B198" s="3"/>
      <c r="C198" s="3"/>
    </row>
    <row r="199" spans="1:3" x14ac:dyDescent="0.25">
      <c r="A199" s="5" t="s">
        <v>309</v>
      </c>
      <c r="B199" s="3"/>
      <c r="C199" s="3"/>
    </row>
    <row r="200" spans="1:3" x14ac:dyDescent="0.25">
      <c r="A200" s="5" t="s">
        <v>310</v>
      </c>
      <c r="B200" s="3"/>
      <c r="C200" s="3"/>
    </row>
    <row r="201" spans="1:3" x14ac:dyDescent="0.25">
      <c r="A201" s="5" t="s">
        <v>311</v>
      </c>
      <c r="B201" s="3"/>
      <c r="C201" s="3"/>
    </row>
    <row r="202" spans="1:3" x14ac:dyDescent="0.25">
      <c r="A202" s="5" t="s">
        <v>312</v>
      </c>
      <c r="B202" s="3"/>
      <c r="C202" s="3"/>
    </row>
    <row r="203" spans="1:3" x14ac:dyDescent="0.25">
      <c r="A203" s="5" t="s">
        <v>313</v>
      </c>
      <c r="B203" s="3"/>
      <c r="C203" s="3"/>
    </row>
    <row r="204" spans="1:3" x14ac:dyDescent="0.25">
      <c r="A204" s="5" t="s">
        <v>314</v>
      </c>
      <c r="B204" s="3"/>
      <c r="C204" s="3"/>
    </row>
    <row r="205" spans="1:3" x14ac:dyDescent="0.25">
      <c r="A205" s="5" t="s">
        <v>315</v>
      </c>
      <c r="B205" s="3"/>
      <c r="C205" s="3"/>
    </row>
    <row r="206" spans="1:3" x14ac:dyDescent="0.25">
      <c r="A206" s="5" t="s">
        <v>316</v>
      </c>
      <c r="B206" s="3"/>
      <c r="C206" s="3"/>
    </row>
    <row r="207" spans="1:3" x14ac:dyDescent="0.25">
      <c r="A207" s="5" t="s">
        <v>317</v>
      </c>
      <c r="B207" s="3"/>
      <c r="C207" s="3"/>
    </row>
    <row r="208" spans="1:3" x14ac:dyDescent="0.25">
      <c r="A208" s="5" t="s">
        <v>318</v>
      </c>
      <c r="B208" s="3"/>
      <c r="C208" s="3"/>
    </row>
    <row r="209" spans="1:3" x14ac:dyDescent="0.25">
      <c r="A209" s="5" t="s">
        <v>319</v>
      </c>
      <c r="B209" s="3"/>
      <c r="C209" s="3"/>
    </row>
    <row r="210" spans="1:3" x14ac:dyDescent="0.25">
      <c r="A210" s="5" t="s">
        <v>320</v>
      </c>
      <c r="B210" s="3"/>
      <c r="C210" s="3"/>
    </row>
    <row r="211" spans="1:3" x14ac:dyDescent="0.25">
      <c r="A211" s="5" t="s">
        <v>321</v>
      </c>
      <c r="B211" s="3"/>
      <c r="C211" s="3"/>
    </row>
    <row r="212" spans="1:3" x14ac:dyDescent="0.25">
      <c r="A212" s="5" t="s">
        <v>322</v>
      </c>
      <c r="B212" s="3"/>
      <c r="C212" s="3"/>
    </row>
    <row r="213" spans="1:3" x14ac:dyDescent="0.25">
      <c r="A213" s="5" t="s">
        <v>323</v>
      </c>
      <c r="B213" s="3"/>
      <c r="C213" s="3"/>
    </row>
    <row r="214" spans="1:3" x14ac:dyDescent="0.25">
      <c r="A214" s="5" t="s">
        <v>324</v>
      </c>
      <c r="B214" s="3"/>
      <c r="C214" s="3"/>
    </row>
    <row r="215" spans="1:3" x14ac:dyDescent="0.25">
      <c r="A215" s="5" t="s">
        <v>325</v>
      </c>
      <c r="B215" s="3"/>
      <c r="C215" s="3"/>
    </row>
    <row r="216" spans="1:3" x14ac:dyDescent="0.25">
      <c r="A216" s="5" t="s">
        <v>326</v>
      </c>
      <c r="B216" s="3"/>
      <c r="C216" s="3"/>
    </row>
    <row r="217" spans="1:3" x14ac:dyDescent="0.25">
      <c r="A217" s="5" t="s">
        <v>327</v>
      </c>
      <c r="B217" s="3"/>
      <c r="C217" s="3"/>
    </row>
    <row r="218" spans="1:3" x14ac:dyDescent="0.25">
      <c r="A218" s="5" t="s">
        <v>328</v>
      </c>
      <c r="B218" s="3"/>
      <c r="C218" s="3"/>
    </row>
    <row r="219" spans="1:3" x14ac:dyDescent="0.25">
      <c r="A219" s="5" t="s">
        <v>329</v>
      </c>
      <c r="B219" s="3"/>
      <c r="C219" s="3"/>
    </row>
    <row r="220" spans="1:3" x14ac:dyDescent="0.25">
      <c r="A220" s="5" t="s">
        <v>330</v>
      </c>
      <c r="B220" s="3"/>
      <c r="C220" s="3"/>
    </row>
    <row r="221" spans="1:3" x14ac:dyDescent="0.25">
      <c r="A221" s="5" t="s">
        <v>331</v>
      </c>
      <c r="B221" s="3"/>
      <c r="C221" s="3"/>
    </row>
    <row r="222" spans="1:3" x14ac:dyDescent="0.25">
      <c r="A222" s="5" t="s">
        <v>332</v>
      </c>
      <c r="B222" s="3"/>
      <c r="C222" s="3"/>
    </row>
    <row r="223" spans="1:3" x14ac:dyDescent="0.25">
      <c r="A223" s="5" t="s">
        <v>333</v>
      </c>
      <c r="B223" s="3"/>
      <c r="C223" s="3"/>
    </row>
    <row r="224" spans="1:3" x14ac:dyDescent="0.25">
      <c r="A224" s="5" t="s">
        <v>334</v>
      </c>
      <c r="B224" s="3"/>
      <c r="C224" s="3"/>
    </row>
    <row r="225" spans="1:3" x14ac:dyDescent="0.25">
      <c r="A225" s="5" t="s">
        <v>335</v>
      </c>
      <c r="B225" s="3"/>
      <c r="C225" s="3"/>
    </row>
    <row r="226" spans="1:3" x14ac:dyDescent="0.25">
      <c r="A226" s="5" t="s">
        <v>336</v>
      </c>
      <c r="B226" s="3"/>
      <c r="C226" s="3"/>
    </row>
    <row r="227" spans="1:3" x14ac:dyDescent="0.25">
      <c r="A227" s="5" t="s">
        <v>337</v>
      </c>
      <c r="B227" s="3"/>
      <c r="C227" s="3"/>
    </row>
    <row r="228" spans="1:3" x14ac:dyDescent="0.25">
      <c r="A228" s="5" t="s">
        <v>338</v>
      </c>
      <c r="B228" s="3"/>
      <c r="C228" s="3"/>
    </row>
    <row r="229" spans="1:3" x14ac:dyDescent="0.25">
      <c r="A229" s="5" t="s">
        <v>339</v>
      </c>
      <c r="B229" s="3"/>
      <c r="C229" s="3"/>
    </row>
    <row r="230" spans="1:3" x14ac:dyDescent="0.25">
      <c r="A230" s="5" t="s">
        <v>340</v>
      </c>
      <c r="B230" s="3"/>
      <c r="C230" s="3"/>
    </row>
    <row r="231" spans="1:3" x14ac:dyDescent="0.25">
      <c r="A231" s="5" t="s">
        <v>341</v>
      </c>
      <c r="B231" s="3"/>
      <c r="C231" s="3"/>
    </row>
    <row r="232" spans="1:3" x14ac:dyDescent="0.25">
      <c r="A232" s="5" t="s">
        <v>342</v>
      </c>
      <c r="B232" s="3"/>
      <c r="C232" s="3"/>
    </row>
    <row r="233" spans="1:3" x14ac:dyDescent="0.25">
      <c r="A233" s="5" t="s">
        <v>343</v>
      </c>
      <c r="B233" s="3"/>
      <c r="C233" s="3"/>
    </row>
    <row r="234" spans="1:3" x14ac:dyDescent="0.25">
      <c r="A234" s="5" t="s">
        <v>344</v>
      </c>
      <c r="B234" s="3"/>
      <c r="C234" s="3"/>
    </row>
    <row r="235" spans="1:3" x14ac:dyDescent="0.25">
      <c r="A235" s="5" t="s">
        <v>345</v>
      </c>
      <c r="B235" s="3"/>
      <c r="C235" s="3"/>
    </row>
    <row r="236" spans="1:3" x14ac:dyDescent="0.25">
      <c r="A236" s="5" t="s">
        <v>346</v>
      </c>
      <c r="B236" s="3"/>
      <c r="C236" s="3"/>
    </row>
    <row r="237" spans="1:3" x14ac:dyDescent="0.25">
      <c r="A237" s="5" t="s">
        <v>347</v>
      </c>
      <c r="B237" s="3"/>
      <c r="C237" s="3"/>
    </row>
    <row r="238" spans="1:3" x14ac:dyDescent="0.25">
      <c r="A238" s="5" t="s">
        <v>348</v>
      </c>
      <c r="B238" s="3"/>
      <c r="C238" s="3"/>
    </row>
    <row r="239" spans="1:3" x14ac:dyDescent="0.25">
      <c r="A239" s="5" t="s">
        <v>349</v>
      </c>
      <c r="B239" s="3"/>
      <c r="C239" s="3"/>
    </row>
    <row r="240" spans="1:3" x14ac:dyDescent="0.25">
      <c r="A240" s="5" t="s">
        <v>350</v>
      </c>
      <c r="B240" s="3"/>
      <c r="C240" s="3"/>
    </row>
    <row r="241" spans="1:3" x14ac:dyDescent="0.25">
      <c r="A241" s="5" t="s">
        <v>351</v>
      </c>
      <c r="B241" s="3"/>
      <c r="C241" s="3"/>
    </row>
    <row r="242" spans="1:3" x14ac:dyDescent="0.25">
      <c r="A242" s="5" t="s">
        <v>352</v>
      </c>
      <c r="B242" s="3"/>
      <c r="C242" s="3"/>
    </row>
    <row r="243" spans="1:3" x14ac:dyDescent="0.25">
      <c r="A243" s="5" t="s">
        <v>353</v>
      </c>
      <c r="B243" s="3"/>
      <c r="C243" s="3"/>
    </row>
    <row r="244" spans="1:3" x14ac:dyDescent="0.25">
      <c r="A244" s="5" t="s">
        <v>354</v>
      </c>
      <c r="B244" s="3"/>
      <c r="C244" s="3"/>
    </row>
    <row r="245" spans="1:3" x14ac:dyDescent="0.25">
      <c r="A245" s="5" t="s">
        <v>355</v>
      </c>
      <c r="B245" s="3"/>
      <c r="C245" s="3"/>
    </row>
    <row r="246" spans="1:3" x14ac:dyDescent="0.25">
      <c r="A246" s="4" t="s">
        <v>356</v>
      </c>
      <c r="B246" s="3"/>
      <c r="C246" s="3"/>
    </row>
    <row r="247" spans="1:3" x14ac:dyDescent="0.25">
      <c r="A247" s="5" t="s">
        <v>357</v>
      </c>
      <c r="B247" s="3"/>
      <c r="C247" s="3"/>
    </row>
    <row r="248" spans="1:3" x14ac:dyDescent="0.25">
      <c r="A248" s="5" t="s">
        <v>358</v>
      </c>
      <c r="B248" s="3"/>
      <c r="C248" s="3"/>
    </row>
    <row r="249" spans="1:3" x14ac:dyDescent="0.25">
      <c r="A249" s="5" t="s">
        <v>359</v>
      </c>
      <c r="B249" s="3"/>
      <c r="C249" s="3"/>
    </row>
    <row r="250" spans="1:3" x14ac:dyDescent="0.25">
      <c r="A250" s="5" t="s">
        <v>360</v>
      </c>
      <c r="B250" s="3"/>
      <c r="C250" s="3"/>
    </row>
    <row r="251" spans="1:3" x14ac:dyDescent="0.25">
      <c r="A251" s="5" t="s">
        <v>361</v>
      </c>
      <c r="B251" s="3"/>
      <c r="C251" s="3"/>
    </row>
    <row r="252" spans="1:3" x14ac:dyDescent="0.25">
      <c r="A252" s="5" t="s">
        <v>362</v>
      </c>
      <c r="B252" s="3"/>
      <c r="C252" s="3"/>
    </row>
    <row r="253" spans="1:3" x14ac:dyDescent="0.25">
      <c r="A253" s="5" t="s">
        <v>363</v>
      </c>
      <c r="B253" s="3"/>
      <c r="C253" s="3"/>
    </row>
    <row r="254" spans="1:3" x14ac:dyDescent="0.25">
      <c r="A254" s="5" t="s">
        <v>364</v>
      </c>
      <c r="B254" s="3"/>
      <c r="C254" s="3"/>
    </row>
    <row r="255" spans="1:3" x14ac:dyDescent="0.25">
      <c r="A255" s="5" t="s">
        <v>365</v>
      </c>
      <c r="B255" s="3"/>
      <c r="C255" s="3"/>
    </row>
    <row r="256" spans="1:3" x14ac:dyDescent="0.25">
      <c r="A256" s="5" t="s">
        <v>366</v>
      </c>
      <c r="B256" s="3"/>
      <c r="C256" s="3"/>
    </row>
    <row r="257" spans="1:3" x14ac:dyDescent="0.25">
      <c r="A257" s="5" t="s">
        <v>367</v>
      </c>
      <c r="B257" s="3"/>
      <c r="C257" s="3"/>
    </row>
    <row r="258" spans="1:3" x14ac:dyDescent="0.25">
      <c r="A258" s="5" t="s">
        <v>368</v>
      </c>
      <c r="B258" s="3"/>
      <c r="C258" s="3"/>
    </row>
    <row r="259" spans="1:3" x14ac:dyDescent="0.25">
      <c r="A259" s="5" t="s">
        <v>369</v>
      </c>
      <c r="B259" s="3"/>
      <c r="C259" s="3"/>
    </row>
    <row r="260" spans="1:3" x14ac:dyDescent="0.25">
      <c r="A260" s="5" t="s">
        <v>370</v>
      </c>
      <c r="B260" s="3"/>
      <c r="C260" s="3"/>
    </row>
    <row r="261" spans="1:3" x14ac:dyDescent="0.25">
      <c r="A261" s="5" t="s">
        <v>371</v>
      </c>
      <c r="B261" s="3"/>
      <c r="C261" s="3"/>
    </row>
    <row r="262" spans="1:3" x14ac:dyDescent="0.25">
      <c r="A262" s="5" t="s">
        <v>372</v>
      </c>
      <c r="B262" s="3"/>
      <c r="C262" s="3"/>
    </row>
    <row r="263" spans="1:3" x14ac:dyDescent="0.25">
      <c r="A263" s="5" t="s">
        <v>373</v>
      </c>
      <c r="B263" s="3"/>
      <c r="C263" s="3"/>
    </row>
    <row r="264" spans="1:3" x14ac:dyDescent="0.25">
      <c r="A264" s="5" t="s">
        <v>374</v>
      </c>
      <c r="B264" s="3"/>
      <c r="C264" s="3"/>
    </row>
    <row r="265" spans="1:3" x14ac:dyDescent="0.25">
      <c r="A265" s="5" t="s">
        <v>375</v>
      </c>
      <c r="B265" s="3"/>
      <c r="C265" s="3"/>
    </row>
    <row r="266" spans="1:3" x14ac:dyDescent="0.25">
      <c r="A266" s="5" t="s">
        <v>376</v>
      </c>
      <c r="B266" s="3"/>
      <c r="C266" s="3"/>
    </row>
    <row r="267" spans="1:3" x14ac:dyDescent="0.25">
      <c r="A267" s="5" t="s">
        <v>377</v>
      </c>
      <c r="B267" s="3"/>
      <c r="C267" s="3"/>
    </row>
    <row r="268" spans="1:3" x14ac:dyDescent="0.25">
      <c r="A268" s="5" t="s">
        <v>378</v>
      </c>
      <c r="B268" s="3"/>
      <c r="C268" s="3"/>
    </row>
    <row r="269" spans="1:3" x14ac:dyDescent="0.25">
      <c r="A269" s="5" t="s">
        <v>379</v>
      </c>
      <c r="B269" s="3"/>
      <c r="C269" s="3"/>
    </row>
    <row r="270" spans="1:3" x14ac:dyDescent="0.25">
      <c r="A270" s="5" t="s">
        <v>380</v>
      </c>
      <c r="B270" s="3"/>
      <c r="C270" s="3"/>
    </row>
    <row r="271" spans="1:3" x14ac:dyDescent="0.25">
      <c r="A271" s="5" t="s">
        <v>381</v>
      </c>
      <c r="B271" s="3"/>
      <c r="C271" s="3"/>
    </row>
    <row r="272" spans="1:3" x14ac:dyDescent="0.25">
      <c r="A272" s="5" t="s">
        <v>382</v>
      </c>
      <c r="B272" s="3"/>
      <c r="C272" s="3"/>
    </row>
    <row r="273" spans="1:3" x14ac:dyDescent="0.25">
      <c r="A273" s="5" t="s">
        <v>383</v>
      </c>
      <c r="B273" s="3"/>
      <c r="C273" s="3"/>
    </row>
    <row r="274" spans="1:3" x14ac:dyDescent="0.25">
      <c r="A274" s="5" t="s">
        <v>384</v>
      </c>
      <c r="B274" s="3"/>
      <c r="C274" s="3"/>
    </row>
    <row r="275" spans="1:3" x14ac:dyDescent="0.25">
      <c r="A275" s="5" t="s">
        <v>385</v>
      </c>
      <c r="B275" s="3"/>
      <c r="C275" s="3"/>
    </row>
    <row r="276" spans="1:3" x14ac:dyDescent="0.25">
      <c r="A276" s="5" t="s">
        <v>386</v>
      </c>
      <c r="B276" s="3"/>
      <c r="C276" s="3"/>
    </row>
    <row r="277" spans="1:3" x14ac:dyDescent="0.25">
      <c r="A277" s="5" t="s">
        <v>387</v>
      </c>
      <c r="B277" s="3"/>
      <c r="C277" s="3"/>
    </row>
    <row r="278" spans="1:3" x14ac:dyDescent="0.25">
      <c r="A278" s="5" t="s">
        <v>388</v>
      </c>
      <c r="B278" s="3"/>
      <c r="C278" s="3"/>
    </row>
    <row r="279" spans="1:3" x14ac:dyDescent="0.25">
      <c r="A279" s="5" t="s">
        <v>389</v>
      </c>
      <c r="B279" s="3"/>
      <c r="C279" s="3"/>
    </row>
    <row r="280" spans="1:3" x14ac:dyDescent="0.25">
      <c r="A280" s="5" t="s">
        <v>390</v>
      </c>
      <c r="B280" s="3"/>
      <c r="C280" s="3"/>
    </row>
    <row r="281" spans="1:3" x14ac:dyDescent="0.25">
      <c r="A281" s="5" t="s">
        <v>391</v>
      </c>
      <c r="B281" s="3"/>
      <c r="C281" s="3"/>
    </row>
    <row r="282" spans="1:3" x14ac:dyDescent="0.25">
      <c r="A282" s="5" t="s">
        <v>392</v>
      </c>
      <c r="B282" s="3"/>
      <c r="C282" s="3"/>
    </row>
    <row r="283" spans="1:3" x14ac:dyDescent="0.25">
      <c r="A283" s="5" t="s">
        <v>393</v>
      </c>
      <c r="B283" s="3"/>
      <c r="C283" s="3"/>
    </row>
    <row r="284" spans="1:3" x14ac:dyDescent="0.25">
      <c r="A284" s="5" t="s">
        <v>394</v>
      </c>
      <c r="B284" s="3"/>
      <c r="C284" s="3"/>
    </row>
    <row r="285" spans="1:3" x14ac:dyDescent="0.25">
      <c r="A285" s="5" t="s">
        <v>395</v>
      </c>
      <c r="B285" s="3"/>
      <c r="C285" s="3"/>
    </row>
    <row r="286" spans="1:3" x14ac:dyDescent="0.25">
      <c r="A286" s="5" t="s">
        <v>396</v>
      </c>
      <c r="B286" s="3"/>
      <c r="C286" s="3"/>
    </row>
    <row r="287" spans="1:3" x14ac:dyDescent="0.25">
      <c r="A287" s="5" t="s">
        <v>397</v>
      </c>
      <c r="B287" s="3"/>
      <c r="C287" s="3"/>
    </row>
    <row r="288" spans="1:3" x14ac:dyDescent="0.25">
      <c r="A288" s="5" t="s">
        <v>398</v>
      </c>
      <c r="B288" s="3"/>
      <c r="C288" s="3"/>
    </row>
    <row r="289" spans="1:3" x14ac:dyDescent="0.25">
      <c r="A289" s="5" t="s">
        <v>399</v>
      </c>
      <c r="B289" s="3"/>
      <c r="C289" s="3"/>
    </row>
    <row r="290" spans="1:3" x14ac:dyDescent="0.25">
      <c r="A290" s="5" t="s">
        <v>400</v>
      </c>
      <c r="B290" s="3"/>
      <c r="C290" s="3"/>
    </row>
    <row r="291" spans="1:3" x14ac:dyDescent="0.25">
      <c r="A291" s="5" t="s">
        <v>401</v>
      </c>
      <c r="B291" s="3"/>
      <c r="C291" s="3"/>
    </row>
    <row r="292" spans="1:3" x14ac:dyDescent="0.25">
      <c r="A292" s="5" t="s">
        <v>402</v>
      </c>
      <c r="B292" s="3"/>
      <c r="C292" s="3"/>
    </row>
    <row r="293" spans="1:3" x14ac:dyDescent="0.25">
      <c r="A293" s="5" t="s">
        <v>403</v>
      </c>
      <c r="B293" s="3"/>
      <c r="C293" s="3"/>
    </row>
    <row r="294" spans="1:3" x14ac:dyDescent="0.25">
      <c r="A294" s="5" t="s">
        <v>404</v>
      </c>
      <c r="B294" s="3"/>
      <c r="C294" s="3"/>
    </row>
    <row r="295" spans="1:3" x14ac:dyDescent="0.25">
      <c r="A295" s="5" t="s">
        <v>405</v>
      </c>
      <c r="B295" s="3"/>
      <c r="C295" s="3"/>
    </row>
    <row r="296" spans="1:3" x14ac:dyDescent="0.25">
      <c r="A296" s="5" t="s">
        <v>406</v>
      </c>
      <c r="B296" s="3"/>
      <c r="C296" s="3"/>
    </row>
    <row r="297" spans="1:3" x14ac:dyDescent="0.25">
      <c r="A297" s="5" t="s">
        <v>407</v>
      </c>
      <c r="B297" s="3"/>
      <c r="C297" s="3"/>
    </row>
    <row r="298" spans="1:3" x14ac:dyDescent="0.25">
      <c r="A298" s="5" t="s">
        <v>408</v>
      </c>
      <c r="B298" s="3"/>
      <c r="C298" s="3"/>
    </row>
    <row r="299" spans="1:3" x14ac:dyDescent="0.25">
      <c r="A299" s="5" t="s">
        <v>409</v>
      </c>
      <c r="B299" s="3"/>
      <c r="C299" s="3"/>
    </row>
    <row r="300" spans="1:3" x14ac:dyDescent="0.25">
      <c r="A300" s="5" t="s">
        <v>410</v>
      </c>
      <c r="B300" s="3"/>
      <c r="C300" s="3"/>
    </row>
    <row r="301" spans="1:3" x14ac:dyDescent="0.25">
      <c r="A301" s="5" t="s">
        <v>411</v>
      </c>
      <c r="B301" s="3"/>
      <c r="C301" s="3"/>
    </row>
    <row r="302" spans="1:3" x14ac:dyDescent="0.25">
      <c r="A302" s="5" t="s">
        <v>412</v>
      </c>
      <c r="B302" s="3"/>
      <c r="C302" s="3"/>
    </row>
    <row r="303" spans="1:3" x14ac:dyDescent="0.25">
      <c r="A303" s="5" t="s">
        <v>413</v>
      </c>
      <c r="B303" s="3"/>
      <c r="C303" s="3"/>
    </row>
    <row r="304" spans="1:3" x14ac:dyDescent="0.25">
      <c r="A304" s="5" t="s">
        <v>414</v>
      </c>
      <c r="B304" s="3"/>
      <c r="C304" s="3"/>
    </row>
    <row r="305" spans="1:3" x14ac:dyDescent="0.25">
      <c r="A305" s="5" t="s">
        <v>415</v>
      </c>
      <c r="B305" s="3"/>
      <c r="C305" s="3"/>
    </row>
    <row r="306" spans="1:3" x14ac:dyDescent="0.25">
      <c r="A306" s="5" t="s">
        <v>416</v>
      </c>
      <c r="B306" s="3"/>
      <c r="C306" s="3"/>
    </row>
    <row r="307" spans="1:3" x14ac:dyDescent="0.25">
      <c r="A307" s="5" t="s">
        <v>417</v>
      </c>
      <c r="B307" s="3"/>
      <c r="C307" s="3"/>
    </row>
    <row r="308" spans="1:3" x14ac:dyDescent="0.25">
      <c r="A308" s="5" t="s">
        <v>418</v>
      </c>
      <c r="B308" s="3"/>
      <c r="C308" s="3"/>
    </row>
    <row r="309" spans="1:3" x14ac:dyDescent="0.25">
      <c r="A309" s="5" t="s">
        <v>419</v>
      </c>
      <c r="B309" s="3"/>
      <c r="C309" s="3"/>
    </row>
    <row r="310" spans="1:3" x14ac:dyDescent="0.25">
      <c r="A310" s="5" t="s">
        <v>420</v>
      </c>
      <c r="B310" s="3"/>
      <c r="C310" s="3"/>
    </row>
    <row r="311" spans="1:3" x14ac:dyDescent="0.25">
      <c r="A311" s="5" t="s">
        <v>421</v>
      </c>
      <c r="B311" s="3"/>
      <c r="C311" s="3"/>
    </row>
    <row r="312" spans="1:3" x14ac:dyDescent="0.25">
      <c r="A312" s="5" t="s">
        <v>422</v>
      </c>
      <c r="B312" s="3"/>
      <c r="C312" s="3"/>
    </row>
    <row r="313" spans="1:3" x14ac:dyDescent="0.25">
      <c r="A313" s="5" t="s">
        <v>423</v>
      </c>
      <c r="B313" s="3"/>
      <c r="C313" s="3"/>
    </row>
    <row r="314" spans="1:3" x14ac:dyDescent="0.25">
      <c r="A314" s="5" t="s">
        <v>424</v>
      </c>
      <c r="B314" s="3"/>
      <c r="C314" s="3"/>
    </row>
    <row r="315" spans="1:3" x14ac:dyDescent="0.25">
      <c r="A315" s="5" t="s">
        <v>425</v>
      </c>
      <c r="B315" s="3"/>
      <c r="C315" s="3"/>
    </row>
    <row r="316" spans="1:3" x14ac:dyDescent="0.25">
      <c r="A316" s="5" t="s">
        <v>426</v>
      </c>
      <c r="B316" s="3"/>
      <c r="C316" s="3"/>
    </row>
    <row r="317" spans="1:3" x14ac:dyDescent="0.25">
      <c r="A317" s="5" t="s">
        <v>427</v>
      </c>
      <c r="B317" s="3"/>
      <c r="C317" s="3"/>
    </row>
    <row r="318" spans="1:3" x14ac:dyDescent="0.25">
      <c r="A318" s="5" t="s">
        <v>428</v>
      </c>
      <c r="B318" s="3"/>
      <c r="C318" s="3"/>
    </row>
    <row r="319" spans="1:3" x14ac:dyDescent="0.25">
      <c r="A319" s="5" t="s">
        <v>429</v>
      </c>
      <c r="B319" s="3"/>
      <c r="C319" s="3"/>
    </row>
    <row r="320" spans="1:3" x14ac:dyDescent="0.25">
      <c r="A320" s="5" t="s">
        <v>430</v>
      </c>
      <c r="B320" s="3"/>
      <c r="C320" s="3"/>
    </row>
    <row r="321" spans="1:3" x14ac:dyDescent="0.25">
      <c r="A321" s="5" t="s">
        <v>431</v>
      </c>
      <c r="B321" s="3"/>
      <c r="C321" s="3"/>
    </row>
    <row r="322" spans="1:3" x14ac:dyDescent="0.25">
      <c r="A322" s="5" t="s">
        <v>432</v>
      </c>
      <c r="B322" s="3"/>
      <c r="C322" s="3"/>
    </row>
    <row r="323" spans="1:3" x14ac:dyDescent="0.25">
      <c r="A323" s="5" t="s">
        <v>433</v>
      </c>
      <c r="B323" s="3"/>
      <c r="C323" s="3"/>
    </row>
    <row r="324" spans="1:3" x14ac:dyDescent="0.25">
      <c r="A324" s="5" t="s">
        <v>434</v>
      </c>
      <c r="B324" s="3"/>
      <c r="C324" s="3"/>
    </row>
    <row r="325" spans="1:3" x14ac:dyDescent="0.25">
      <c r="A325" s="5" t="s">
        <v>435</v>
      </c>
      <c r="B325" s="3"/>
      <c r="C325" s="3"/>
    </row>
    <row r="326" spans="1:3" x14ac:dyDescent="0.25">
      <c r="A326" s="5" t="s">
        <v>436</v>
      </c>
      <c r="B326" s="3"/>
      <c r="C326" s="3"/>
    </row>
    <row r="327" spans="1:3" x14ac:dyDescent="0.25">
      <c r="A327" s="5" t="s">
        <v>437</v>
      </c>
      <c r="B327" s="3"/>
      <c r="C327" s="3"/>
    </row>
    <row r="328" spans="1:3" x14ac:dyDescent="0.25">
      <c r="A328" s="5" t="s">
        <v>438</v>
      </c>
      <c r="B328" s="3"/>
      <c r="C328" s="3"/>
    </row>
    <row r="329" spans="1:3" x14ac:dyDescent="0.25">
      <c r="A329" s="5" t="s">
        <v>439</v>
      </c>
      <c r="B329" s="3"/>
      <c r="C329" s="3"/>
    </row>
    <row r="330" spans="1:3" x14ac:dyDescent="0.25">
      <c r="A330" s="5" t="s">
        <v>440</v>
      </c>
      <c r="B330" s="3"/>
      <c r="C330" s="3"/>
    </row>
    <row r="331" spans="1:3" x14ac:dyDescent="0.25">
      <c r="A331" s="5" t="s">
        <v>441</v>
      </c>
      <c r="B331" s="3"/>
      <c r="C331" s="3"/>
    </row>
    <row r="332" spans="1:3" x14ac:dyDescent="0.25">
      <c r="A332" s="5" t="s">
        <v>442</v>
      </c>
      <c r="B332" s="3"/>
      <c r="C332" s="3"/>
    </row>
    <row r="333" spans="1:3" x14ac:dyDescent="0.25">
      <c r="A333" s="5" t="s">
        <v>443</v>
      </c>
      <c r="B333" s="3"/>
      <c r="C333" s="3"/>
    </row>
    <row r="334" spans="1:3" x14ac:dyDescent="0.25">
      <c r="A334" s="5" t="s">
        <v>444</v>
      </c>
      <c r="B334" s="3"/>
      <c r="C334" s="3"/>
    </row>
    <row r="335" spans="1:3" x14ac:dyDescent="0.25">
      <c r="A335" s="5" t="s">
        <v>445</v>
      </c>
      <c r="B335" s="3"/>
      <c r="C335" s="3"/>
    </row>
    <row r="336" spans="1:3" x14ac:dyDescent="0.25">
      <c r="A336" s="5" t="s">
        <v>446</v>
      </c>
      <c r="B336" s="3"/>
      <c r="C336" s="3"/>
    </row>
    <row r="337" spans="1:3" x14ac:dyDescent="0.25">
      <c r="A337" s="5" t="s">
        <v>447</v>
      </c>
      <c r="B337" s="3"/>
      <c r="C337" s="3"/>
    </row>
    <row r="338" spans="1:3" x14ac:dyDescent="0.25">
      <c r="A338" s="5" t="s">
        <v>448</v>
      </c>
      <c r="B338" s="3"/>
      <c r="C338" s="3"/>
    </row>
    <row r="339" spans="1:3" x14ac:dyDescent="0.25">
      <c r="A339" s="5" t="s">
        <v>449</v>
      </c>
      <c r="B339" s="3"/>
      <c r="C339" s="3"/>
    </row>
    <row r="340" spans="1:3" x14ac:dyDescent="0.25">
      <c r="A340" s="5" t="s">
        <v>450</v>
      </c>
      <c r="B340" s="3"/>
      <c r="C340" s="3"/>
    </row>
    <row r="341" spans="1:3" x14ac:dyDescent="0.25">
      <c r="A341" s="5" t="s">
        <v>451</v>
      </c>
      <c r="B341" s="3"/>
      <c r="C341" s="3"/>
    </row>
    <row r="342" spans="1:3" x14ac:dyDescent="0.25">
      <c r="A342" s="5" t="s">
        <v>452</v>
      </c>
      <c r="B342" s="3"/>
      <c r="C342" s="3"/>
    </row>
    <row r="343" spans="1:3" x14ac:dyDescent="0.25">
      <c r="A343" s="5" t="s">
        <v>453</v>
      </c>
      <c r="B343" s="3"/>
      <c r="C343" s="3"/>
    </row>
    <row r="344" spans="1:3" x14ac:dyDescent="0.25">
      <c r="A344" s="5" t="s">
        <v>454</v>
      </c>
      <c r="B344" s="3"/>
      <c r="C344" s="3"/>
    </row>
    <row r="345" spans="1:3" x14ac:dyDescent="0.25">
      <c r="A345" s="5" t="s">
        <v>455</v>
      </c>
      <c r="B345" s="3"/>
      <c r="C345" s="3"/>
    </row>
    <row r="346" spans="1:3" x14ac:dyDescent="0.25">
      <c r="A346" s="5" t="s">
        <v>456</v>
      </c>
      <c r="B346" s="3"/>
      <c r="C346" s="3"/>
    </row>
    <row r="347" spans="1:3" x14ac:dyDescent="0.25">
      <c r="A347" s="5" t="s">
        <v>457</v>
      </c>
      <c r="B347" s="3"/>
      <c r="C347" s="3"/>
    </row>
    <row r="348" spans="1:3" x14ac:dyDescent="0.25">
      <c r="A348" s="5" t="s">
        <v>458</v>
      </c>
      <c r="B348" s="3"/>
      <c r="C348" s="3"/>
    </row>
    <row r="349" spans="1:3" x14ac:dyDescent="0.25">
      <c r="A349" s="5" t="s">
        <v>459</v>
      </c>
      <c r="B349" s="3"/>
      <c r="C349" s="3"/>
    </row>
    <row r="350" spans="1:3" x14ac:dyDescent="0.25">
      <c r="A350" s="5" t="s">
        <v>460</v>
      </c>
      <c r="B350" s="3"/>
      <c r="C350" s="3"/>
    </row>
    <row r="351" spans="1:3" x14ac:dyDescent="0.25">
      <c r="A351" s="5" t="s">
        <v>461</v>
      </c>
      <c r="B351" s="3"/>
      <c r="C351" s="3"/>
    </row>
    <row r="352" spans="1:3" x14ac:dyDescent="0.25">
      <c r="A352" s="5" t="s">
        <v>462</v>
      </c>
      <c r="B352" s="3"/>
      <c r="C352" s="3"/>
    </row>
    <row r="353" spans="1:3" x14ac:dyDescent="0.25">
      <c r="A353" s="5" t="s">
        <v>463</v>
      </c>
      <c r="B353" s="3"/>
      <c r="C353" s="3"/>
    </row>
    <row r="354" spans="1:3" x14ac:dyDescent="0.25">
      <c r="A354" s="5" t="s">
        <v>464</v>
      </c>
      <c r="B354" s="3"/>
      <c r="C354" s="3"/>
    </row>
    <row r="355" spans="1:3" x14ac:dyDescent="0.25">
      <c r="A355" s="5" t="s">
        <v>465</v>
      </c>
      <c r="B355" s="3"/>
      <c r="C355" s="3"/>
    </row>
    <row r="356" spans="1:3" x14ac:dyDescent="0.25">
      <c r="A356" s="5" t="s">
        <v>466</v>
      </c>
      <c r="B356" s="3"/>
      <c r="C356" s="3"/>
    </row>
    <row r="357" spans="1:3" x14ac:dyDescent="0.25">
      <c r="A357" s="5" t="s">
        <v>467</v>
      </c>
      <c r="B357" s="3"/>
      <c r="C357" s="3"/>
    </row>
    <row r="358" spans="1:3" x14ac:dyDescent="0.25">
      <c r="A358" s="5" t="s">
        <v>468</v>
      </c>
      <c r="B358" s="3"/>
      <c r="C358" s="3"/>
    </row>
    <row r="359" spans="1:3" x14ac:dyDescent="0.25">
      <c r="A359" s="5" t="s">
        <v>469</v>
      </c>
      <c r="B359" s="3"/>
      <c r="C359" s="3"/>
    </row>
    <row r="360" spans="1:3" x14ac:dyDescent="0.25">
      <c r="A360" s="5" t="s">
        <v>470</v>
      </c>
      <c r="B360" s="3"/>
      <c r="C360" s="3"/>
    </row>
    <row r="361" spans="1:3" x14ac:dyDescent="0.25">
      <c r="A361" s="5" t="s">
        <v>471</v>
      </c>
      <c r="B361" s="3"/>
      <c r="C361" s="3"/>
    </row>
    <row r="362" spans="1:3" x14ac:dyDescent="0.25">
      <c r="A362" s="5" t="s">
        <v>472</v>
      </c>
      <c r="B362" s="3"/>
      <c r="C362" s="3"/>
    </row>
    <row r="363" spans="1:3" x14ac:dyDescent="0.25">
      <c r="A363" s="5" t="s">
        <v>473</v>
      </c>
      <c r="B363" s="3"/>
      <c r="C363" s="3"/>
    </row>
    <row r="364" spans="1:3" x14ac:dyDescent="0.25">
      <c r="A364" s="5" t="s">
        <v>474</v>
      </c>
      <c r="B364" s="3"/>
      <c r="C364" s="3"/>
    </row>
    <row r="365" spans="1:3" x14ac:dyDescent="0.25">
      <c r="A365" s="5" t="s">
        <v>475</v>
      </c>
      <c r="B365" s="3"/>
      <c r="C365" s="3"/>
    </row>
    <row r="366" spans="1:3" x14ac:dyDescent="0.25">
      <c r="A366" s="5" t="s">
        <v>476</v>
      </c>
      <c r="B366" s="3"/>
      <c r="C366" s="3"/>
    </row>
    <row r="367" spans="1:3" x14ac:dyDescent="0.25">
      <c r="A367" s="5" t="s">
        <v>477</v>
      </c>
      <c r="B367" s="3"/>
      <c r="C367" s="3"/>
    </row>
    <row r="368" spans="1:3" x14ac:dyDescent="0.25">
      <c r="A368" s="5" t="s">
        <v>478</v>
      </c>
      <c r="B368" s="3"/>
      <c r="C368" s="3"/>
    </row>
    <row r="369" spans="1:3" x14ac:dyDescent="0.25">
      <c r="A369" s="5" t="s">
        <v>479</v>
      </c>
      <c r="B369" s="3"/>
      <c r="C369" s="3"/>
    </row>
    <row r="370" spans="1:3" x14ac:dyDescent="0.25">
      <c r="A370" s="5" t="s">
        <v>480</v>
      </c>
      <c r="B370" s="3"/>
      <c r="C370" s="3"/>
    </row>
    <row r="371" spans="1:3" x14ac:dyDescent="0.25">
      <c r="A371" s="5" t="s">
        <v>481</v>
      </c>
      <c r="B371" s="3"/>
      <c r="C371" s="3"/>
    </row>
    <row r="372" spans="1:3" x14ac:dyDescent="0.25">
      <c r="A372" s="5" t="s">
        <v>482</v>
      </c>
      <c r="B372" s="3"/>
      <c r="C372" s="3"/>
    </row>
    <row r="373" spans="1:3" x14ac:dyDescent="0.25">
      <c r="A373" s="5" t="s">
        <v>483</v>
      </c>
      <c r="B373" s="3"/>
      <c r="C373" s="3"/>
    </row>
    <row r="374" spans="1:3" x14ac:dyDescent="0.25">
      <c r="A374" s="5" t="s">
        <v>484</v>
      </c>
      <c r="B374" s="3"/>
      <c r="C374" s="3"/>
    </row>
    <row r="375" spans="1:3" x14ac:dyDescent="0.25">
      <c r="A375" s="5" t="s">
        <v>485</v>
      </c>
      <c r="B375" s="3"/>
      <c r="C375" s="3"/>
    </row>
    <row r="376" spans="1:3" x14ac:dyDescent="0.25">
      <c r="A376" s="5" t="s">
        <v>486</v>
      </c>
      <c r="B376" s="3"/>
      <c r="C376" s="3"/>
    </row>
    <row r="377" spans="1:3" x14ac:dyDescent="0.25">
      <c r="A377" s="5" t="s">
        <v>487</v>
      </c>
      <c r="B377" s="3"/>
      <c r="C377" s="3"/>
    </row>
    <row r="378" spans="1:3" x14ac:dyDescent="0.25">
      <c r="A378" s="5" t="s">
        <v>488</v>
      </c>
      <c r="B378" s="3"/>
      <c r="C378" s="3"/>
    </row>
    <row r="379" spans="1:3" x14ac:dyDescent="0.25">
      <c r="A379" s="5" t="s">
        <v>489</v>
      </c>
      <c r="B379" s="3"/>
      <c r="C379" s="3"/>
    </row>
    <row r="380" spans="1:3" x14ac:dyDescent="0.25">
      <c r="A380" s="5" t="s">
        <v>490</v>
      </c>
      <c r="B380" s="3"/>
      <c r="C380" s="3"/>
    </row>
    <row r="381" spans="1:3" x14ac:dyDescent="0.25">
      <c r="A381" s="5" t="s">
        <v>491</v>
      </c>
      <c r="B381" s="3"/>
      <c r="C381" s="3"/>
    </row>
    <row r="382" spans="1:3" x14ac:dyDescent="0.25">
      <c r="A382" s="5" t="s">
        <v>492</v>
      </c>
      <c r="B382" s="3"/>
      <c r="C382" s="3"/>
    </row>
    <row r="383" spans="1:3" x14ac:dyDescent="0.25">
      <c r="A383" s="5" t="s">
        <v>493</v>
      </c>
      <c r="B383" s="3"/>
      <c r="C383" s="3"/>
    </row>
    <row r="384" spans="1:3" x14ac:dyDescent="0.25">
      <c r="A384" s="5" t="s">
        <v>494</v>
      </c>
      <c r="B384" s="3"/>
      <c r="C384" s="3"/>
    </row>
    <row r="385" spans="1:3" x14ac:dyDescent="0.25">
      <c r="A385" s="5" t="s">
        <v>495</v>
      </c>
      <c r="B385" s="3"/>
      <c r="C385" s="3"/>
    </row>
    <row r="386" spans="1:3" x14ac:dyDescent="0.25">
      <c r="A386" s="5" t="s">
        <v>496</v>
      </c>
      <c r="B386" s="3"/>
      <c r="C386" s="3"/>
    </row>
    <row r="387" spans="1:3" x14ac:dyDescent="0.25">
      <c r="A387" s="5" t="s">
        <v>497</v>
      </c>
      <c r="B387" s="3"/>
      <c r="C387" s="3"/>
    </row>
    <row r="388" spans="1:3" x14ac:dyDescent="0.25">
      <c r="A388" s="5" t="s">
        <v>498</v>
      </c>
      <c r="B388" s="3"/>
      <c r="C388" s="3"/>
    </row>
    <row r="389" spans="1:3" x14ac:dyDescent="0.25">
      <c r="A389" s="5" t="s">
        <v>499</v>
      </c>
      <c r="B389" s="3"/>
      <c r="C389" s="3"/>
    </row>
    <row r="390" spans="1:3" x14ac:dyDescent="0.25">
      <c r="A390" s="5" t="s">
        <v>500</v>
      </c>
      <c r="B390" s="3"/>
      <c r="C390" s="3"/>
    </row>
    <row r="391" spans="1:3" x14ac:dyDescent="0.25">
      <c r="A391" s="5" t="s">
        <v>501</v>
      </c>
      <c r="B391" s="3"/>
      <c r="C391" s="3"/>
    </row>
    <row r="392" spans="1:3" x14ac:dyDescent="0.25">
      <c r="A392" s="5" t="s">
        <v>502</v>
      </c>
      <c r="B392" s="3"/>
      <c r="C392" s="3"/>
    </row>
    <row r="393" spans="1:3" x14ac:dyDescent="0.25">
      <c r="A393" s="5" t="s">
        <v>503</v>
      </c>
      <c r="B393" s="3"/>
      <c r="C393" s="3"/>
    </row>
    <row r="394" spans="1:3" x14ac:dyDescent="0.25">
      <c r="A394" s="5" t="s">
        <v>504</v>
      </c>
      <c r="B394" s="3"/>
      <c r="C394" s="3"/>
    </row>
    <row r="395" spans="1:3" x14ac:dyDescent="0.25">
      <c r="A395" s="5" t="s">
        <v>505</v>
      </c>
      <c r="B395" s="3"/>
      <c r="C395" s="3"/>
    </row>
    <row r="396" spans="1:3" x14ac:dyDescent="0.25">
      <c r="A396" s="5" t="s">
        <v>506</v>
      </c>
      <c r="B396" s="3"/>
      <c r="C396" s="3"/>
    </row>
    <row r="397" spans="1:3" x14ac:dyDescent="0.25">
      <c r="A397" s="5" t="s">
        <v>507</v>
      </c>
      <c r="B397" s="3"/>
      <c r="C397" s="3"/>
    </row>
    <row r="398" spans="1:3" x14ac:dyDescent="0.25">
      <c r="A398" s="5" t="s">
        <v>508</v>
      </c>
      <c r="B398" s="3"/>
      <c r="C398" s="3"/>
    </row>
    <row r="399" spans="1:3" x14ac:dyDescent="0.25">
      <c r="A399" s="5" t="s">
        <v>509</v>
      </c>
      <c r="B399" s="3"/>
      <c r="C399" s="3"/>
    </row>
    <row r="400" spans="1:3" x14ac:dyDescent="0.25">
      <c r="A400" s="5" t="s">
        <v>510</v>
      </c>
      <c r="B400" s="3"/>
      <c r="C400" s="3"/>
    </row>
    <row r="401" spans="1:3" x14ac:dyDescent="0.25">
      <c r="A401" s="5" t="s">
        <v>511</v>
      </c>
      <c r="B401" s="3"/>
      <c r="C401" s="3"/>
    </row>
    <row r="402" spans="1:3" x14ac:dyDescent="0.25">
      <c r="A402" s="5" t="s">
        <v>512</v>
      </c>
      <c r="B402" s="3"/>
      <c r="C402" s="3"/>
    </row>
    <row r="403" spans="1:3" x14ac:dyDescent="0.25">
      <c r="A403" s="5" t="s">
        <v>513</v>
      </c>
      <c r="B403" s="3"/>
      <c r="C403" s="3"/>
    </row>
    <row r="404" spans="1:3" x14ac:dyDescent="0.25">
      <c r="A404" s="5" t="s">
        <v>514</v>
      </c>
      <c r="B404" s="3"/>
      <c r="C404" s="3"/>
    </row>
    <row r="405" spans="1:3" x14ac:dyDescent="0.25">
      <c r="A405" s="5" t="s">
        <v>515</v>
      </c>
      <c r="B405" s="3"/>
      <c r="C405" s="3"/>
    </row>
    <row r="406" spans="1:3" x14ac:dyDescent="0.25">
      <c r="A406" s="5" t="s">
        <v>516</v>
      </c>
      <c r="B406" s="3"/>
      <c r="C406" s="3"/>
    </row>
    <row r="407" spans="1:3" x14ac:dyDescent="0.25">
      <c r="A407" s="5" t="s">
        <v>517</v>
      </c>
      <c r="B407" s="3"/>
      <c r="C407" s="3"/>
    </row>
    <row r="408" spans="1:3" x14ac:dyDescent="0.25">
      <c r="A408" s="5" t="s">
        <v>518</v>
      </c>
      <c r="B408" s="3"/>
      <c r="C408" s="3"/>
    </row>
    <row r="409" spans="1:3" x14ac:dyDescent="0.25">
      <c r="A409" s="5" t="s">
        <v>519</v>
      </c>
      <c r="B409" s="3"/>
      <c r="C409" s="3"/>
    </row>
    <row r="410" spans="1:3" x14ac:dyDescent="0.25">
      <c r="A410" s="5" t="s">
        <v>520</v>
      </c>
      <c r="B410" s="3"/>
      <c r="C410" s="3"/>
    </row>
    <row r="411" spans="1:3" x14ac:dyDescent="0.25">
      <c r="A411" s="5" t="s">
        <v>521</v>
      </c>
      <c r="B411" s="3"/>
      <c r="C411" s="3"/>
    </row>
    <row r="412" spans="1:3" x14ac:dyDescent="0.25">
      <c r="A412" s="5" t="s">
        <v>522</v>
      </c>
      <c r="B412" s="3"/>
      <c r="C412" s="3"/>
    </row>
    <row r="413" spans="1:3" x14ac:dyDescent="0.25">
      <c r="A413" s="5" t="s">
        <v>523</v>
      </c>
      <c r="B413" s="3"/>
      <c r="C413" s="3"/>
    </row>
    <row r="414" spans="1:3" x14ac:dyDescent="0.25">
      <c r="A414" s="5" t="s">
        <v>524</v>
      </c>
      <c r="B414" s="3"/>
      <c r="C414" s="3"/>
    </row>
    <row r="415" spans="1:3" x14ac:dyDescent="0.25">
      <c r="A415" s="5" t="s">
        <v>525</v>
      </c>
      <c r="B415" s="3"/>
      <c r="C415" s="3"/>
    </row>
    <row r="416" spans="1:3" x14ac:dyDescent="0.25">
      <c r="A416" s="5" t="s">
        <v>526</v>
      </c>
      <c r="B416" s="3"/>
      <c r="C416" s="3"/>
    </row>
    <row r="417" spans="1:3" x14ac:dyDescent="0.25">
      <c r="A417" s="5" t="s">
        <v>527</v>
      </c>
      <c r="B417" s="3"/>
      <c r="C417" s="3"/>
    </row>
    <row r="418" spans="1:3" x14ac:dyDescent="0.25">
      <c r="A418" s="5" t="s">
        <v>528</v>
      </c>
      <c r="B418" s="3"/>
      <c r="C418" s="3"/>
    </row>
    <row r="419" spans="1:3" x14ac:dyDescent="0.25">
      <c r="A419" s="5" t="s">
        <v>529</v>
      </c>
      <c r="B419" s="3"/>
      <c r="C419" s="3"/>
    </row>
    <row r="420" spans="1:3" x14ac:dyDescent="0.25">
      <c r="A420" s="5" t="s">
        <v>530</v>
      </c>
      <c r="B420" s="3"/>
      <c r="C420" s="3"/>
    </row>
    <row r="421" spans="1:3" x14ac:dyDescent="0.25">
      <c r="A421" s="5" t="s">
        <v>531</v>
      </c>
      <c r="B421" s="3"/>
      <c r="C421" s="3"/>
    </row>
    <row r="422" spans="1:3" x14ac:dyDescent="0.25">
      <c r="A422" s="5" t="s">
        <v>532</v>
      </c>
      <c r="B422" s="3"/>
      <c r="C422" s="3"/>
    </row>
    <row r="423" spans="1:3" x14ac:dyDescent="0.25">
      <c r="A423" s="5" t="s">
        <v>533</v>
      </c>
      <c r="B423" s="3"/>
      <c r="C423" s="3"/>
    </row>
    <row r="424" spans="1:3" x14ac:dyDescent="0.25">
      <c r="A424" s="5" t="s">
        <v>534</v>
      </c>
      <c r="B424" s="3"/>
      <c r="C424" s="3"/>
    </row>
    <row r="425" spans="1:3" x14ac:dyDescent="0.25">
      <c r="A425" s="5" t="s">
        <v>535</v>
      </c>
      <c r="B425" s="3"/>
      <c r="C425" s="3"/>
    </row>
    <row r="426" spans="1:3" x14ac:dyDescent="0.25">
      <c r="A426" s="5" t="s">
        <v>536</v>
      </c>
      <c r="B426" s="3"/>
      <c r="C426" s="3"/>
    </row>
    <row r="427" spans="1:3" x14ac:dyDescent="0.25">
      <c r="A427" s="5" t="s">
        <v>537</v>
      </c>
      <c r="B427" s="3"/>
      <c r="C427" s="3"/>
    </row>
    <row r="428" spans="1:3" x14ac:dyDescent="0.25">
      <c r="A428" s="5" t="s">
        <v>538</v>
      </c>
      <c r="B428" s="3"/>
      <c r="C428" s="3"/>
    </row>
    <row r="429" spans="1:3" x14ac:dyDescent="0.25">
      <c r="A429" s="5" t="s">
        <v>539</v>
      </c>
      <c r="B429" s="3"/>
      <c r="C429" s="3"/>
    </row>
    <row r="430" spans="1:3" x14ac:dyDescent="0.25">
      <c r="A430" s="5" t="s">
        <v>540</v>
      </c>
      <c r="B430" s="3"/>
      <c r="C430" s="3"/>
    </row>
    <row r="431" spans="1:3" x14ac:dyDescent="0.25">
      <c r="A431" s="5" t="s">
        <v>541</v>
      </c>
      <c r="B431" s="3"/>
      <c r="C431" s="3"/>
    </row>
    <row r="432" spans="1:3" x14ac:dyDescent="0.25">
      <c r="A432" s="5" t="s">
        <v>542</v>
      </c>
      <c r="B432" s="3"/>
      <c r="C432" s="3"/>
    </row>
    <row r="433" spans="1:3" x14ac:dyDescent="0.25">
      <c r="A433" s="5" t="s">
        <v>543</v>
      </c>
      <c r="B433" s="3"/>
      <c r="C433" s="3"/>
    </row>
    <row r="434" spans="1:3" x14ac:dyDescent="0.25">
      <c r="A434" s="5" t="s">
        <v>544</v>
      </c>
      <c r="B434" s="3"/>
      <c r="C434" s="3"/>
    </row>
    <row r="435" spans="1:3" x14ac:dyDescent="0.25">
      <c r="A435" s="5" t="s">
        <v>545</v>
      </c>
      <c r="B435" s="3"/>
      <c r="C435" s="3"/>
    </row>
    <row r="436" spans="1:3" x14ac:dyDescent="0.25">
      <c r="A436" s="5" t="s">
        <v>546</v>
      </c>
      <c r="B436" s="3"/>
      <c r="C436" s="3"/>
    </row>
    <row r="437" spans="1:3" x14ac:dyDescent="0.25">
      <c r="A437" s="5" t="s">
        <v>547</v>
      </c>
      <c r="B437" s="3"/>
      <c r="C437" s="3"/>
    </row>
    <row r="438" spans="1:3" x14ac:dyDescent="0.25">
      <c r="A438" s="5" t="s">
        <v>548</v>
      </c>
      <c r="B438" s="3"/>
      <c r="C438" s="3"/>
    </row>
    <row r="439" spans="1:3" x14ac:dyDescent="0.25">
      <c r="A439" s="5" t="s">
        <v>549</v>
      </c>
      <c r="B439" s="3"/>
      <c r="C439" s="3"/>
    </row>
    <row r="440" spans="1:3" x14ac:dyDescent="0.25">
      <c r="A440" s="5" t="s">
        <v>550</v>
      </c>
      <c r="B440" s="3"/>
      <c r="C440" s="3"/>
    </row>
    <row r="441" spans="1:3" x14ac:dyDescent="0.25">
      <c r="A441" s="5" t="s">
        <v>551</v>
      </c>
      <c r="B441" s="3"/>
      <c r="C441" s="3"/>
    </row>
    <row r="442" spans="1:3" x14ac:dyDescent="0.25">
      <c r="A442" s="5" t="s">
        <v>552</v>
      </c>
      <c r="B442" s="3"/>
      <c r="C442" s="3"/>
    </row>
    <row r="443" spans="1:3" x14ac:dyDescent="0.25">
      <c r="A443" s="5" t="s">
        <v>553</v>
      </c>
      <c r="B443" s="3"/>
      <c r="C443" s="3"/>
    </row>
    <row r="444" spans="1:3" x14ac:dyDescent="0.25">
      <c r="A444" s="5" t="s">
        <v>554</v>
      </c>
      <c r="B444" s="3"/>
      <c r="C444" s="3"/>
    </row>
    <row r="445" spans="1:3" x14ac:dyDescent="0.25">
      <c r="A445" s="5" t="s">
        <v>555</v>
      </c>
      <c r="B445" s="3"/>
      <c r="C445" s="3"/>
    </row>
    <row r="446" spans="1:3" x14ac:dyDescent="0.25">
      <c r="A446" s="5" t="s">
        <v>556</v>
      </c>
      <c r="B446" s="3"/>
      <c r="C446" s="3"/>
    </row>
    <row r="447" spans="1:3" x14ac:dyDescent="0.25">
      <c r="A447" s="5" t="s">
        <v>557</v>
      </c>
      <c r="B447" s="3"/>
      <c r="C447" s="3"/>
    </row>
    <row r="448" spans="1:3" x14ac:dyDescent="0.25">
      <c r="A448" s="5" t="s">
        <v>558</v>
      </c>
      <c r="B448" s="3"/>
      <c r="C448" s="3"/>
    </row>
    <row r="449" spans="1:3" x14ac:dyDescent="0.25">
      <c r="A449" s="5" t="s">
        <v>559</v>
      </c>
      <c r="B449" s="3"/>
      <c r="C449" s="3"/>
    </row>
    <row r="450" spans="1:3" x14ac:dyDescent="0.25">
      <c r="A450" s="5" t="s">
        <v>560</v>
      </c>
      <c r="B450" s="3"/>
      <c r="C450" s="3"/>
    </row>
    <row r="451" spans="1:3" x14ac:dyDescent="0.25">
      <c r="A451" s="5" t="s">
        <v>561</v>
      </c>
      <c r="B451" s="3"/>
      <c r="C451" s="3"/>
    </row>
    <row r="452" spans="1:3" x14ac:dyDescent="0.25">
      <c r="A452" s="5" t="s">
        <v>562</v>
      </c>
      <c r="B452" s="3"/>
      <c r="C452" s="3"/>
    </row>
    <row r="453" spans="1:3" x14ac:dyDescent="0.25">
      <c r="A453" s="5" t="s">
        <v>563</v>
      </c>
      <c r="B453" s="3"/>
      <c r="C453" s="3"/>
    </row>
    <row r="454" spans="1:3" x14ac:dyDescent="0.25">
      <c r="A454" s="5" t="s">
        <v>564</v>
      </c>
      <c r="B454" s="3"/>
      <c r="C454" s="3"/>
    </row>
    <row r="455" spans="1:3" x14ac:dyDescent="0.25">
      <c r="A455" s="5" t="s">
        <v>565</v>
      </c>
      <c r="B455" s="3"/>
      <c r="C455" s="3"/>
    </row>
    <row r="456" spans="1:3" x14ac:dyDescent="0.25">
      <c r="A456" s="5" t="s">
        <v>566</v>
      </c>
      <c r="B456" s="3"/>
      <c r="C456" s="3"/>
    </row>
    <row r="457" spans="1:3" x14ac:dyDescent="0.25">
      <c r="A457" s="5" t="s">
        <v>567</v>
      </c>
      <c r="B457" s="3"/>
      <c r="C457" s="3"/>
    </row>
    <row r="458" spans="1:3" x14ac:dyDescent="0.25">
      <c r="A458" s="5" t="s">
        <v>568</v>
      </c>
      <c r="B458" s="3"/>
      <c r="C458" s="3"/>
    </row>
    <row r="459" spans="1:3" x14ac:dyDescent="0.25">
      <c r="A459" s="5" t="s">
        <v>569</v>
      </c>
      <c r="B459" s="3"/>
      <c r="C459" s="3"/>
    </row>
    <row r="460" spans="1:3" x14ac:dyDescent="0.25">
      <c r="A460" s="5" t="s">
        <v>570</v>
      </c>
      <c r="B460" s="3"/>
      <c r="C460" s="3"/>
    </row>
    <row r="461" spans="1:3" x14ac:dyDescent="0.25">
      <c r="A461" s="5" t="s">
        <v>571</v>
      </c>
      <c r="B461" s="3"/>
      <c r="C461" s="3"/>
    </row>
    <row r="462" spans="1:3" x14ac:dyDescent="0.25">
      <c r="A462" s="5" t="s">
        <v>572</v>
      </c>
      <c r="B462" s="3"/>
      <c r="C462" s="3"/>
    </row>
    <row r="463" spans="1:3" x14ac:dyDescent="0.25">
      <c r="A463" s="5" t="s">
        <v>573</v>
      </c>
      <c r="B463" s="3"/>
      <c r="C463" s="3"/>
    </row>
    <row r="464" spans="1:3" x14ac:dyDescent="0.25">
      <c r="A464" s="5" t="s">
        <v>574</v>
      </c>
      <c r="B464" s="3"/>
      <c r="C464" s="3"/>
    </row>
    <row r="465" spans="1:3" x14ac:dyDescent="0.25">
      <c r="A465" s="5" t="s">
        <v>575</v>
      </c>
      <c r="B465" s="3"/>
      <c r="C465" s="3"/>
    </row>
    <row r="466" spans="1:3" x14ac:dyDescent="0.25">
      <c r="A466" s="5" t="s">
        <v>576</v>
      </c>
      <c r="B466" s="3"/>
      <c r="C466" s="3"/>
    </row>
    <row r="467" spans="1:3" x14ac:dyDescent="0.25">
      <c r="A467" s="5" t="s">
        <v>577</v>
      </c>
      <c r="B467" s="3"/>
      <c r="C467" s="3"/>
    </row>
    <row r="468" spans="1:3" x14ac:dyDescent="0.25">
      <c r="A468" s="5" t="s">
        <v>578</v>
      </c>
      <c r="B468" s="3"/>
      <c r="C468" s="3"/>
    </row>
    <row r="469" spans="1:3" x14ac:dyDescent="0.25">
      <c r="A469" s="5" t="s">
        <v>579</v>
      </c>
      <c r="B469" s="3"/>
      <c r="C469" s="3"/>
    </row>
    <row r="470" spans="1:3" x14ac:dyDescent="0.25">
      <c r="A470" s="5" t="s">
        <v>580</v>
      </c>
      <c r="B470" s="3"/>
      <c r="C470" s="3"/>
    </row>
    <row r="471" spans="1:3" x14ac:dyDescent="0.25">
      <c r="A471" s="5" t="s">
        <v>581</v>
      </c>
      <c r="B471" s="3"/>
      <c r="C471" s="3"/>
    </row>
    <row r="472" spans="1:3" x14ac:dyDescent="0.25">
      <c r="A472" s="5" t="s">
        <v>582</v>
      </c>
      <c r="B472" s="3"/>
      <c r="C472" s="3"/>
    </row>
    <row r="473" spans="1:3" x14ac:dyDescent="0.25">
      <c r="A473" s="5" t="s">
        <v>583</v>
      </c>
      <c r="B473" s="3"/>
      <c r="C473" s="3"/>
    </row>
    <row r="474" spans="1:3" x14ac:dyDescent="0.25">
      <c r="A474" s="5" t="s">
        <v>584</v>
      </c>
      <c r="B474" s="3"/>
      <c r="C474" s="3"/>
    </row>
    <row r="475" spans="1:3" x14ac:dyDescent="0.25">
      <c r="A475" s="5" t="s">
        <v>585</v>
      </c>
      <c r="B475" s="3"/>
      <c r="C475" s="3"/>
    </row>
    <row r="476" spans="1:3" x14ac:dyDescent="0.25">
      <c r="A476" s="5" t="s">
        <v>586</v>
      </c>
      <c r="B476" s="3"/>
      <c r="C476" s="3"/>
    </row>
    <row r="477" spans="1:3" x14ac:dyDescent="0.25">
      <c r="A477" s="5" t="s">
        <v>587</v>
      </c>
      <c r="B477" s="3"/>
      <c r="C477" s="3"/>
    </row>
    <row r="478" spans="1:3" x14ac:dyDescent="0.25">
      <c r="A478" s="5" t="s">
        <v>588</v>
      </c>
      <c r="B478" s="3"/>
      <c r="C478" s="3"/>
    </row>
    <row r="479" spans="1:3" x14ac:dyDescent="0.25">
      <c r="A479" s="5" t="s">
        <v>589</v>
      </c>
      <c r="B479" s="3"/>
      <c r="C479" s="3"/>
    </row>
    <row r="480" spans="1:3" x14ac:dyDescent="0.25">
      <c r="A480" s="5" t="s">
        <v>590</v>
      </c>
      <c r="B480" s="3"/>
      <c r="C480" s="3"/>
    </row>
    <row r="481" spans="1:3" x14ac:dyDescent="0.25">
      <c r="A481" s="5" t="s">
        <v>591</v>
      </c>
      <c r="B481" s="3"/>
      <c r="C481" s="3"/>
    </row>
    <row r="482" spans="1:3" x14ac:dyDescent="0.25">
      <c r="A482" s="5" t="s">
        <v>592</v>
      </c>
      <c r="B482" s="3"/>
      <c r="C482" s="3"/>
    </row>
    <row r="483" spans="1:3" x14ac:dyDescent="0.25">
      <c r="A483" s="5" t="s">
        <v>593</v>
      </c>
      <c r="B483" s="3"/>
      <c r="C483" s="3"/>
    </row>
    <row r="484" spans="1:3" x14ac:dyDescent="0.25">
      <c r="A484" s="5" t="s">
        <v>594</v>
      </c>
      <c r="B484" s="3"/>
      <c r="C484" s="3"/>
    </row>
    <row r="485" spans="1:3" x14ac:dyDescent="0.25">
      <c r="A485" s="5" t="s">
        <v>595</v>
      </c>
      <c r="B485" s="3"/>
      <c r="C485" s="3"/>
    </row>
    <row r="486" spans="1:3" x14ac:dyDescent="0.25">
      <c r="A486" s="5" t="s">
        <v>596</v>
      </c>
      <c r="B486" s="3"/>
      <c r="C486" s="3"/>
    </row>
    <row r="487" spans="1:3" x14ac:dyDescent="0.25">
      <c r="A487" s="5" t="s">
        <v>597</v>
      </c>
      <c r="B487" s="3"/>
      <c r="C487" s="3"/>
    </row>
    <row r="488" spans="1:3" x14ac:dyDescent="0.25">
      <c r="A488" s="5" t="s">
        <v>598</v>
      </c>
      <c r="B488" s="3"/>
      <c r="C488" s="3"/>
    </row>
    <row r="489" spans="1:3" x14ac:dyDescent="0.25">
      <c r="A489" s="5" t="s">
        <v>599</v>
      </c>
      <c r="B489" s="3"/>
      <c r="C489" s="3"/>
    </row>
    <row r="490" spans="1:3" x14ac:dyDescent="0.25">
      <c r="A490" s="5" t="s">
        <v>600</v>
      </c>
      <c r="B490" s="3"/>
      <c r="C490" s="3"/>
    </row>
    <row r="491" spans="1:3" x14ac:dyDescent="0.25">
      <c r="A491" s="5" t="s">
        <v>601</v>
      </c>
      <c r="B491" s="3"/>
      <c r="C491" s="3"/>
    </row>
    <row r="492" spans="1:3" x14ac:dyDescent="0.25">
      <c r="A492" s="5" t="s">
        <v>602</v>
      </c>
      <c r="B492" s="3"/>
      <c r="C492" s="3"/>
    </row>
    <row r="493" spans="1:3" x14ac:dyDescent="0.25">
      <c r="A493" s="5" t="s">
        <v>603</v>
      </c>
      <c r="B493" s="3"/>
      <c r="C493" s="3"/>
    </row>
    <row r="494" spans="1:3" x14ac:dyDescent="0.25">
      <c r="A494" s="5" t="s">
        <v>604</v>
      </c>
      <c r="B494" s="3"/>
      <c r="C494" s="3"/>
    </row>
    <row r="495" spans="1:3" x14ac:dyDescent="0.25">
      <c r="A495" s="5" t="s">
        <v>605</v>
      </c>
      <c r="B495" s="3"/>
      <c r="C495" s="3"/>
    </row>
    <row r="496" spans="1:3" x14ac:dyDescent="0.25">
      <c r="A496" s="5" t="s">
        <v>606</v>
      </c>
      <c r="B496" s="3"/>
      <c r="C496" s="3"/>
    </row>
    <row r="497" spans="1:3" x14ac:dyDescent="0.25">
      <c r="A497" s="5" t="s">
        <v>607</v>
      </c>
      <c r="B497" s="3"/>
      <c r="C497" s="3"/>
    </row>
    <row r="498" spans="1:3" x14ac:dyDescent="0.25">
      <c r="A498" s="5" t="s">
        <v>608</v>
      </c>
      <c r="B498" s="3"/>
      <c r="C498" s="3"/>
    </row>
    <row r="499" spans="1:3" x14ac:dyDescent="0.25">
      <c r="A499" s="5" t="s">
        <v>609</v>
      </c>
      <c r="B499" s="3"/>
      <c r="C499" s="3"/>
    </row>
    <row r="500" spans="1:3" x14ac:dyDescent="0.25">
      <c r="A500" s="5" t="s">
        <v>610</v>
      </c>
      <c r="B500" s="3"/>
      <c r="C500" s="3"/>
    </row>
    <row r="501" spans="1:3" x14ac:dyDescent="0.25">
      <c r="A501" s="5" t="s">
        <v>611</v>
      </c>
      <c r="B501" s="3"/>
      <c r="C501" s="3"/>
    </row>
    <row r="502" spans="1:3" x14ac:dyDescent="0.25">
      <c r="A502" s="5" t="s">
        <v>612</v>
      </c>
      <c r="B502" s="3"/>
      <c r="C502" s="3"/>
    </row>
    <row r="503" spans="1:3" x14ac:dyDescent="0.25">
      <c r="A503" s="5" t="s">
        <v>613</v>
      </c>
      <c r="B503" s="3"/>
      <c r="C503" s="3"/>
    </row>
    <row r="504" spans="1:3" x14ac:dyDescent="0.25">
      <c r="A504" s="5" t="s">
        <v>614</v>
      </c>
      <c r="B504" s="3"/>
      <c r="C504" s="3"/>
    </row>
    <row r="505" spans="1:3" x14ac:dyDescent="0.25">
      <c r="A505" s="5" t="s">
        <v>615</v>
      </c>
      <c r="B505" s="3"/>
      <c r="C505" s="3"/>
    </row>
    <row r="506" spans="1:3" x14ac:dyDescent="0.25">
      <c r="A506" s="5" t="s">
        <v>616</v>
      </c>
      <c r="B506" s="3"/>
      <c r="C506" s="3"/>
    </row>
    <row r="507" spans="1:3" x14ac:dyDescent="0.25">
      <c r="A507" s="5" t="s">
        <v>617</v>
      </c>
      <c r="B507" s="3"/>
      <c r="C507" s="3"/>
    </row>
    <row r="508" spans="1:3" x14ac:dyDescent="0.25">
      <c r="A508" s="5" t="s">
        <v>618</v>
      </c>
      <c r="B508" s="3"/>
      <c r="C508" s="3"/>
    </row>
    <row r="509" spans="1:3" x14ac:dyDescent="0.25">
      <c r="A509" s="5" t="s">
        <v>619</v>
      </c>
      <c r="B509" s="3"/>
      <c r="C509" s="3"/>
    </row>
    <row r="510" spans="1:3" x14ac:dyDescent="0.25">
      <c r="A510" s="5" t="s">
        <v>620</v>
      </c>
      <c r="B510" s="3"/>
      <c r="C510" s="3"/>
    </row>
    <row r="511" spans="1:3" x14ac:dyDescent="0.25">
      <c r="A511" s="5" t="s">
        <v>621</v>
      </c>
      <c r="B511" s="3"/>
      <c r="C511" s="3"/>
    </row>
    <row r="512" spans="1:3" x14ac:dyDescent="0.25">
      <c r="A512" s="5" t="s">
        <v>622</v>
      </c>
      <c r="B512" s="3"/>
      <c r="C512" s="3"/>
    </row>
    <row r="513" spans="1:3" x14ac:dyDescent="0.25">
      <c r="A513" s="5" t="s">
        <v>623</v>
      </c>
      <c r="B513" s="3"/>
      <c r="C513" s="3"/>
    </row>
    <row r="514" spans="1:3" x14ac:dyDescent="0.25">
      <c r="A514" s="5" t="s">
        <v>624</v>
      </c>
      <c r="B514" s="3"/>
      <c r="C514" s="3"/>
    </row>
    <row r="515" spans="1:3" x14ac:dyDescent="0.25">
      <c r="A515" s="5" t="s">
        <v>625</v>
      </c>
      <c r="B515" s="3"/>
      <c r="C515" s="3"/>
    </row>
    <row r="516" spans="1:3" x14ac:dyDescent="0.25">
      <c r="A516" s="5" t="s">
        <v>626</v>
      </c>
      <c r="B516" s="3"/>
      <c r="C516" s="3"/>
    </row>
    <row r="517" spans="1:3" x14ac:dyDescent="0.25">
      <c r="A517" s="5" t="s">
        <v>627</v>
      </c>
      <c r="B517" s="3"/>
      <c r="C517" s="3"/>
    </row>
    <row r="518" spans="1:3" x14ac:dyDescent="0.25">
      <c r="A518" s="5" t="s">
        <v>628</v>
      </c>
      <c r="B518" s="3"/>
      <c r="C518" s="3"/>
    </row>
    <row r="519" spans="1:3" x14ac:dyDescent="0.25">
      <c r="A519" s="5" t="s">
        <v>629</v>
      </c>
      <c r="B519" s="3"/>
      <c r="C519" s="3"/>
    </row>
    <row r="520" spans="1:3" x14ac:dyDescent="0.25">
      <c r="A520" s="5" t="s">
        <v>630</v>
      </c>
      <c r="B520" s="3"/>
      <c r="C520" s="3"/>
    </row>
    <row r="521" spans="1:3" x14ac:dyDescent="0.25">
      <c r="A521" s="5" t="s">
        <v>631</v>
      </c>
      <c r="B521" s="3"/>
      <c r="C521" s="3"/>
    </row>
    <row r="522" spans="1:3" x14ac:dyDescent="0.25">
      <c r="A522" s="5" t="s">
        <v>632</v>
      </c>
      <c r="B522" s="3"/>
      <c r="C522" s="3"/>
    </row>
    <row r="523" spans="1:3" x14ac:dyDescent="0.25">
      <c r="A523" s="5" t="s">
        <v>633</v>
      </c>
      <c r="B523" s="3"/>
      <c r="C523" s="3"/>
    </row>
    <row r="524" spans="1:3" x14ac:dyDescent="0.25">
      <c r="A524" s="5" t="s">
        <v>634</v>
      </c>
      <c r="B524" s="3"/>
      <c r="C524" s="3"/>
    </row>
    <row r="525" spans="1:3" x14ac:dyDescent="0.25">
      <c r="A525" s="5" t="s">
        <v>635</v>
      </c>
      <c r="B525" s="3"/>
      <c r="C525" s="3"/>
    </row>
    <row r="526" spans="1:3" x14ac:dyDescent="0.25">
      <c r="A526" s="5" t="s">
        <v>636</v>
      </c>
      <c r="B526" s="3"/>
      <c r="C526" s="3"/>
    </row>
    <row r="527" spans="1:3" x14ac:dyDescent="0.25">
      <c r="A527" s="5" t="s">
        <v>637</v>
      </c>
      <c r="B527" s="3"/>
      <c r="C527" s="3"/>
    </row>
    <row r="528" spans="1:3" x14ac:dyDescent="0.25">
      <c r="A528" s="5" t="s">
        <v>638</v>
      </c>
      <c r="B528" s="3"/>
      <c r="C528" s="3"/>
    </row>
    <row r="529" spans="1:3" x14ac:dyDescent="0.25">
      <c r="A529" s="5" t="s">
        <v>639</v>
      </c>
      <c r="B529" s="3"/>
      <c r="C529" s="3"/>
    </row>
    <row r="530" spans="1:3" x14ac:dyDescent="0.25">
      <c r="A530" s="5" t="s">
        <v>640</v>
      </c>
      <c r="B530" s="3"/>
      <c r="C530" s="3"/>
    </row>
    <row r="531" spans="1:3" x14ac:dyDescent="0.25">
      <c r="A531" s="5" t="s">
        <v>641</v>
      </c>
      <c r="B531" s="3"/>
      <c r="C531" s="3"/>
    </row>
    <row r="532" spans="1:3" x14ac:dyDescent="0.25">
      <c r="A532" s="5" t="s">
        <v>642</v>
      </c>
      <c r="B532" s="3"/>
      <c r="C532" s="3"/>
    </row>
    <row r="533" spans="1:3" x14ac:dyDescent="0.25">
      <c r="A533" s="5" t="s">
        <v>643</v>
      </c>
      <c r="B533" s="3"/>
      <c r="C533" s="3"/>
    </row>
    <row r="534" spans="1:3" x14ac:dyDescent="0.25">
      <c r="A534" s="5" t="s">
        <v>644</v>
      </c>
      <c r="B534" s="3"/>
      <c r="C534" s="3"/>
    </row>
    <row r="535" spans="1:3" x14ac:dyDescent="0.25">
      <c r="A535" s="5" t="s">
        <v>645</v>
      </c>
      <c r="B535" s="3"/>
      <c r="C535" s="3"/>
    </row>
    <row r="536" spans="1:3" x14ac:dyDescent="0.25">
      <c r="A536" s="5" t="s">
        <v>646</v>
      </c>
      <c r="B536" s="3"/>
      <c r="C536" s="3"/>
    </row>
    <row r="537" spans="1:3" x14ac:dyDescent="0.25">
      <c r="A537" s="5" t="s">
        <v>647</v>
      </c>
      <c r="B537" s="3"/>
      <c r="C537" s="3"/>
    </row>
    <row r="538" spans="1:3" x14ac:dyDescent="0.25">
      <c r="A538" s="5" t="s">
        <v>648</v>
      </c>
      <c r="B538" s="3"/>
      <c r="C538" s="3"/>
    </row>
    <row r="539" spans="1:3" x14ac:dyDescent="0.25">
      <c r="A539" s="5" t="s">
        <v>649</v>
      </c>
      <c r="B539" s="3"/>
      <c r="C539" s="3"/>
    </row>
    <row r="540" spans="1:3" x14ac:dyDescent="0.25">
      <c r="A540" s="5" t="s">
        <v>650</v>
      </c>
      <c r="B540" s="3"/>
      <c r="C540" s="3"/>
    </row>
    <row r="541" spans="1:3" x14ac:dyDescent="0.25">
      <c r="A541" s="5" t="s">
        <v>651</v>
      </c>
      <c r="B541" s="3"/>
      <c r="C541" s="3"/>
    </row>
    <row r="542" spans="1:3" x14ac:dyDescent="0.25">
      <c r="A542" s="5" t="s">
        <v>652</v>
      </c>
      <c r="B542" s="3"/>
      <c r="C542" s="3"/>
    </row>
    <row r="543" spans="1:3" x14ac:dyDescent="0.25">
      <c r="A543" s="5" t="s">
        <v>653</v>
      </c>
      <c r="B543" s="3"/>
      <c r="C543" s="3"/>
    </row>
    <row r="544" spans="1:3" x14ac:dyDescent="0.25">
      <c r="A544" s="5" t="s">
        <v>654</v>
      </c>
      <c r="B544" s="3"/>
      <c r="C544" s="3"/>
    </row>
    <row r="545" spans="1:3" x14ac:dyDescent="0.25">
      <c r="A545" s="5" t="s">
        <v>655</v>
      </c>
      <c r="B545" s="3"/>
      <c r="C545" s="3"/>
    </row>
    <row r="546" spans="1:3" x14ac:dyDescent="0.25">
      <c r="A546" s="5" t="s">
        <v>656</v>
      </c>
      <c r="B546" s="3"/>
      <c r="C546" s="3"/>
    </row>
    <row r="547" spans="1:3" x14ac:dyDescent="0.25">
      <c r="A547" s="5" t="s">
        <v>657</v>
      </c>
      <c r="B547" s="3"/>
      <c r="C547" s="3"/>
    </row>
    <row r="548" spans="1:3" x14ac:dyDescent="0.25">
      <c r="A548" s="5" t="s">
        <v>658</v>
      </c>
      <c r="B548" s="3"/>
      <c r="C548" s="3"/>
    </row>
    <row r="549" spans="1:3" x14ac:dyDescent="0.25">
      <c r="A549" s="5" t="s">
        <v>659</v>
      </c>
      <c r="B549" s="3"/>
      <c r="C549" s="3"/>
    </row>
    <row r="550" spans="1:3" x14ac:dyDescent="0.25">
      <c r="A550" s="5" t="s">
        <v>660</v>
      </c>
      <c r="B550" s="3"/>
      <c r="C550" s="3"/>
    </row>
    <row r="551" spans="1:3" x14ac:dyDescent="0.25">
      <c r="A551" s="5" t="s">
        <v>661</v>
      </c>
      <c r="B551" s="3"/>
      <c r="C551" s="3"/>
    </row>
    <row r="552" spans="1:3" x14ac:dyDescent="0.25">
      <c r="A552" s="5" t="s">
        <v>662</v>
      </c>
      <c r="B552" s="3"/>
      <c r="C552" s="3"/>
    </row>
    <row r="553" spans="1:3" x14ac:dyDescent="0.25">
      <c r="A553" s="5" t="s">
        <v>663</v>
      </c>
      <c r="B553" s="3"/>
      <c r="C553" s="3"/>
    </row>
    <row r="554" spans="1:3" x14ac:dyDescent="0.25">
      <c r="A554" s="5" t="s">
        <v>664</v>
      </c>
      <c r="B554" s="3"/>
      <c r="C554" s="3"/>
    </row>
    <row r="555" spans="1:3" x14ac:dyDescent="0.25">
      <c r="A555" s="5" t="s">
        <v>665</v>
      </c>
      <c r="B555" s="3"/>
      <c r="C555" s="3"/>
    </row>
    <row r="556" spans="1:3" x14ac:dyDescent="0.25">
      <c r="A556" s="5" t="s">
        <v>666</v>
      </c>
      <c r="B556" s="3"/>
      <c r="C556" s="3"/>
    </row>
    <row r="557" spans="1:3" x14ac:dyDescent="0.25">
      <c r="A557" s="5" t="s">
        <v>667</v>
      </c>
      <c r="B557" s="3"/>
      <c r="C557" s="3"/>
    </row>
    <row r="558" spans="1:3" x14ac:dyDescent="0.25">
      <c r="A558" s="5" t="s">
        <v>668</v>
      </c>
      <c r="B558" s="3"/>
      <c r="C558" s="3"/>
    </row>
    <row r="559" spans="1:3" x14ac:dyDescent="0.25">
      <c r="A559" s="5" t="s">
        <v>669</v>
      </c>
      <c r="B559" s="3"/>
      <c r="C559" s="3"/>
    </row>
    <row r="560" spans="1:3" x14ac:dyDescent="0.25">
      <c r="A560" s="5" t="s">
        <v>670</v>
      </c>
      <c r="B560" s="3"/>
      <c r="C560" s="3"/>
    </row>
    <row r="561" spans="1:3" x14ac:dyDescent="0.25">
      <c r="A561" s="5" t="s">
        <v>671</v>
      </c>
      <c r="B561" s="3"/>
      <c r="C561" s="3"/>
    </row>
    <row r="562" spans="1:3" x14ac:dyDescent="0.25">
      <c r="A562" s="5" t="s">
        <v>672</v>
      </c>
      <c r="B562" s="3"/>
      <c r="C562" s="3"/>
    </row>
    <row r="563" spans="1:3" x14ac:dyDescent="0.25">
      <c r="A563" s="5" t="s">
        <v>673</v>
      </c>
      <c r="B563" s="3"/>
      <c r="C563" s="3"/>
    </row>
    <row r="564" spans="1:3" x14ac:dyDescent="0.25">
      <c r="A564" s="5" t="s">
        <v>674</v>
      </c>
      <c r="B564" s="3"/>
      <c r="C564" s="3"/>
    </row>
    <row r="565" spans="1:3" x14ac:dyDescent="0.25">
      <c r="A565" s="5" t="s">
        <v>675</v>
      </c>
      <c r="B565" s="3"/>
      <c r="C565" s="3"/>
    </row>
    <row r="566" spans="1:3" x14ac:dyDescent="0.25">
      <c r="A566" s="5" t="s">
        <v>676</v>
      </c>
      <c r="B566" s="3"/>
      <c r="C566" s="3"/>
    </row>
    <row r="567" spans="1:3" x14ac:dyDescent="0.25">
      <c r="A567" s="5" t="s">
        <v>677</v>
      </c>
      <c r="B567" s="3"/>
      <c r="C567" s="3"/>
    </row>
    <row r="568" spans="1:3" x14ac:dyDescent="0.25">
      <c r="A568" s="5" t="s">
        <v>678</v>
      </c>
      <c r="B568" s="3"/>
      <c r="C568" s="3"/>
    </row>
    <row r="569" spans="1:3" x14ac:dyDescent="0.25">
      <c r="A569" s="5" t="s">
        <v>679</v>
      </c>
      <c r="B569" s="3"/>
      <c r="C569" s="3"/>
    </row>
    <row r="570" spans="1:3" x14ac:dyDescent="0.25">
      <c r="A570" s="5" t="s">
        <v>680</v>
      </c>
      <c r="B570" s="3"/>
      <c r="C570" s="3"/>
    </row>
    <row r="571" spans="1:3" x14ac:dyDescent="0.25">
      <c r="A571" s="5" t="s">
        <v>681</v>
      </c>
      <c r="B571" s="3"/>
      <c r="C571" s="3"/>
    </row>
    <row r="572" spans="1:3" x14ac:dyDescent="0.25">
      <c r="A572" s="5" t="s">
        <v>682</v>
      </c>
      <c r="B572" s="3"/>
      <c r="C572" s="3"/>
    </row>
    <row r="573" spans="1:3" x14ac:dyDescent="0.25">
      <c r="A573" s="5" t="s">
        <v>683</v>
      </c>
      <c r="B573" s="3"/>
      <c r="C573" s="3"/>
    </row>
    <row r="574" spans="1:3" x14ac:dyDescent="0.25">
      <c r="A574" s="5" t="s">
        <v>684</v>
      </c>
      <c r="B574" s="3"/>
      <c r="C574" s="3"/>
    </row>
    <row r="575" spans="1:3" x14ac:dyDescent="0.25">
      <c r="A575" s="5" t="s">
        <v>685</v>
      </c>
      <c r="B575" s="3"/>
      <c r="C575" s="3"/>
    </row>
    <row r="576" spans="1:3" x14ac:dyDescent="0.25">
      <c r="A576" s="5" t="s">
        <v>686</v>
      </c>
      <c r="B576" s="3"/>
      <c r="C576" s="3"/>
    </row>
    <row r="577" spans="1:3" x14ac:dyDescent="0.25">
      <c r="A577" s="5" t="s">
        <v>687</v>
      </c>
      <c r="B577" s="3"/>
      <c r="C577" s="3"/>
    </row>
    <row r="578" spans="1:3" x14ac:dyDescent="0.25">
      <c r="A578" s="5" t="s">
        <v>688</v>
      </c>
      <c r="B578" s="3"/>
      <c r="C578" s="3"/>
    </row>
    <row r="579" spans="1:3" x14ac:dyDescent="0.25">
      <c r="A579" s="5" t="s">
        <v>689</v>
      </c>
      <c r="B579" s="3"/>
      <c r="C579" s="3"/>
    </row>
    <row r="580" spans="1:3" x14ac:dyDescent="0.25">
      <c r="A580" s="5" t="s">
        <v>690</v>
      </c>
      <c r="B580" s="3"/>
      <c r="C580" s="3"/>
    </row>
    <row r="581" spans="1:3" x14ac:dyDescent="0.25">
      <c r="A581" s="5" t="s">
        <v>691</v>
      </c>
      <c r="B581" s="3"/>
      <c r="C581" s="3"/>
    </row>
    <row r="582" spans="1:3" x14ac:dyDescent="0.25">
      <c r="A582" s="5" t="s">
        <v>692</v>
      </c>
      <c r="B582" s="3"/>
      <c r="C582" s="3"/>
    </row>
    <row r="583" spans="1:3" x14ac:dyDescent="0.25">
      <c r="A583" s="5" t="s">
        <v>693</v>
      </c>
      <c r="B583" s="3"/>
      <c r="C583" s="3"/>
    </row>
    <row r="584" spans="1:3" x14ac:dyDescent="0.25">
      <c r="A584" s="5" t="s">
        <v>694</v>
      </c>
      <c r="B584" s="3"/>
      <c r="C584" s="3"/>
    </row>
    <row r="585" spans="1:3" x14ac:dyDescent="0.25">
      <c r="A585" s="5" t="s">
        <v>695</v>
      </c>
      <c r="B585" s="3"/>
      <c r="C585" s="3"/>
    </row>
    <row r="586" spans="1:3" x14ac:dyDescent="0.25">
      <c r="A586" s="5" t="s">
        <v>696</v>
      </c>
      <c r="B586" s="3"/>
      <c r="C586" s="3"/>
    </row>
    <row r="587" spans="1:3" x14ac:dyDescent="0.25">
      <c r="A587" s="5" t="s">
        <v>697</v>
      </c>
      <c r="B587" s="3"/>
      <c r="C587" s="3"/>
    </row>
    <row r="588" spans="1:3" x14ac:dyDescent="0.25">
      <c r="A588" s="5" t="s">
        <v>698</v>
      </c>
      <c r="B588" s="3"/>
      <c r="C588" s="3"/>
    </row>
    <row r="589" spans="1:3" x14ac:dyDescent="0.25">
      <c r="A589" s="5" t="s">
        <v>699</v>
      </c>
      <c r="B589" s="3"/>
      <c r="C589" s="3"/>
    </row>
    <row r="590" spans="1:3" x14ac:dyDescent="0.25">
      <c r="A590" s="5" t="s">
        <v>700</v>
      </c>
      <c r="B590" s="3"/>
      <c r="C590" s="3"/>
    </row>
    <row r="591" spans="1:3" x14ac:dyDescent="0.25">
      <c r="A591" s="5" t="s">
        <v>701</v>
      </c>
      <c r="B591" s="3"/>
      <c r="C591" s="3"/>
    </row>
    <row r="592" spans="1:3" x14ac:dyDescent="0.25">
      <c r="A592" s="5" t="s">
        <v>702</v>
      </c>
      <c r="B592" s="3"/>
      <c r="C592" s="3"/>
    </row>
    <row r="593" spans="1:3" x14ac:dyDescent="0.25">
      <c r="A593" s="5" t="s">
        <v>703</v>
      </c>
      <c r="B593" s="3"/>
      <c r="C593" s="3"/>
    </row>
    <row r="594" spans="1:3" x14ac:dyDescent="0.25">
      <c r="A594" s="5" t="s">
        <v>704</v>
      </c>
      <c r="B594" s="3"/>
      <c r="C594" s="3"/>
    </row>
    <row r="595" spans="1:3" x14ac:dyDescent="0.25">
      <c r="A595" s="5" t="s">
        <v>705</v>
      </c>
      <c r="B595" s="3"/>
      <c r="C595" s="3"/>
    </row>
    <row r="596" spans="1:3" x14ac:dyDescent="0.25">
      <c r="A596" s="5" t="s">
        <v>706</v>
      </c>
      <c r="B596" s="3"/>
      <c r="C596" s="3"/>
    </row>
    <row r="597" spans="1:3" x14ac:dyDescent="0.25">
      <c r="A597" s="5" t="s">
        <v>707</v>
      </c>
      <c r="B597" s="3"/>
      <c r="C597" s="3"/>
    </row>
    <row r="598" spans="1:3" x14ac:dyDescent="0.25">
      <c r="A598" s="5" t="s">
        <v>708</v>
      </c>
      <c r="B598" s="3"/>
      <c r="C598" s="3"/>
    </row>
    <row r="599" spans="1:3" x14ac:dyDescent="0.25">
      <c r="A599" s="5" t="s">
        <v>709</v>
      </c>
      <c r="B599" s="3"/>
      <c r="C599" s="3"/>
    </row>
    <row r="600" spans="1:3" x14ac:dyDescent="0.25">
      <c r="A600" s="5" t="s">
        <v>710</v>
      </c>
      <c r="B600" s="3"/>
      <c r="C600" s="3"/>
    </row>
    <row r="601" spans="1:3" x14ac:dyDescent="0.25">
      <c r="A601" s="5" t="s">
        <v>711</v>
      </c>
      <c r="B601" s="3"/>
      <c r="C601" s="3"/>
    </row>
    <row r="602" spans="1:3" x14ac:dyDescent="0.25">
      <c r="A602" s="5" t="s">
        <v>712</v>
      </c>
      <c r="B602" s="3"/>
      <c r="C602" s="3"/>
    </row>
    <row r="603" spans="1:3" x14ac:dyDescent="0.25">
      <c r="A603" s="5" t="s">
        <v>713</v>
      </c>
      <c r="B603" s="3"/>
      <c r="C603" s="3"/>
    </row>
    <row r="604" spans="1:3" x14ac:dyDescent="0.25">
      <c r="A604" s="5" t="s">
        <v>714</v>
      </c>
      <c r="B604" s="3"/>
      <c r="C604" s="3"/>
    </row>
    <row r="605" spans="1:3" x14ac:dyDescent="0.25">
      <c r="A605" s="5" t="s">
        <v>715</v>
      </c>
      <c r="B605" s="3"/>
      <c r="C605" s="3"/>
    </row>
    <row r="606" spans="1:3" x14ac:dyDescent="0.25">
      <c r="A606" s="5" t="s">
        <v>716</v>
      </c>
      <c r="B606" s="3"/>
      <c r="C606" s="3"/>
    </row>
    <row r="607" spans="1:3" x14ac:dyDescent="0.25">
      <c r="A607" s="5" t="s">
        <v>717</v>
      </c>
      <c r="B607" s="3"/>
      <c r="C607" s="3"/>
    </row>
    <row r="608" spans="1:3" x14ac:dyDescent="0.25">
      <c r="A608" s="5" t="s">
        <v>718</v>
      </c>
      <c r="B608" s="3"/>
      <c r="C608" s="3"/>
    </row>
    <row r="609" spans="1:3" x14ac:dyDescent="0.25">
      <c r="A609" s="5" t="s">
        <v>719</v>
      </c>
      <c r="B609" s="3"/>
      <c r="C609" s="3"/>
    </row>
    <row r="610" spans="1:3" x14ac:dyDescent="0.25">
      <c r="A610" s="5" t="s">
        <v>720</v>
      </c>
      <c r="B610" s="3"/>
      <c r="C610" s="3"/>
    </row>
    <row r="611" spans="1:3" x14ac:dyDescent="0.25">
      <c r="A611" s="5" t="s">
        <v>721</v>
      </c>
      <c r="B611" s="3"/>
      <c r="C611" s="3"/>
    </row>
    <row r="612" spans="1:3" x14ac:dyDescent="0.25">
      <c r="A612" s="5" t="s">
        <v>722</v>
      </c>
      <c r="B612" s="3"/>
      <c r="C612" s="3"/>
    </row>
    <row r="613" spans="1:3" x14ac:dyDescent="0.25">
      <c r="A613" s="5" t="s">
        <v>723</v>
      </c>
      <c r="B613" s="3"/>
      <c r="C613" s="3"/>
    </row>
    <row r="614" spans="1:3" x14ac:dyDescent="0.25">
      <c r="A614" s="5" t="s">
        <v>724</v>
      </c>
      <c r="B614" s="3"/>
      <c r="C614" s="3"/>
    </row>
    <row r="615" spans="1:3" x14ac:dyDescent="0.25">
      <c r="A615" s="5" t="s">
        <v>725</v>
      </c>
      <c r="B615" s="3"/>
      <c r="C615" s="3"/>
    </row>
    <row r="616" spans="1:3" x14ac:dyDescent="0.25">
      <c r="A616" s="5" t="s">
        <v>726</v>
      </c>
      <c r="B616" s="3"/>
      <c r="C616" s="3"/>
    </row>
    <row r="617" spans="1:3" x14ac:dyDescent="0.25">
      <c r="A617" s="5" t="s">
        <v>727</v>
      </c>
      <c r="B617" s="3"/>
      <c r="C617" s="3"/>
    </row>
    <row r="618" spans="1:3" x14ac:dyDescent="0.25">
      <c r="A618" s="5" t="s">
        <v>728</v>
      </c>
      <c r="B618" s="3"/>
      <c r="C618" s="3"/>
    </row>
    <row r="619" spans="1:3" x14ac:dyDescent="0.25">
      <c r="A619" s="5" t="s">
        <v>729</v>
      </c>
      <c r="B619" s="3"/>
      <c r="C619" s="3"/>
    </row>
    <row r="620" spans="1:3" x14ac:dyDescent="0.25">
      <c r="A620" s="5" t="s">
        <v>730</v>
      </c>
      <c r="B620" s="3"/>
      <c r="C620" s="3"/>
    </row>
    <row r="621" spans="1:3" x14ac:dyDescent="0.25">
      <c r="A621" s="5" t="s">
        <v>731</v>
      </c>
      <c r="B621" s="3"/>
      <c r="C621" s="3"/>
    </row>
    <row r="622" spans="1:3" x14ac:dyDescent="0.25">
      <c r="A622" s="5" t="s">
        <v>732</v>
      </c>
      <c r="B622" s="3"/>
      <c r="C622" s="3"/>
    </row>
    <row r="623" spans="1:3" x14ac:dyDescent="0.25">
      <c r="A623" s="5" t="s">
        <v>733</v>
      </c>
      <c r="B623" s="3"/>
      <c r="C623" s="3"/>
    </row>
    <row r="624" spans="1:3" x14ac:dyDescent="0.25">
      <c r="A624" s="5" t="s">
        <v>734</v>
      </c>
      <c r="B624" s="3"/>
      <c r="C624" s="3"/>
    </row>
    <row r="625" spans="1:3" x14ac:dyDescent="0.25">
      <c r="A625" s="5" t="s">
        <v>735</v>
      </c>
      <c r="B625" s="3"/>
      <c r="C625" s="3"/>
    </row>
    <row r="626" spans="1:3" x14ac:dyDescent="0.25">
      <c r="A626" s="5" t="s">
        <v>736</v>
      </c>
      <c r="B626" s="3"/>
      <c r="C626" s="3"/>
    </row>
    <row r="627" spans="1:3" x14ac:dyDescent="0.25">
      <c r="A627" s="5" t="s">
        <v>737</v>
      </c>
      <c r="B627" s="3"/>
      <c r="C627" s="3"/>
    </row>
    <row r="628" spans="1:3" x14ac:dyDescent="0.25">
      <c r="A628" s="5" t="s">
        <v>738</v>
      </c>
      <c r="B628" s="3"/>
      <c r="C628" s="3"/>
    </row>
    <row r="629" spans="1:3" x14ac:dyDescent="0.25">
      <c r="A629" s="5" t="s">
        <v>739</v>
      </c>
      <c r="B629" s="3"/>
      <c r="C629" s="3"/>
    </row>
    <row r="630" spans="1:3" x14ac:dyDescent="0.25">
      <c r="A630" s="5" t="s">
        <v>740</v>
      </c>
      <c r="B630" s="3"/>
      <c r="C630" s="3"/>
    </row>
    <row r="631" spans="1:3" x14ac:dyDescent="0.25">
      <c r="A631" s="5" t="s">
        <v>741</v>
      </c>
      <c r="B631" s="3"/>
      <c r="C631" s="3"/>
    </row>
    <row r="632" spans="1:3" x14ac:dyDescent="0.25">
      <c r="A632" s="5" t="s">
        <v>742</v>
      </c>
      <c r="B632" s="3"/>
      <c r="C632" s="3"/>
    </row>
    <row r="633" spans="1:3" x14ac:dyDescent="0.25">
      <c r="A633" s="5" t="s">
        <v>743</v>
      </c>
      <c r="B633" s="3"/>
      <c r="C633" s="3"/>
    </row>
    <row r="634" spans="1:3" x14ac:dyDescent="0.25">
      <c r="A634" s="5" t="s">
        <v>744</v>
      </c>
      <c r="B634" s="3"/>
      <c r="C634" s="3"/>
    </row>
    <row r="635" spans="1:3" x14ac:dyDescent="0.25">
      <c r="A635" s="5" t="s">
        <v>745</v>
      </c>
      <c r="B635" s="3"/>
      <c r="C635" s="3"/>
    </row>
    <row r="636" spans="1:3" x14ac:dyDescent="0.25">
      <c r="A636" s="5" t="s">
        <v>746</v>
      </c>
      <c r="B636" s="3"/>
      <c r="C636" s="3"/>
    </row>
    <row r="637" spans="1:3" x14ac:dyDescent="0.25">
      <c r="A637" s="5" t="s">
        <v>747</v>
      </c>
      <c r="B637" s="3"/>
      <c r="C637" s="3"/>
    </row>
    <row r="638" spans="1:3" x14ac:dyDescent="0.25">
      <c r="A638" s="5" t="s">
        <v>748</v>
      </c>
      <c r="B638" s="3"/>
      <c r="C638" s="3"/>
    </row>
    <row r="639" spans="1:3" x14ac:dyDescent="0.25">
      <c r="A639" s="5" t="s">
        <v>749</v>
      </c>
      <c r="B639" s="3"/>
      <c r="C639" s="3"/>
    </row>
    <row r="640" spans="1:3" x14ac:dyDescent="0.25">
      <c r="A640" s="5" t="s">
        <v>750</v>
      </c>
      <c r="B640" s="3"/>
      <c r="C640" s="3"/>
    </row>
    <row r="641" spans="1:3" x14ac:dyDescent="0.25">
      <c r="A641" s="5" t="s">
        <v>751</v>
      </c>
      <c r="B641" s="3"/>
      <c r="C641" s="3"/>
    </row>
    <row r="642" spans="1:3" x14ac:dyDescent="0.25">
      <c r="A642" s="5" t="s">
        <v>752</v>
      </c>
      <c r="B642" s="3"/>
      <c r="C642" s="3"/>
    </row>
    <row r="643" spans="1:3" x14ac:dyDescent="0.25">
      <c r="A643" s="5" t="s">
        <v>753</v>
      </c>
      <c r="B643" s="3"/>
      <c r="C643" s="3"/>
    </row>
    <row r="644" spans="1:3" x14ac:dyDescent="0.25">
      <c r="A644" s="5" t="s">
        <v>754</v>
      </c>
      <c r="B644" s="3"/>
      <c r="C644" s="3"/>
    </row>
    <row r="645" spans="1:3" x14ac:dyDescent="0.25">
      <c r="A645" s="5" t="s">
        <v>755</v>
      </c>
      <c r="B645" s="3"/>
      <c r="C645" s="3"/>
    </row>
    <row r="646" spans="1:3" x14ac:dyDescent="0.25">
      <c r="A646" s="5" t="s">
        <v>756</v>
      </c>
      <c r="B646" s="3"/>
      <c r="C646" s="3"/>
    </row>
    <row r="647" spans="1:3" x14ac:dyDescent="0.25">
      <c r="A647" s="5" t="s">
        <v>757</v>
      </c>
      <c r="B647" s="3"/>
      <c r="C647" s="3"/>
    </row>
    <row r="648" spans="1:3" x14ac:dyDescent="0.25">
      <c r="A648" s="5" t="s">
        <v>758</v>
      </c>
      <c r="B648" s="3"/>
      <c r="C648" s="3"/>
    </row>
    <row r="649" spans="1:3" x14ac:dyDescent="0.25">
      <c r="A649" s="5" t="s">
        <v>759</v>
      </c>
      <c r="B649" s="3"/>
      <c r="C649" s="3"/>
    </row>
    <row r="650" spans="1:3" x14ac:dyDescent="0.25">
      <c r="A650" s="5" t="s">
        <v>760</v>
      </c>
      <c r="B650" s="3"/>
      <c r="C650" s="3"/>
    </row>
    <row r="651" spans="1:3" x14ac:dyDescent="0.25">
      <c r="A651" s="5" t="s">
        <v>761</v>
      </c>
      <c r="B651" s="3"/>
      <c r="C651" s="3"/>
    </row>
    <row r="652" spans="1:3" x14ac:dyDescent="0.25">
      <c r="A652" s="5" t="s">
        <v>762</v>
      </c>
      <c r="B652" s="3"/>
      <c r="C652" s="3"/>
    </row>
    <row r="653" spans="1:3" x14ac:dyDescent="0.25">
      <c r="A653" s="5" t="s">
        <v>763</v>
      </c>
      <c r="B653" s="3"/>
      <c r="C653" s="3"/>
    </row>
    <row r="654" spans="1:3" x14ac:dyDescent="0.25">
      <c r="A654" s="5" t="s">
        <v>764</v>
      </c>
      <c r="B654" s="3"/>
      <c r="C654" s="3"/>
    </row>
    <row r="655" spans="1:3" x14ac:dyDescent="0.25">
      <c r="A655" s="5" t="s">
        <v>765</v>
      </c>
      <c r="B655" s="3"/>
      <c r="C655" s="3"/>
    </row>
    <row r="656" spans="1:3" x14ac:dyDescent="0.25">
      <c r="A656" s="5" t="s">
        <v>766</v>
      </c>
      <c r="B656" s="3"/>
      <c r="C656" s="3"/>
    </row>
    <row r="657" spans="1:3" x14ac:dyDescent="0.25">
      <c r="A657" s="5" t="s">
        <v>767</v>
      </c>
      <c r="B657" s="3"/>
      <c r="C657" s="3"/>
    </row>
    <row r="658" spans="1:3" x14ac:dyDescent="0.25">
      <c r="A658" s="5" t="s">
        <v>768</v>
      </c>
      <c r="B658" s="3"/>
      <c r="C658" s="3"/>
    </row>
    <row r="659" spans="1:3" x14ac:dyDescent="0.25">
      <c r="A659" s="5" t="s">
        <v>769</v>
      </c>
      <c r="B659" s="3"/>
      <c r="C659" s="3"/>
    </row>
    <row r="660" spans="1:3" x14ac:dyDescent="0.25">
      <c r="A660" s="5" t="s">
        <v>770</v>
      </c>
      <c r="B660" s="3"/>
      <c r="C660" s="3"/>
    </row>
    <row r="661" spans="1:3" x14ac:dyDescent="0.25">
      <c r="A661" s="5" t="s">
        <v>771</v>
      </c>
      <c r="B661" s="3"/>
      <c r="C661" s="3"/>
    </row>
    <row r="662" spans="1:3" x14ac:dyDescent="0.25">
      <c r="A662" s="5" t="s">
        <v>772</v>
      </c>
      <c r="B662" s="3"/>
      <c r="C662" s="3"/>
    </row>
    <row r="663" spans="1:3" x14ac:dyDescent="0.25">
      <c r="A663" s="5" t="s">
        <v>773</v>
      </c>
      <c r="B663" s="3"/>
      <c r="C663" s="3"/>
    </row>
    <row r="664" spans="1:3" x14ac:dyDescent="0.25">
      <c r="A664" s="5" t="s">
        <v>774</v>
      </c>
      <c r="B664" s="3"/>
      <c r="C664" s="3"/>
    </row>
    <row r="665" spans="1:3" x14ac:dyDescent="0.25">
      <c r="A665" s="5" t="s">
        <v>775</v>
      </c>
      <c r="B665" s="3"/>
      <c r="C665" s="3"/>
    </row>
    <row r="666" spans="1:3" x14ac:dyDescent="0.25">
      <c r="A666" s="5" t="s">
        <v>776</v>
      </c>
      <c r="B666" s="3"/>
      <c r="C666" s="3"/>
    </row>
    <row r="667" spans="1:3" x14ac:dyDescent="0.25">
      <c r="A667" s="5" t="s">
        <v>777</v>
      </c>
      <c r="B667" s="3"/>
      <c r="C667" s="3"/>
    </row>
    <row r="668" spans="1:3" x14ac:dyDescent="0.25">
      <c r="A668" s="5" t="s">
        <v>778</v>
      </c>
      <c r="B668" s="3"/>
      <c r="C668" s="3"/>
    </row>
    <row r="669" spans="1:3" x14ac:dyDescent="0.25">
      <c r="A669" s="5" t="s">
        <v>779</v>
      </c>
      <c r="B669" s="3"/>
      <c r="C669" s="3"/>
    </row>
    <row r="670" spans="1:3" x14ac:dyDescent="0.25">
      <c r="A670" s="5" t="s">
        <v>780</v>
      </c>
      <c r="B670" s="3"/>
      <c r="C670" s="3"/>
    </row>
    <row r="671" spans="1:3" x14ac:dyDescent="0.25">
      <c r="A671" s="5" t="s">
        <v>781</v>
      </c>
      <c r="B671" s="3"/>
      <c r="C671" s="3"/>
    </row>
    <row r="672" spans="1:3" x14ac:dyDescent="0.25">
      <c r="A672" s="5" t="s">
        <v>782</v>
      </c>
      <c r="B672" s="3"/>
      <c r="C672" s="3"/>
    </row>
    <row r="673" spans="1:3" x14ac:dyDescent="0.25">
      <c r="A673" s="5" t="s">
        <v>783</v>
      </c>
      <c r="B673" s="3"/>
      <c r="C673" s="3"/>
    </row>
    <row r="674" spans="1:3" x14ac:dyDescent="0.25">
      <c r="A674" s="5" t="s">
        <v>784</v>
      </c>
      <c r="B674" s="3"/>
      <c r="C674" s="3"/>
    </row>
    <row r="675" spans="1:3" x14ac:dyDescent="0.25">
      <c r="A675" s="5" t="s">
        <v>785</v>
      </c>
      <c r="B675" s="3"/>
      <c r="C675" s="3"/>
    </row>
    <row r="676" spans="1:3" x14ac:dyDescent="0.25">
      <c r="A676" s="5" t="s">
        <v>786</v>
      </c>
      <c r="B676" s="3"/>
      <c r="C676" s="3"/>
    </row>
    <row r="677" spans="1:3" x14ac:dyDescent="0.25">
      <c r="A677" s="5" t="s">
        <v>787</v>
      </c>
      <c r="B677" s="3"/>
      <c r="C677" s="3"/>
    </row>
    <row r="678" spans="1:3" x14ac:dyDescent="0.25">
      <c r="A678" s="5" t="s">
        <v>788</v>
      </c>
      <c r="B678" s="3"/>
      <c r="C678" s="3"/>
    </row>
    <row r="679" spans="1:3" x14ac:dyDescent="0.25">
      <c r="A679" s="5" t="s">
        <v>789</v>
      </c>
      <c r="B679" s="3"/>
      <c r="C679" s="3"/>
    </row>
    <row r="680" spans="1:3" x14ac:dyDescent="0.25">
      <c r="A680" s="5" t="s">
        <v>790</v>
      </c>
      <c r="B680" s="3"/>
      <c r="C680" s="3"/>
    </row>
    <row r="681" spans="1:3" x14ac:dyDescent="0.25">
      <c r="A681" s="5" t="s">
        <v>791</v>
      </c>
      <c r="B681" s="3"/>
      <c r="C681" s="3"/>
    </row>
    <row r="682" spans="1:3" x14ac:dyDescent="0.25">
      <c r="A682" s="5" t="s">
        <v>792</v>
      </c>
      <c r="B682" s="3"/>
      <c r="C682" s="3"/>
    </row>
    <row r="683" spans="1:3" x14ac:dyDescent="0.25">
      <c r="A683" s="5" t="s">
        <v>793</v>
      </c>
      <c r="B683" s="3"/>
      <c r="C683" s="3"/>
    </row>
    <row r="684" spans="1:3" x14ac:dyDescent="0.25">
      <c r="A684" s="5" t="s">
        <v>794</v>
      </c>
      <c r="B684" s="3"/>
      <c r="C684" s="3"/>
    </row>
    <row r="685" spans="1:3" x14ac:dyDescent="0.25">
      <c r="A685" s="5" t="s">
        <v>795</v>
      </c>
      <c r="B685" s="3"/>
      <c r="C685" s="3"/>
    </row>
    <row r="686" spans="1:3" x14ac:dyDescent="0.25">
      <c r="A686" s="5" t="s">
        <v>796</v>
      </c>
      <c r="B686" s="3"/>
      <c r="C686" s="3"/>
    </row>
    <row r="687" spans="1:3" x14ac:dyDescent="0.25">
      <c r="A687" s="5" t="s">
        <v>797</v>
      </c>
      <c r="B687" s="3"/>
      <c r="C687" s="3"/>
    </row>
    <row r="688" spans="1:3" x14ac:dyDescent="0.25">
      <c r="A688" s="5" t="s">
        <v>798</v>
      </c>
      <c r="B688" s="3"/>
      <c r="C688" s="3"/>
    </row>
    <row r="689" spans="1:3" x14ac:dyDescent="0.25">
      <c r="A689" s="5" t="s">
        <v>799</v>
      </c>
      <c r="B689" s="3"/>
      <c r="C689" s="3"/>
    </row>
    <row r="690" spans="1:3" x14ac:dyDescent="0.25">
      <c r="A690" s="5" t="s">
        <v>800</v>
      </c>
      <c r="B690" s="3"/>
      <c r="C690" s="3"/>
    </row>
    <row r="691" spans="1:3" x14ac:dyDescent="0.25">
      <c r="A691" s="5" t="s">
        <v>801</v>
      </c>
      <c r="B691" s="3"/>
      <c r="C691" s="3"/>
    </row>
    <row r="692" spans="1:3" x14ac:dyDescent="0.25">
      <c r="A692" s="5" t="s">
        <v>802</v>
      </c>
      <c r="B692" s="3"/>
      <c r="C692" s="3"/>
    </row>
    <row r="693" spans="1:3" x14ac:dyDescent="0.25">
      <c r="A693" s="5" t="s">
        <v>803</v>
      </c>
      <c r="B693" s="3"/>
      <c r="C693" s="3"/>
    </row>
    <row r="694" spans="1:3" x14ac:dyDescent="0.25">
      <c r="A694" s="5" t="s">
        <v>804</v>
      </c>
      <c r="B694" s="3"/>
      <c r="C694" s="3"/>
    </row>
    <row r="695" spans="1:3" x14ac:dyDescent="0.25">
      <c r="A695" s="5" t="s">
        <v>805</v>
      </c>
      <c r="B695" s="3"/>
      <c r="C695" s="3"/>
    </row>
    <row r="696" spans="1:3" x14ac:dyDescent="0.25">
      <c r="A696" s="5" t="s">
        <v>806</v>
      </c>
      <c r="B696" s="3"/>
      <c r="C696" s="3"/>
    </row>
    <row r="697" spans="1:3" x14ac:dyDescent="0.25">
      <c r="A697" s="5" t="s">
        <v>807</v>
      </c>
      <c r="B697" s="3"/>
      <c r="C697" s="3"/>
    </row>
    <row r="698" spans="1:3" x14ac:dyDescent="0.25">
      <c r="A698" s="5" t="s">
        <v>808</v>
      </c>
      <c r="B698" s="3"/>
      <c r="C698" s="3"/>
    </row>
    <row r="699" spans="1:3" x14ac:dyDescent="0.25">
      <c r="A699" s="5" t="s">
        <v>809</v>
      </c>
      <c r="B699" s="3"/>
      <c r="C699" s="3"/>
    </row>
    <row r="700" spans="1:3" x14ac:dyDescent="0.25">
      <c r="A700" s="5" t="s">
        <v>810</v>
      </c>
      <c r="B700" s="3"/>
      <c r="C700" s="3"/>
    </row>
    <row r="701" spans="1:3" x14ac:dyDescent="0.25">
      <c r="A701" s="5" t="s">
        <v>811</v>
      </c>
      <c r="B701" s="3"/>
      <c r="C701" s="3"/>
    </row>
    <row r="702" spans="1:3" x14ac:dyDescent="0.25">
      <c r="A702" s="5" t="s">
        <v>812</v>
      </c>
      <c r="B702" s="3"/>
      <c r="C702" s="3"/>
    </row>
    <row r="703" spans="1:3" x14ac:dyDescent="0.25">
      <c r="A703" s="5" t="s">
        <v>813</v>
      </c>
      <c r="B703" s="3"/>
      <c r="C703" s="3"/>
    </row>
    <row r="704" spans="1:3" x14ac:dyDescent="0.25">
      <c r="A704" s="5" t="s">
        <v>814</v>
      </c>
      <c r="B704" s="3"/>
      <c r="C704" s="3"/>
    </row>
    <row r="705" spans="1:3" x14ac:dyDescent="0.25">
      <c r="A705" s="5" t="s">
        <v>815</v>
      </c>
      <c r="B705" s="3"/>
      <c r="C705" s="3"/>
    </row>
    <row r="706" spans="1:3" x14ac:dyDescent="0.25">
      <c r="A706" s="5" t="s">
        <v>816</v>
      </c>
      <c r="B706" s="3"/>
      <c r="C706" s="3"/>
    </row>
    <row r="707" spans="1:3" x14ac:dyDescent="0.25">
      <c r="A707" s="5" t="s">
        <v>817</v>
      </c>
      <c r="B707" s="3"/>
      <c r="C707" s="3"/>
    </row>
    <row r="708" spans="1:3" x14ac:dyDescent="0.25">
      <c r="A708" s="5" t="s">
        <v>818</v>
      </c>
      <c r="B708" s="3"/>
      <c r="C708" s="3"/>
    </row>
    <row r="709" spans="1:3" x14ac:dyDescent="0.25">
      <c r="A709" s="5" t="s">
        <v>819</v>
      </c>
      <c r="B709" s="3"/>
      <c r="C709" s="3"/>
    </row>
    <row r="710" spans="1:3" x14ac:dyDescent="0.25">
      <c r="A710" s="5" t="s">
        <v>820</v>
      </c>
      <c r="B710" s="3"/>
      <c r="C710" s="3"/>
    </row>
    <row r="711" spans="1:3" x14ac:dyDescent="0.25">
      <c r="A711" s="5" t="s">
        <v>821</v>
      </c>
      <c r="B711" s="3"/>
      <c r="C711" s="3"/>
    </row>
    <row r="712" spans="1:3" x14ac:dyDescent="0.25">
      <c r="A712" s="5" t="s">
        <v>822</v>
      </c>
      <c r="B712" s="3"/>
      <c r="C712" s="3"/>
    </row>
    <row r="713" spans="1:3" x14ac:dyDescent="0.25">
      <c r="A713" s="5" t="s">
        <v>823</v>
      </c>
      <c r="B713" s="3"/>
      <c r="C713" s="3"/>
    </row>
    <row r="714" spans="1:3" x14ac:dyDescent="0.25">
      <c r="A714" s="5" t="s">
        <v>824</v>
      </c>
      <c r="B714" s="3"/>
      <c r="C714" s="3"/>
    </row>
    <row r="715" spans="1:3" x14ac:dyDescent="0.25">
      <c r="A715" s="5" t="s">
        <v>825</v>
      </c>
      <c r="B715" s="3"/>
      <c r="C715" s="3"/>
    </row>
    <row r="716" spans="1:3" x14ac:dyDescent="0.25">
      <c r="A716" s="5" t="s">
        <v>826</v>
      </c>
      <c r="B716" s="3"/>
      <c r="C716" s="3"/>
    </row>
    <row r="717" spans="1:3" x14ac:dyDescent="0.25">
      <c r="A717" s="5" t="s">
        <v>827</v>
      </c>
      <c r="B717" s="3"/>
      <c r="C717" s="3"/>
    </row>
    <row r="718" spans="1:3" x14ac:dyDescent="0.25">
      <c r="A718" s="5" t="s">
        <v>828</v>
      </c>
      <c r="B718" s="3"/>
      <c r="C718" s="3"/>
    </row>
    <row r="719" spans="1:3" x14ac:dyDescent="0.25">
      <c r="A719" s="5" t="s">
        <v>829</v>
      </c>
      <c r="B719" s="3"/>
      <c r="C719" s="3"/>
    </row>
    <row r="720" spans="1:3" x14ac:dyDescent="0.25">
      <c r="A720" s="5" t="s">
        <v>830</v>
      </c>
      <c r="B720" s="3"/>
      <c r="C720" s="3"/>
    </row>
    <row r="721" spans="1:3" x14ac:dyDescent="0.25">
      <c r="A721" s="5" t="s">
        <v>831</v>
      </c>
      <c r="B721" s="3"/>
      <c r="C721" s="3"/>
    </row>
    <row r="722" spans="1:3" x14ac:dyDescent="0.25">
      <c r="A722" s="5" t="s">
        <v>832</v>
      </c>
      <c r="B722" s="3"/>
      <c r="C722" s="3"/>
    </row>
    <row r="723" spans="1:3" x14ac:dyDescent="0.25">
      <c r="A723" s="5" t="s">
        <v>833</v>
      </c>
      <c r="B723" s="3"/>
      <c r="C723" s="3"/>
    </row>
    <row r="724" spans="1:3" x14ac:dyDescent="0.25">
      <c r="A724" s="5" t="s">
        <v>834</v>
      </c>
      <c r="B724" s="3"/>
      <c r="C724" s="3"/>
    </row>
    <row r="725" spans="1:3" x14ac:dyDescent="0.25">
      <c r="A725" s="5" t="s">
        <v>835</v>
      </c>
      <c r="B725" s="3"/>
      <c r="C725" s="3"/>
    </row>
    <row r="726" spans="1:3" x14ac:dyDescent="0.25">
      <c r="A726" s="5" t="s">
        <v>836</v>
      </c>
      <c r="B726" s="3"/>
      <c r="C726" s="3"/>
    </row>
    <row r="727" spans="1:3" x14ac:dyDescent="0.25">
      <c r="A727" s="5" t="s">
        <v>837</v>
      </c>
      <c r="B727" s="3"/>
      <c r="C727" s="3"/>
    </row>
    <row r="728" spans="1:3" x14ac:dyDescent="0.25">
      <c r="A728" s="5" t="s">
        <v>838</v>
      </c>
      <c r="B728" s="3"/>
      <c r="C728" s="3"/>
    </row>
    <row r="729" spans="1:3" x14ac:dyDescent="0.25">
      <c r="A729" s="5" t="s">
        <v>839</v>
      </c>
      <c r="B729" s="3"/>
      <c r="C729" s="3"/>
    </row>
    <row r="730" spans="1:3" x14ac:dyDescent="0.25">
      <c r="A730" s="5" t="s">
        <v>840</v>
      </c>
      <c r="B730" s="3"/>
      <c r="C730" s="3"/>
    </row>
    <row r="731" spans="1:3" x14ac:dyDescent="0.25">
      <c r="A731" s="5" t="s">
        <v>841</v>
      </c>
      <c r="B731" s="3"/>
      <c r="C731" s="3"/>
    </row>
    <row r="732" spans="1:3" x14ac:dyDescent="0.25">
      <c r="A732" s="5" t="s">
        <v>842</v>
      </c>
      <c r="B732" s="3"/>
      <c r="C732" s="3"/>
    </row>
    <row r="733" spans="1:3" x14ac:dyDescent="0.25">
      <c r="A733" s="5" t="s">
        <v>843</v>
      </c>
      <c r="B733" s="3"/>
      <c r="C733" s="3"/>
    </row>
    <row r="734" spans="1:3" x14ac:dyDescent="0.25">
      <c r="A734" s="5" t="s">
        <v>844</v>
      </c>
      <c r="B734" s="3"/>
      <c r="C734" s="3"/>
    </row>
    <row r="735" spans="1:3" x14ac:dyDescent="0.25">
      <c r="A735" s="5" t="s">
        <v>845</v>
      </c>
      <c r="B735" s="3"/>
      <c r="C735" s="3"/>
    </row>
    <row r="736" spans="1:3" x14ac:dyDescent="0.25">
      <c r="A736" s="5" t="s">
        <v>846</v>
      </c>
      <c r="B736" s="3"/>
      <c r="C736" s="3"/>
    </row>
    <row r="737" spans="1:3" x14ac:dyDescent="0.25">
      <c r="A737" s="5" t="s">
        <v>847</v>
      </c>
      <c r="B737" s="3"/>
      <c r="C737" s="3"/>
    </row>
    <row r="738" spans="1:3" x14ac:dyDescent="0.25">
      <c r="A738" s="5" t="s">
        <v>848</v>
      </c>
      <c r="B738" s="3"/>
      <c r="C738" s="3"/>
    </row>
    <row r="739" spans="1:3" x14ac:dyDescent="0.25">
      <c r="A739" s="5" t="s">
        <v>849</v>
      </c>
      <c r="B739" s="3"/>
      <c r="C739" s="3"/>
    </row>
    <row r="740" spans="1:3" x14ac:dyDescent="0.25">
      <c r="A740" s="5" t="s">
        <v>850</v>
      </c>
      <c r="B740" s="3"/>
      <c r="C740" s="3"/>
    </row>
    <row r="741" spans="1:3" x14ac:dyDescent="0.25">
      <c r="A741" s="5" t="s">
        <v>851</v>
      </c>
      <c r="B741" s="3"/>
      <c r="C741" s="3"/>
    </row>
    <row r="742" spans="1:3" x14ac:dyDescent="0.25">
      <c r="A742" s="5" t="s">
        <v>852</v>
      </c>
      <c r="B742" s="3"/>
      <c r="C742" s="3"/>
    </row>
    <row r="743" spans="1:3" x14ac:dyDescent="0.25">
      <c r="A743" s="5" t="s">
        <v>853</v>
      </c>
      <c r="B743" s="3"/>
      <c r="C743" s="3"/>
    </row>
    <row r="744" spans="1:3" x14ac:dyDescent="0.25">
      <c r="A744" s="5" t="s">
        <v>854</v>
      </c>
      <c r="B744" s="3"/>
      <c r="C744" s="3"/>
    </row>
    <row r="745" spans="1:3" x14ac:dyDescent="0.25">
      <c r="A745" s="5" t="s">
        <v>855</v>
      </c>
      <c r="B745" s="3"/>
      <c r="C745" s="3"/>
    </row>
    <row r="746" spans="1:3" x14ac:dyDescent="0.25">
      <c r="A746" s="5" t="s">
        <v>856</v>
      </c>
      <c r="B746" s="3"/>
      <c r="C746" s="3"/>
    </row>
    <row r="747" spans="1:3" x14ac:dyDescent="0.25">
      <c r="A747" s="5" t="s">
        <v>857</v>
      </c>
      <c r="B747" s="3"/>
      <c r="C747" s="3"/>
    </row>
    <row r="748" spans="1:3" x14ac:dyDescent="0.25">
      <c r="A748" s="5" t="s">
        <v>858</v>
      </c>
      <c r="B748" s="3"/>
      <c r="C748" s="3"/>
    </row>
    <row r="749" spans="1:3" x14ac:dyDescent="0.25">
      <c r="A749" s="5" t="s">
        <v>859</v>
      </c>
      <c r="B749" s="3"/>
      <c r="C749" s="3"/>
    </row>
    <row r="750" spans="1:3" x14ac:dyDescent="0.25">
      <c r="A750" s="5" t="s">
        <v>860</v>
      </c>
      <c r="B750" s="3"/>
      <c r="C750" s="3"/>
    </row>
    <row r="751" spans="1:3" x14ac:dyDescent="0.25">
      <c r="A751" s="5" t="s">
        <v>861</v>
      </c>
      <c r="B751" s="3"/>
      <c r="C751" s="3"/>
    </row>
    <row r="752" spans="1:3" x14ac:dyDescent="0.25">
      <c r="A752" s="5" t="s">
        <v>862</v>
      </c>
      <c r="B752" s="3"/>
      <c r="C752" s="3"/>
    </row>
    <row r="753" spans="1:3" x14ac:dyDescent="0.25">
      <c r="A753" s="5" t="s">
        <v>863</v>
      </c>
      <c r="B753" s="3"/>
      <c r="C753" s="3"/>
    </row>
    <row r="754" spans="1:3" x14ac:dyDescent="0.25">
      <c r="A754" s="5" t="s">
        <v>864</v>
      </c>
      <c r="B754" s="3"/>
      <c r="C754" s="3"/>
    </row>
    <row r="755" spans="1:3" x14ac:dyDescent="0.25">
      <c r="A755" s="5" t="s">
        <v>865</v>
      </c>
      <c r="B755" s="3"/>
      <c r="C755" s="3"/>
    </row>
    <row r="756" spans="1:3" x14ac:dyDescent="0.25">
      <c r="A756" s="5" t="s">
        <v>866</v>
      </c>
      <c r="B756" s="3"/>
      <c r="C756" s="3"/>
    </row>
    <row r="757" spans="1:3" x14ac:dyDescent="0.25">
      <c r="A757" s="5" t="s">
        <v>867</v>
      </c>
      <c r="B757" s="3"/>
      <c r="C757" s="3"/>
    </row>
    <row r="758" spans="1:3" x14ac:dyDescent="0.25">
      <c r="A758" s="5" t="s">
        <v>868</v>
      </c>
      <c r="B758" s="3"/>
      <c r="C758" s="3"/>
    </row>
    <row r="759" spans="1:3" x14ac:dyDescent="0.25">
      <c r="A759" s="5" t="s">
        <v>869</v>
      </c>
      <c r="B759" s="3"/>
      <c r="C759" s="3"/>
    </row>
    <row r="760" spans="1:3" x14ac:dyDescent="0.25">
      <c r="A760" s="5" t="s">
        <v>870</v>
      </c>
      <c r="B760" s="3"/>
      <c r="C760" s="3"/>
    </row>
    <row r="761" spans="1:3" x14ac:dyDescent="0.25">
      <c r="A761" s="5" t="s">
        <v>871</v>
      </c>
      <c r="B761" s="3"/>
      <c r="C761" s="3"/>
    </row>
    <row r="762" spans="1:3" x14ac:dyDescent="0.25">
      <c r="A762" s="5" t="s">
        <v>872</v>
      </c>
      <c r="B762" s="3"/>
      <c r="C762" s="3"/>
    </row>
    <row r="763" spans="1:3" x14ac:dyDescent="0.25">
      <c r="A763" s="5" t="s">
        <v>873</v>
      </c>
      <c r="B763" s="3"/>
      <c r="C763" s="3"/>
    </row>
    <row r="764" spans="1:3" x14ac:dyDescent="0.25">
      <c r="A764" s="5" t="s">
        <v>874</v>
      </c>
      <c r="B764" s="3"/>
      <c r="C764" s="3"/>
    </row>
    <row r="765" spans="1:3" x14ac:dyDescent="0.25">
      <c r="A765" s="5" t="s">
        <v>875</v>
      </c>
      <c r="B765" s="3"/>
      <c r="C765" s="3"/>
    </row>
    <row r="766" spans="1:3" x14ac:dyDescent="0.25">
      <c r="A766" s="5" t="s">
        <v>876</v>
      </c>
      <c r="B766" s="3"/>
      <c r="C766" s="3"/>
    </row>
    <row r="767" spans="1:3" x14ac:dyDescent="0.25">
      <c r="A767" s="5" t="s">
        <v>877</v>
      </c>
      <c r="B767" s="3"/>
      <c r="C767" s="3"/>
    </row>
    <row r="768" spans="1:3" x14ac:dyDescent="0.25">
      <c r="A768" s="5" t="s">
        <v>878</v>
      </c>
      <c r="B768" s="3"/>
      <c r="C768" s="3"/>
    </row>
    <row r="769" spans="1:3" x14ac:dyDescent="0.25">
      <c r="A769" s="5" t="s">
        <v>879</v>
      </c>
      <c r="B769" s="3"/>
      <c r="C769" s="3"/>
    </row>
    <row r="770" spans="1:3" x14ac:dyDescent="0.25">
      <c r="A770" s="5" t="s">
        <v>880</v>
      </c>
      <c r="B770" s="3"/>
      <c r="C770" s="3"/>
    </row>
    <row r="771" spans="1:3" x14ac:dyDescent="0.25">
      <c r="A771" s="5" t="s">
        <v>881</v>
      </c>
      <c r="B771" s="3"/>
      <c r="C771" s="3"/>
    </row>
    <row r="772" spans="1:3" x14ac:dyDescent="0.25">
      <c r="A772" s="5" t="s">
        <v>882</v>
      </c>
      <c r="B772" s="3"/>
      <c r="C772" s="3"/>
    </row>
    <row r="773" spans="1:3" x14ac:dyDescent="0.25">
      <c r="A773" s="5" t="s">
        <v>883</v>
      </c>
      <c r="B773" s="3"/>
      <c r="C773" s="3"/>
    </row>
    <row r="774" spans="1:3" x14ac:dyDescent="0.25">
      <c r="A774" s="5" t="s">
        <v>884</v>
      </c>
      <c r="B774" s="3"/>
      <c r="C774" s="3"/>
    </row>
    <row r="775" spans="1:3" x14ac:dyDescent="0.25">
      <c r="A775" s="5" t="s">
        <v>885</v>
      </c>
      <c r="B775" s="3"/>
      <c r="C775" s="3"/>
    </row>
    <row r="776" spans="1:3" x14ac:dyDescent="0.25">
      <c r="A776" s="5" t="s">
        <v>886</v>
      </c>
      <c r="B776" s="3"/>
      <c r="C776" s="3"/>
    </row>
    <row r="777" spans="1:3" x14ac:dyDescent="0.25">
      <c r="A777" s="5" t="s">
        <v>887</v>
      </c>
      <c r="B777" s="3"/>
      <c r="C777" s="3"/>
    </row>
    <row r="778" spans="1:3" x14ac:dyDescent="0.25">
      <c r="A778" s="5" t="s">
        <v>888</v>
      </c>
      <c r="B778" s="3"/>
      <c r="C778" s="3"/>
    </row>
    <row r="779" spans="1:3" x14ac:dyDescent="0.25">
      <c r="A779" s="5" t="s">
        <v>889</v>
      </c>
      <c r="B779" s="3"/>
      <c r="C779" s="3"/>
    </row>
    <row r="780" spans="1:3" x14ac:dyDescent="0.25">
      <c r="A780" s="5" t="s">
        <v>890</v>
      </c>
      <c r="B780" s="3"/>
      <c r="C780" s="3"/>
    </row>
    <row r="781" spans="1:3" x14ac:dyDescent="0.25">
      <c r="A781" s="5" t="s">
        <v>891</v>
      </c>
      <c r="B781" s="3"/>
      <c r="C781" s="3"/>
    </row>
    <row r="782" spans="1:3" x14ac:dyDescent="0.25">
      <c r="A782" s="5" t="s">
        <v>892</v>
      </c>
      <c r="B782" s="3"/>
      <c r="C782" s="3"/>
    </row>
    <row r="783" spans="1:3" x14ac:dyDescent="0.25">
      <c r="A783" s="5" t="s">
        <v>893</v>
      </c>
      <c r="B783" s="3"/>
      <c r="C783" s="3"/>
    </row>
    <row r="784" spans="1:3" x14ac:dyDescent="0.25">
      <c r="A784" s="5" t="s">
        <v>894</v>
      </c>
      <c r="B784" s="3"/>
      <c r="C784" s="3"/>
    </row>
    <row r="785" spans="1:3" x14ac:dyDescent="0.25">
      <c r="A785" s="5" t="s">
        <v>895</v>
      </c>
      <c r="B785" s="3"/>
      <c r="C785" s="3"/>
    </row>
    <row r="786" spans="1:3" x14ac:dyDescent="0.25">
      <c r="A786" s="5" t="s">
        <v>896</v>
      </c>
      <c r="B786" s="3"/>
      <c r="C786" s="3"/>
    </row>
    <row r="787" spans="1:3" x14ac:dyDescent="0.25">
      <c r="A787" s="5" t="s">
        <v>897</v>
      </c>
      <c r="B787" s="3"/>
      <c r="C787" s="3"/>
    </row>
    <row r="788" spans="1:3" x14ac:dyDescent="0.25">
      <c r="A788" s="5" t="s">
        <v>898</v>
      </c>
      <c r="B788" s="3"/>
      <c r="C788" s="3"/>
    </row>
    <row r="789" spans="1:3" x14ac:dyDescent="0.25">
      <c r="A789" s="5" t="s">
        <v>899</v>
      </c>
      <c r="B789" s="3"/>
      <c r="C789" s="3"/>
    </row>
    <row r="790" spans="1:3" x14ac:dyDescent="0.25">
      <c r="A790" s="5" t="s">
        <v>900</v>
      </c>
      <c r="B790" s="3"/>
      <c r="C790" s="3"/>
    </row>
    <row r="791" spans="1:3" x14ac:dyDescent="0.25">
      <c r="A791" s="5" t="s">
        <v>901</v>
      </c>
      <c r="B791" s="3"/>
      <c r="C791" s="3"/>
    </row>
    <row r="792" spans="1:3" x14ac:dyDescent="0.25">
      <c r="A792" s="5" t="s">
        <v>902</v>
      </c>
      <c r="B792" s="3"/>
      <c r="C792" s="3"/>
    </row>
    <row r="793" spans="1:3" x14ac:dyDescent="0.25">
      <c r="A793" s="5" t="s">
        <v>903</v>
      </c>
      <c r="B793" s="3"/>
      <c r="C793" s="3"/>
    </row>
    <row r="794" spans="1:3" x14ac:dyDescent="0.25">
      <c r="A794" s="5" t="s">
        <v>904</v>
      </c>
      <c r="B794" s="3"/>
      <c r="C794" s="3"/>
    </row>
    <row r="795" spans="1:3" x14ac:dyDescent="0.25">
      <c r="A795" s="5" t="s">
        <v>905</v>
      </c>
      <c r="B795" s="3"/>
      <c r="C795" s="3"/>
    </row>
    <row r="796" spans="1:3" x14ac:dyDescent="0.25">
      <c r="A796" s="5" t="s">
        <v>906</v>
      </c>
      <c r="B796" s="3"/>
      <c r="C796" s="3"/>
    </row>
    <row r="797" spans="1:3" x14ac:dyDescent="0.25">
      <c r="A797" s="5" t="s">
        <v>907</v>
      </c>
      <c r="B797" s="3"/>
      <c r="C797" s="3"/>
    </row>
    <row r="798" spans="1:3" x14ac:dyDescent="0.25">
      <c r="A798" s="5" t="s">
        <v>908</v>
      </c>
      <c r="B798" s="3"/>
      <c r="C798" s="3"/>
    </row>
    <row r="799" spans="1:3" x14ac:dyDescent="0.25">
      <c r="A799" s="5" t="s">
        <v>909</v>
      </c>
      <c r="B799" s="3"/>
      <c r="C799" s="3"/>
    </row>
    <row r="800" spans="1:3" x14ac:dyDescent="0.25">
      <c r="A800" s="5" t="s">
        <v>910</v>
      </c>
      <c r="B800" s="3"/>
      <c r="C800" s="3"/>
    </row>
    <row r="801" spans="1:3" x14ac:dyDescent="0.25">
      <c r="A801" s="5" t="s">
        <v>911</v>
      </c>
      <c r="B801" s="3"/>
      <c r="C801" s="3"/>
    </row>
    <row r="802" spans="1:3" x14ac:dyDescent="0.25">
      <c r="A802" s="5" t="s">
        <v>912</v>
      </c>
      <c r="B802" s="3"/>
      <c r="C802" s="3"/>
    </row>
    <row r="803" spans="1:3" x14ac:dyDescent="0.25">
      <c r="A803" s="5" t="s">
        <v>913</v>
      </c>
      <c r="B803" s="3"/>
      <c r="C803" s="3"/>
    </row>
    <row r="804" spans="1:3" x14ac:dyDescent="0.25">
      <c r="A804" s="5" t="s">
        <v>914</v>
      </c>
      <c r="B804" s="3"/>
      <c r="C804" s="3"/>
    </row>
    <row r="805" spans="1:3" x14ac:dyDescent="0.25">
      <c r="A805" s="5" t="s">
        <v>915</v>
      </c>
      <c r="B805" s="3"/>
      <c r="C805" s="3"/>
    </row>
    <row r="806" spans="1:3" x14ac:dyDescent="0.25">
      <c r="A806" s="5" t="s">
        <v>916</v>
      </c>
      <c r="B806" s="3"/>
      <c r="C806" s="3"/>
    </row>
    <row r="807" spans="1:3" x14ac:dyDescent="0.25">
      <c r="A807" s="5" t="s">
        <v>917</v>
      </c>
      <c r="B807" s="3"/>
      <c r="C807" s="3"/>
    </row>
    <row r="808" spans="1:3" x14ac:dyDescent="0.25">
      <c r="A808" s="5" t="s">
        <v>918</v>
      </c>
      <c r="B808" s="3"/>
      <c r="C808" s="3"/>
    </row>
    <row r="809" spans="1:3" x14ac:dyDescent="0.25">
      <c r="A809" s="5" t="s">
        <v>919</v>
      </c>
      <c r="B809" s="3"/>
      <c r="C809" s="3"/>
    </row>
    <row r="810" spans="1:3" x14ac:dyDescent="0.25">
      <c r="A810" s="5" t="s">
        <v>920</v>
      </c>
      <c r="B810" s="3"/>
      <c r="C810" s="3"/>
    </row>
    <row r="811" spans="1:3" x14ac:dyDescent="0.25">
      <c r="A811" s="5" t="s">
        <v>921</v>
      </c>
      <c r="B811" s="3"/>
      <c r="C811" s="3"/>
    </row>
    <row r="812" spans="1:3" x14ac:dyDescent="0.25">
      <c r="A812" s="5" t="s">
        <v>922</v>
      </c>
      <c r="B812" s="3"/>
      <c r="C812" s="3"/>
    </row>
    <row r="813" spans="1:3" x14ac:dyDescent="0.25">
      <c r="A813" s="5" t="s">
        <v>923</v>
      </c>
      <c r="B813" s="3"/>
      <c r="C813" s="3"/>
    </row>
    <row r="814" spans="1:3" x14ac:dyDescent="0.25">
      <c r="A814" s="5" t="s">
        <v>924</v>
      </c>
      <c r="B814" s="3"/>
      <c r="C814" s="3"/>
    </row>
    <row r="815" spans="1:3" x14ac:dyDescent="0.25">
      <c r="A815" s="5" t="s">
        <v>925</v>
      </c>
      <c r="B815" s="3"/>
      <c r="C815" s="3"/>
    </row>
    <row r="816" spans="1:3" x14ac:dyDescent="0.25">
      <c r="A816" s="5" t="s">
        <v>926</v>
      </c>
      <c r="B816" s="3"/>
      <c r="C816" s="3"/>
    </row>
    <row r="817" spans="1:3" x14ac:dyDescent="0.25">
      <c r="A817" s="5" t="s">
        <v>927</v>
      </c>
      <c r="B817" s="3"/>
      <c r="C817" s="3"/>
    </row>
    <row r="818" spans="1:3" x14ac:dyDescent="0.25">
      <c r="A818" s="5" t="s">
        <v>928</v>
      </c>
      <c r="B818" s="3"/>
      <c r="C818" s="3"/>
    </row>
    <row r="819" spans="1:3" x14ac:dyDescent="0.25">
      <c r="A819" s="5" t="s">
        <v>929</v>
      </c>
      <c r="B819" s="3"/>
      <c r="C819" s="3"/>
    </row>
    <row r="820" spans="1:3" x14ac:dyDescent="0.25">
      <c r="A820" s="5" t="s">
        <v>930</v>
      </c>
      <c r="B820" s="3"/>
      <c r="C820" s="3"/>
    </row>
    <row r="821" spans="1:3" x14ac:dyDescent="0.25">
      <c r="A821" s="5" t="s">
        <v>931</v>
      </c>
      <c r="B821" s="3"/>
      <c r="C821" s="3"/>
    </row>
    <row r="822" spans="1:3" x14ac:dyDescent="0.25">
      <c r="A822" s="5" t="s">
        <v>932</v>
      </c>
      <c r="B822" s="3"/>
      <c r="C822" s="3"/>
    </row>
    <row r="823" spans="1:3" x14ac:dyDescent="0.25">
      <c r="A823" s="5" t="s">
        <v>933</v>
      </c>
      <c r="B823" s="3"/>
      <c r="C823" s="3"/>
    </row>
    <row r="824" spans="1:3" x14ac:dyDescent="0.25">
      <c r="A824" s="5" t="s">
        <v>934</v>
      </c>
      <c r="B824" s="3"/>
      <c r="C824" s="3"/>
    </row>
    <row r="825" spans="1:3" x14ac:dyDescent="0.25">
      <c r="A825" s="5" t="s">
        <v>935</v>
      </c>
      <c r="B825" s="3"/>
      <c r="C825" s="3"/>
    </row>
    <row r="826" spans="1:3" x14ac:dyDescent="0.25">
      <c r="A826" s="5" t="s">
        <v>936</v>
      </c>
      <c r="B826" s="3"/>
      <c r="C826" s="3"/>
    </row>
    <row r="827" spans="1:3" x14ac:dyDescent="0.25">
      <c r="A827" s="5" t="s">
        <v>937</v>
      </c>
      <c r="B827" s="3"/>
      <c r="C827" s="3"/>
    </row>
    <row r="828" spans="1:3" x14ac:dyDescent="0.25">
      <c r="A828" s="5" t="s">
        <v>938</v>
      </c>
      <c r="B828" s="3"/>
      <c r="C828" s="3"/>
    </row>
    <row r="829" spans="1:3" x14ac:dyDescent="0.25">
      <c r="A829" s="5" t="s">
        <v>939</v>
      </c>
      <c r="B829" s="3"/>
      <c r="C829" s="3"/>
    </row>
    <row r="830" spans="1:3" x14ac:dyDescent="0.25">
      <c r="A830" s="5" t="s">
        <v>940</v>
      </c>
      <c r="B830" s="3"/>
      <c r="C830" s="3"/>
    </row>
    <row r="831" spans="1:3" x14ac:dyDescent="0.25">
      <c r="A831" s="5" t="s">
        <v>941</v>
      </c>
      <c r="B831" s="3"/>
      <c r="C831" s="3"/>
    </row>
    <row r="832" spans="1:3" x14ac:dyDescent="0.25">
      <c r="A832" s="5" t="s">
        <v>942</v>
      </c>
      <c r="B832" s="3"/>
      <c r="C832" s="3"/>
    </row>
    <row r="833" spans="1:3" x14ac:dyDescent="0.25">
      <c r="A833" s="4" t="s">
        <v>943</v>
      </c>
      <c r="B833" s="3"/>
      <c r="C833" s="3"/>
    </row>
    <row r="834" spans="1:3" x14ac:dyDescent="0.25">
      <c r="A834" s="4" t="s">
        <v>944</v>
      </c>
      <c r="B834" s="3"/>
      <c r="C834" s="3"/>
    </row>
    <row r="835" spans="1:3" x14ac:dyDescent="0.25">
      <c r="A835" s="5" t="s">
        <v>945</v>
      </c>
      <c r="B835" s="3"/>
      <c r="C835" s="3"/>
    </row>
    <row r="836" spans="1:3" x14ac:dyDescent="0.25">
      <c r="A836" s="5" t="s">
        <v>946</v>
      </c>
      <c r="B836" s="3"/>
      <c r="C836" s="3"/>
    </row>
    <row r="837" spans="1:3" x14ac:dyDescent="0.25">
      <c r="A837" s="5" t="s">
        <v>947</v>
      </c>
      <c r="B837" s="3"/>
      <c r="C837" s="3"/>
    </row>
    <row r="838" spans="1:3" x14ac:dyDescent="0.25">
      <c r="A838" s="4" t="s">
        <v>948</v>
      </c>
      <c r="B838" s="3"/>
      <c r="C838" s="3"/>
    </row>
    <row r="839" spans="1:3" x14ac:dyDescent="0.25">
      <c r="A839" s="5" t="s">
        <v>949</v>
      </c>
      <c r="B839" s="3"/>
      <c r="C839" s="3"/>
    </row>
    <row r="840" spans="1:3" x14ac:dyDescent="0.25">
      <c r="A840" s="5" t="s">
        <v>950</v>
      </c>
      <c r="B840" s="3"/>
      <c r="C840" s="3"/>
    </row>
    <row r="841" spans="1:3" x14ac:dyDescent="0.25">
      <c r="A841" s="5" t="s">
        <v>951</v>
      </c>
      <c r="B841" s="3"/>
      <c r="C841" s="3"/>
    </row>
    <row r="842" spans="1:3" x14ac:dyDescent="0.25">
      <c r="A842" s="4" t="s">
        <v>952</v>
      </c>
      <c r="B842" s="3"/>
      <c r="C842" s="3"/>
    </row>
    <row r="843" spans="1:3" x14ac:dyDescent="0.25">
      <c r="A843" s="5" t="s">
        <v>953</v>
      </c>
      <c r="B843" s="3"/>
      <c r="C843" s="3"/>
    </row>
    <row r="844" spans="1:3" x14ac:dyDescent="0.25">
      <c r="A844" s="5" t="s">
        <v>954</v>
      </c>
      <c r="B844" s="3"/>
      <c r="C844" s="3"/>
    </row>
    <row r="845" spans="1:3" x14ac:dyDescent="0.25">
      <c r="A845" s="5" t="s">
        <v>955</v>
      </c>
      <c r="B845" s="3"/>
      <c r="C845" s="3"/>
    </row>
    <row r="846" spans="1:3" x14ac:dyDescent="0.25">
      <c r="A846" s="5" t="s">
        <v>956</v>
      </c>
      <c r="B846" s="3"/>
      <c r="C846" s="3"/>
    </row>
    <row r="847" spans="1:3" x14ac:dyDescent="0.25">
      <c r="A847" s="5" t="s">
        <v>957</v>
      </c>
      <c r="B847" s="3"/>
      <c r="C847" s="3"/>
    </row>
    <row r="848" spans="1:3" x14ac:dyDescent="0.25">
      <c r="A848" s="5" t="s">
        <v>958</v>
      </c>
      <c r="B848" s="3"/>
      <c r="C848" s="3"/>
    </row>
    <row r="849" spans="1:3" x14ac:dyDescent="0.25">
      <c r="A849" s="5" t="s">
        <v>959</v>
      </c>
      <c r="B849" s="3"/>
      <c r="C849" s="3"/>
    </row>
    <row r="850" spans="1:3" x14ac:dyDescent="0.25">
      <c r="A850" s="5" t="s">
        <v>960</v>
      </c>
      <c r="B850" s="3"/>
      <c r="C850" s="3"/>
    </row>
    <row r="851" spans="1:3" x14ac:dyDescent="0.25">
      <c r="A851" s="5" t="s">
        <v>961</v>
      </c>
      <c r="B851" s="3"/>
      <c r="C851" s="3"/>
    </row>
    <row r="852" spans="1:3" x14ac:dyDescent="0.25">
      <c r="A852" s="5" t="s">
        <v>962</v>
      </c>
      <c r="B852" s="3"/>
      <c r="C852" s="3"/>
    </row>
    <row r="853" spans="1:3" x14ac:dyDescent="0.25">
      <c r="A853" s="4" t="s">
        <v>963</v>
      </c>
      <c r="B853" s="3"/>
      <c r="C853" s="3"/>
    </row>
    <row r="854" spans="1:3" x14ac:dyDescent="0.25">
      <c r="A854" s="5" t="s">
        <v>964</v>
      </c>
      <c r="B854" s="3"/>
      <c r="C854" s="3"/>
    </row>
    <row r="855" spans="1:3" x14ac:dyDescent="0.25">
      <c r="A855" s="5" t="s">
        <v>965</v>
      </c>
      <c r="B855" s="3"/>
      <c r="C855" s="3"/>
    </row>
    <row r="856" spans="1:3" x14ac:dyDescent="0.25">
      <c r="A856" s="5" t="s">
        <v>966</v>
      </c>
      <c r="B856" s="3"/>
      <c r="C856" s="3"/>
    </row>
    <row r="857" spans="1:3" x14ac:dyDescent="0.25">
      <c r="A857" s="5" t="s">
        <v>967</v>
      </c>
      <c r="B857" s="3"/>
      <c r="C857" s="3"/>
    </row>
    <row r="858" spans="1:3" x14ac:dyDescent="0.25">
      <c r="A858" s="4" t="s">
        <v>968</v>
      </c>
      <c r="B858" s="3"/>
      <c r="C858" s="3"/>
    </row>
    <row r="859" spans="1:3" ht="15.75" x14ac:dyDescent="0.25">
      <c r="A859" s="2" t="s">
        <v>969</v>
      </c>
      <c r="B859" s="3"/>
      <c r="C859" s="3"/>
    </row>
    <row r="860" spans="1:3" x14ac:dyDescent="0.25">
      <c r="A860" s="4" t="s">
        <v>970</v>
      </c>
      <c r="B860" s="3"/>
      <c r="C860" s="3"/>
    </row>
    <row r="861" spans="1:3" x14ac:dyDescent="0.25">
      <c r="A861" s="5" t="s">
        <v>971</v>
      </c>
      <c r="B861" s="3"/>
      <c r="C861" s="3"/>
    </row>
    <row r="862" spans="1:3" x14ac:dyDescent="0.25">
      <c r="A862" s="5" t="s">
        <v>972</v>
      </c>
      <c r="B862" s="3"/>
      <c r="C862" s="3"/>
    </row>
    <row r="863" spans="1:3" x14ac:dyDescent="0.25">
      <c r="A863" s="5" t="s">
        <v>973</v>
      </c>
      <c r="B863" s="3"/>
      <c r="C863" s="3"/>
    </row>
    <row r="864" spans="1:3" x14ac:dyDescent="0.25">
      <c r="A864" s="5" t="s">
        <v>974</v>
      </c>
      <c r="B864" s="3"/>
      <c r="C864" s="3"/>
    </row>
    <row r="865" spans="1:3" x14ac:dyDescent="0.25">
      <c r="A865" s="5" t="s">
        <v>975</v>
      </c>
      <c r="B865" s="3"/>
      <c r="C865" s="3"/>
    </row>
    <row r="866" spans="1:3" x14ac:dyDescent="0.25">
      <c r="A866" s="4" t="s">
        <v>976</v>
      </c>
      <c r="B866" s="3"/>
      <c r="C866" s="3"/>
    </row>
    <row r="867" spans="1:3" x14ac:dyDescent="0.25">
      <c r="A867" s="4" t="s">
        <v>977</v>
      </c>
      <c r="B867" s="3"/>
      <c r="C867" s="3"/>
    </row>
    <row r="868" spans="1:3" x14ac:dyDescent="0.25">
      <c r="A868" s="5" t="s">
        <v>978</v>
      </c>
      <c r="B868" s="3"/>
      <c r="C868" s="3"/>
    </row>
    <row r="869" spans="1:3" x14ac:dyDescent="0.25">
      <c r="A869" s="5" t="s">
        <v>979</v>
      </c>
      <c r="B869" s="3"/>
      <c r="C869" s="3"/>
    </row>
    <row r="870" spans="1:3" x14ac:dyDescent="0.25">
      <c r="A870" s="5" t="s">
        <v>980</v>
      </c>
      <c r="B870" s="3"/>
      <c r="C870" s="3"/>
    </row>
    <row r="871" spans="1:3" x14ac:dyDescent="0.25">
      <c r="A871" s="5" t="s">
        <v>981</v>
      </c>
      <c r="B871" s="3"/>
      <c r="C871" s="3"/>
    </row>
    <row r="872" spans="1:3" x14ac:dyDescent="0.25">
      <c r="A872" s="5" t="s">
        <v>982</v>
      </c>
      <c r="B872" s="3"/>
      <c r="C872" s="3"/>
    </row>
    <row r="873" spans="1:3" x14ac:dyDescent="0.25">
      <c r="A873" s="5" t="s">
        <v>983</v>
      </c>
      <c r="B873" s="3"/>
      <c r="C873" s="3"/>
    </row>
    <row r="874" spans="1:3" x14ac:dyDescent="0.25">
      <c r="A874" s="5" t="s">
        <v>984</v>
      </c>
      <c r="B874" s="3"/>
      <c r="C874" s="3"/>
    </row>
    <row r="875" spans="1:3" x14ac:dyDescent="0.25">
      <c r="A875" s="5" t="s">
        <v>985</v>
      </c>
      <c r="B875" s="3"/>
      <c r="C875" s="3"/>
    </row>
    <row r="876" spans="1:3" x14ac:dyDescent="0.25">
      <c r="A876" s="5" t="s">
        <v>986</v>
      </c>
      <c r="B876" s="3"/>
      <c r="C876" s="3"/>
    </row>
    <row r="877" spans="1:3" x14ac:dyDescent="0.25">
      <c r="A877" s="5" t="s">
        <v>987</v>
      </c>
      <c r="B877" s="3"/>
      <c r="C877" s="3"/>
    </row>
    <row r="878" spans="1:3" x14ac:dyDescent="0.25">
      <c r="A878" s="5" t="s">
        <v>988</v>
      </c>
      <c r="B878" s="3"/>
      <c r="C878" s="3"/>
    </row>
    <row r="879" spans="1:3" x14ac:dyDescent="0.25">
      <c r="A879" s="5" t="s">
        <v>989</v>
      </c>
      <c r="B879" s="3"/>
      <c r="C879" s="3"/>
    </row>
    <row r="880" spans="1:3" x14ac:dyDescent="0.25">
      <c r="A880" s="5" t="s">
        <v>990</v>
      </c>
      <c r="B880" s="3"/>
      <c r="C880" s="3"/>
    </row>
    <row r="881" spans="1:3" x14ac:dyDescent="0.25">
      <c r="A881" s="5" t="s">
        <v>991</v>
      </c>
      <c r="B881" s="3"/>
      <c r="C881" s="3"/>
    </row>
    <row r="882" spans="1:3" x14ac:dyDescent="0.25">
      <c r="A882" s="5" t="s">
        <v>992</v>
      </c>
      <c r="B882" s="3"/>
      <c r="C882" s="3"/>
    </row>
    <row r="883" spans="1:3" x14ac:dyDescent="0.25">
      <c r="A883" s="5" t="s">
        <v>993</v>
      </c>
      <c r="B883" s="3"/>
      <c r="C883" s="3"/>
    </row>
    <row r="884" spans="1:3" x14ac:dyDescent="0.25">
      <c r="A884" s="5" t="s">
        <v>994</v>
      </c>
      <c r="B884" s="3"/>
      <c r="C884" s="3"/>
    </row>
    <row r="885" spans="1:3" x14ac:dyDescent="0.25">
      <c r="A885" s="5" t="s">
        <v>995</v>
      </c>
      <c r="B885" s="3"/>
      <c r="C885" s="3"/>
    </row>
    <row r="886" spans="1:3" x14ac:dyDescent="0.25">
      <c r="A886" s="5" t="s">
        <v>996</v>
      </c>
      <c r="B886" s="3"/>
      <c r="C886" s="3"/>
    </row>
    <row r="887" spans="1:3" x14ac:dyDescent="0.25">
      <c r="A887" s="5" t="s">
        <v>997</v>
      </c>
      <c r="B887" s="3"/>
      <c r="C887" s="3"/>
    </row>
    <row r="888" spans="1:3" x14ac:dyDescent="0.25">
      <c r="A888" s="5" t="s">
        <v>998</v>
      </c>
      <c r="B888" s="3"/>
      <c r="C888" s="3"/>
    </row>
    <row r="889" spans="1:3" x14ac:dyDescent="0.25">
      <c r="A889" s="5" t="s">
        <v>999</v>
      </c>
      <c r="B889" s="3"/>
      <c r="C889" s="3"/>
    </row>
    <row r="890" spans="1:3" x14ac:dyDescent="0.25">
      <c r="A890" s="5" t="s">
        <v>1000</v>
      </c>
      <c r="B890" s="3"/>
      <c r="C890" s="3"/>
    </row>
    <row r="891" spans="1:3" x14ac:dyDescent="0.25">
      <c r="A891" s="5" t="s">
        <v>1001</v>
      </c>
      <c r="B891" s="3"/>
      <c r="C891" s="3"/>
    </row>
    <row r="892" spans="1:3" x14ac:dyDescent="0.25">
      <c r="A892" s="5" t="s">
        <v>1002</v>
      </c>
      <c r="B892" s="3"/>
      <c r="C892" s="3"/>
    </row>
    <row r="893" spans="1:3" x14ac:dyDescent="0.25">
      <c r="A893" s="5" t="s">
        <v>1003</v>
      </c>
      <c r="B893" s="3"/>
      <c r="C893" s="3"/>
    </row>
    <row r="894" spans="1:3" x14ac:dyDescent="0.25">
      <c r="A894" s="5" t="s">
        <v>1004</v>
      </c>
      <c r="B894" s="3"/>
      <c r="C894" s="3"/>
    </row>
    <row r="895" spans="1:3" x14ac:dyDescent="0.25">
      <c r="A895" s="5" t="s">
        <v>1005</v>
      </c>
      <c r="B895" s="3"/>
      <c r="C895" s="3"/>
    </row>
    <row r="896" spans="1:3" x14ac:dyDescent="0.25">
      <c r="A896" s="5" t="s">
        <v>1006</v>
      </c>
      <c r="B896" s="3"/>
      <c r="C896" s="3"/>
    </row>
    <row r="897" spans="1:3" x14ac:dyDescent="0.25">
      <c r="A897" s="5" t="s">
        <v>1007</v>
      </c>
      <c r="B897" s="3"/>
      <c r="C897" s="3"/>
    </row>
    <row r="898" spans="1:3" x14ac:dyDescent="0.25">
      <c r="A898" s="5" t="s">
        <v>1008</v>
      </c>
      <c r="B898" s="3"/>
      <c r="C898" s="3"/>
    </row>
    <row r="899" spans="1:3" x14ac:dyDescent="0.25">
      <c r="A899" s="5" t="s">
        <v>1009</v>
      </c>
      <c r="B899" s="3"/>
      <c r="C899" s="3"/>
    </row>
    <row r="900" spans="1:3" x14ac:dyDescent="0.25">
      <c r="A900" s="5" t="s">
        <v>1010</v>
      </c>
      <c r="B900" s="3"/>
      <c r="C900" s="3"/>
    </row>
    <row r="901" spans="1:3" x14ac:dyDescent="0.25">
      <c r="A901" s="5" t="s">
        <v>1011</v>
      </c>
      <c r="B901" s="3"/>
      <c r="C901" s="3"/>
    </row>
    <row r="902" spans="1:3" x14ac:dyDescent="0.25">
      <c r="A902" s="5" t="s">
        <v>1012</v>
      </c>
      <c r="B902" s="3"/>
      <c r="C902" s="3"/>
    </row>
    <row r="903" spans="1:3" x14ac:dyDescent="0.25">
      <c r="A903" s="5" t="s">
        <v>1013</v>
      </c>
      <c r="B903" s="3"/>
      <c r="C903" s="3"/>
    </row>
    <row r="904" spans="1:3" x14ac:dyDescent="0.25">
      <c r="A904" s="5" t="s">
        <v>1014</v>
      </c>
      <c r="B904" s="3"/>
      <c r="C904" s="3"/>
    </row>
    <row r="905" spans="1:3" x14ac:dyDescent="0.25">
      <c r="A905" s="5" t="s">
        <v>1015</v>
      </c>
      <c r="B905" s="3"/>
      <c r="C905" s="3"/>
    </row>
    <row r="906" spans="1:3" x14ac:dyDescent="0.25">
      <c r="A906" s="5" t="s">
        <v>1016</v>
      </c>
      <c r="B906" s="3"/>
      <c r="C906" s="3"/>
    </row>
    <row r="907" spans="1:3" x14ac:dyDescent="0.25">
      <c r="A907" s="5" t="s">
        <v>1017</v>
      </c>
      <c r="B907" s="3"/>
      <c r="C907" s="3"/>
    </row>
    <row r="908" spans="1:3" x14ac:dyDescent="0.25">
      <c r="A908" s="5" t="s">
        <v>1018</v>
      </c>
      <c r="B908" s="3"/>
      <c r="C908" s="3"/>
    </row>
    <row r="909" spans="1:3" x14ac:dyDescent="0.25">
      <c r="A909" s="5" t="s">
        <v>1019</v>
      </c>
      <c r="B909" s="3"/>
      <c r="C909" s="3"/>
    </row>
    <row r="910" spans="1:3" x14ac:dyDescent="0.25">
      <c r="A910" s="5" t="s">
        <v>1020</v>
      </c>
      <c r="B910" s="3"/>
      <c r="C910" s="3"/>
    </row>
    <row r="911" spans="1:3" x14ac:dyDescent="0.25">
      <c r="A911" s="5" t="s">
        <v>1021</v>
      </c>
      <c r="B911" s="3"/>
      <c r="C911" s="3"/>
    </row>
    <row r="912" spans="1:3" x14ac:dyDescent="0.25">
      <c r="A912" s="5" t="s">
        <v>1022</v>
      </c>
      <c r="B912" s="3"/>
      <c r="C912" s="3"/>
    </row>
    <row r="913" spans="1:3" x14ac:dyDescent="0.25">
      <c r="A913" s="4" t="s">
        <v>1023</v>
      </c>
      <c r="B913" s="3"/>
      <c r="C913" s="3"/>
    </row>
    <row r="914" spans="1:3" x14ac:dyDescent="0.25">
      <c r="A914" s="5" t="s">
        <v>1024</v>
      </c>
      <c r="B914" s="3"/>
      <c r="C914" s="3"/>
    </row>
    <row r="915" spans="1:3" x14ac:dyDescent="0.25">
      <c r="A915" s="5" t="s">
        <v>1025</v>
      </c>
      <c r="B915" s="3"/>
      <c r="C915" s="3"/>
    </row>
    <row r="916" spans="1:3" x14ac:dyDescent="0.25">
      <c r="A916" s="5" t="s">
        <v>1026</v>
      </c>
      <c r="B916" s="3"/>
      <c r="C916" s="3"/>
    </row>
    <row r="917" spans="1:3" x14ac:dyDescent="0.25">
      <c r="A917" s="5" t="s">
        <v>1027</v>
      </c>
      <c r="B917" s="3"/>
      <c r="C917" s="3"/>
    </row>
    <row r="918" spans="1:3" x14ac:dyDescent="0.25">
      <c r="A918" s="5" t="s">
        <v>1028</v>
      </c>
      <c r="B918" s="3"/>
      <c r="C918" s="3"/>
    </row>
    <row r="919" spans="1:3" x14ac:dyDescent="0.25">
      <c r="A919" s="5" t="s">
        <v>1029</v>
      </c>
      <c r="B919" s="3"/>
      <c r="C919" s="3"/>
    </row>
    <row r="920" spans="1:3" x14ac:dyDescent="0.25">
      <c r="A920" s="4" t="s">
        <v>1030</v>
      </c>
      <c r="B920" s="3"/>
      <c r="C920" s="3"/>
    </row>
    <row r="921" spans="1:3" x14ac:dyDescent="0.25">
      <c r="A921" s="5" t="s">
        <v>1031</v>
      </c>
      <c r="B921" s="3"/>
      <c r="C921" s="3"/>
    </row>
    <row r="922" spans="1:3" x14ac:dyDescent="0.25">
      <c r="A922" s="5" t="s">
        <v>1032</v>
      </c>
      <c r="B922" s="3"/>
      <c r="C922" s="3"/>
    </row>
    <row r="923" spans="1:3" x14ac:dyDescent="0.25">
      <c r="A923" s="5" t="s">
        <v>1033</v>
      </c>
      <c r="B923" s="3"/>
      <c r="C923" s="3"/>
    </row>
    <row r="924" spans="1:3" x14ac:dyDescent="0.25">
      <c r="A924" s="5" t="s">
        <v>1034</v>
      </c>
      <c r="B924" s="3"/>
      <c r="C924" s="3"/>
    </row>
    <row r="925" spans="1:3" x14ac:dyDescent="0.25">
      <c r="A925" s="5" t="s">
        <v>1035</v>
      </c>
      <c r="B925" s="3"/>
      <c r="C925" s="3"/>
    </row>
    <row r="926" spans="1:3" x14ac:dyDescent="0.25">
      <c r="A926" s="4" t="s">
        <v>1036</v>
      </c>
      <c r="B926" s="3"/>
      <c r="C926" s="3"/>
    </row>
    <row r="927" spans="1:3" x14ac:dyDescent="0.25">
      <c r="A927" s="4" t="s">
        <v>1037</v>
      </c>
      <c r="B927" s="3"/>
      <c r="C927" s="3"/>
    </row>
    <row r="928" spans="1:3" x14ac:dyDescent="0.25">
      <c r="A928" s="4" t="s">
        <v>1038</v>
      </c>
      <c r="B928" s="3"/>
      <c r="C928" s="3"/>
    </row>
    <row r="929" spans="1:3" x14ac:dyDescent="0.25">
      <c r="A929" s="5" t="s">
        <v>1039</v>
      </c>
      <c r="B929" s="3"/>
      <c r="C929" s="3"/>
    </row>
    <row r="930" spans="1:3" x14ac:dyDescent="0.25">
      <c r="A930" s="5" t="s">
        <v>1040</v>
      </c>
      <c r="B930" s="3"/>
      <c r="C930" s="3"/>
    </row>
    <row r="931" spans="1:3" x14ac:dyDescent="0.25">
      <c r="A931" s="5" t="s">
        <v>1041</v>
      </c>
      <c r="B931" s="3"/>
      <c r="C931" s="3"/>
    </row>
    <row r="932" spans="1:3" x14ac:dyDescent="0.25">
      <c r="A932" s="5" t="s">
        <v>1042</v>
      </c>
      <c r="B932" s="3"/>
      <c r="C932" s="3"/>
    </row>
    <row r="933" spans="1:3" x14ac:dyDescent="0.25">
      <c r="A933" s="5" t="s">
        <v>1043</v>
      </c>
      <c r="B933" s="3"/>
      <c r="C933" s="3"/>
    </row>
    <row r="934" spans="1:3" x14ac:dyDescent="0.25">
      <c r="A934" s="5" t="s">
        <v>1044</v>
      </c>
      <c r="B934" s="3"/>
      <c r="C934" s="3"/>
    </row>
    <row r="935" spans="1:3" x14ac:dyDescent="0.25">
      <c r="A935" s="5" t="s">
        <v>1045</v>
      </c>
      <c r="B935" s="3"/>
      <c r="C935" s="3"/>
    </row>
    <row r="936" spans="1:3" x14ac:dyDescent="0.25">
      <c r="A936" s="5" t="s">
        <v>1046</v>
      </c>
      <c r="B936" s="3"/>
      <c r="C936" s="3"/>
    </row>
    <row r="937" spans="1:3" x14ac:dyDescent="0.25">
      <c r="A937" s="4" t="s">
        <v>1047</v>
      </c>
      <c r="B937" s="3"/>
      <c r="C937" s="3"/>
    </row>
    <row r="938" spans="1:3" x14ac:dyDescent="0.25">
      <c r="A938" s="5" t="s">
        <v>1048</v>
      </c>
      <c r="B938" s="3"/>
      <c r="C938" s="3"/>
    </row>
    <row r="939" spans="1:3" x14ac:dyDescent="0.25">
      <c r="A939" s="5" t="s">
        <v>1049</v>
      </c>
      <c r="B939" s="3"/>
      <c r="C939" s="3"/>
    </row>
    <row r="940" spans="1:3" x14ac:dyDescent="0.25">
      <c r="A940" s="5" t="s">
        <v>1050</v>
      </c>
      <c r="B940" s="3"/>
      <c r="C940" s="3"/>
    </row>
    <row r="941" spans="1:3" x14ac:dyDescent="0.25">
      <c r="A941" s="4" t="s">
        <v>1051</v>
      </c>
      <c r="B941" s="3"/>
      <c r="C941" s="3"/>
    </row>
    <row r="942" spans="1:3" x14ac:dyDescent="0.25">
      <c r="A942" s="4" t="s">
        <v>1052</v>
      </c>
      <c r="B942" s="3"/>
      <c r="C942" s="3"/>
    </row>
    <row r="943" spans="1:3" x14ac:dyDescent="0.25">
      <c r="A943" s="5" t="s">
        <v>1053</v>
      </c>
      <c r="B943" s="3"/>
      <c r="C943" s="3"/>
    </row>
    <row r="944" spans="1:3" x14ac:dyDescent="0.25">
      <c r="A944" s="5" t="s">
        <v>1054</v>
      </c>
      <c r="B944" s="3"/>
      <c r="C944" s="3"/>
    </row>
    <row r="945" spans="1:3" x14ac:dyDescent="0.25">
      <c r="A945" s="5" t="s">
        <v>1055</v>
      </c>
      <c r="B945" s="3"/>
      <c r="C945" s="3"/>
    </row>
    <row r="946" spans="1:3" x14ac:dyDescent="0.25">
      <c r="A946" s="4" t="s">
        <v>1056</v>
      </c>
      <c r="B946" s="3"/>
      <c r="C946" s="3"/>
    </row>
    <row r="947" spans="1:3" x14ac:dyDescent="0.25">
      <c r="A947" s="5" t="s">
        <v>1057</v>
      </c>
      <c r="B947" s="3"/>
      <c r="C947" s="3"/>
    </row>
    <row r="948" spans="1:3" x14ac:dyDescent="0.25">
      <c r="A948" s="5" t="s">
        <v>1058</v>
      </c>
      <c r="B948" s="3"/>
      <c r="C948" s="3"/>
    </row>
    <row r="949" spans="1:3" x14ac:dyDescent="0.25">
      <c r="A949" s="5" t="s">
        <v>1059</v>
      </c>
      <c r="B949" s="3"/>
      <c r="C949" s="3"/>
    </row>
    <row r="950" spans="1:3" x14ac:dyDescent="0.25">
      <c r="A950" s="5" t="s">
        <v>1060</v>
      </c>
      <c r="B950" s="3"/>
      <c r="C950" s="3"/>
    </row>
    <row r="951" spans="1:3" x14ac:dyDescent="0.25">
      <c r="A951" s="5" t="s">
        <v>1061</v>
      </c>
      <c r="B951" s="3"/>
      <c r="C951" s="3"/>
    </row>
    <row r="952" spans="1:3" x14ac:dyDescent="0.25">
      <c r="A952" s="5" t="s">
        <v>1062</v>
      </c>
      <c r="B952" s="3"/>
      <c r="C952" s="3"/>
    </row>
    <row r="953" spans="1:3" x14ac:dyDescent="0.25">
      <c r="A953" s="5" t="s">
        <v>1063</v>
      </c>
      <c r="B953" s="3"/>
      <c r="C953" s="3"/>
    </row>
    <row r="954" spans="1:3" x14ac:dyDescent="0.25">
      <c r="A954" s="5" t="s">
        <v>1064</v>
      </c>
      <c r="B954" s="3"/>
      <c r="C954" s="3"/>
    </row>
    <row r="955" spans="1:3" x14ac:dyDescent="0.25">
      <c r="A955" s="5" t="s">
        <v>1065</v>
      </c>
      <c r="B955" s="3"/>
      <c r="C955" s="3"/>
    </row>
    <row r="956" spans="1:3" x14ac:dyDescent="0.25">
      <c r="A956" s="5" t="s">
        <v>1066</v>
      </c>
      <c r="B956" s="3"/>
      <c r="C956" s="3"/>
    </row>
    <row r="957" spans="1:3" x14ac:dyDescent="0.25">
      <c r="A957" s="5" t="s">
        <v>1067</v>
      </c>
      <c r="B957" s="3"/>
      <c r="C957" s="3"/>
    </row>
    <row r="958" spans="1:3" x14ac:dyDescent="0.25">
      <c r="A958" s="5" t="s">
        <v>1068</v>
      </c>
      <c r="B958" s="3"/>
      <c r="C958" s="3"/>
    </row>
    <row r="959" spans="1:3" x14ac:dyDescent="0.25">
      <c r="A959" s="5" t="s">
        <v>1069</v>
      </c>
      <c r="B959" s="3"/>
      <c r="C959" s="3"/>
    </row>
    <row r="960" spans="1:3" x14ac:dyDescent="0.25">
      <c r="A960" s="5" t="s">
        <v>1070</v>
      </c>
      <c r="B960" s="3"/>
      <c r="C960" s="3"/>
    </row>
    <row r="961" spans="1:3" x14ac:dyDescent="0.25">
      <c r="A961" s="5" t="s">
        <v>1071</v>
      </c>
      <c r="B961" s="3"/>
      <c r="C961" s="3"/>
    </row>
    <row r="962" spans="1:3" x14ac:dyDescent="0.25">
      <c r="A962" s="5" t="s">
        <v>1072</v>
      </c>
      <c r="B962" s="3"/>
      <c r="C962" s="3"/>
    </row>
    <row r="963" spans="1:3" x14ac:dyDescent="0.25">
      <c r="A963" s="5" t="s">
        <v>1073</v>
      </c>
      <c r="B963" s="3"/>
      <c r="C963" s="3"/>
    </row>
    <row r="964" spans="1:3" x14ac:dyDescent="0.25">
      <c r="A964" s="5" t="s">
        <v>1074</v>
      </c>
      <c r="B964" s="3"/>
      <c r="C964" s="3"/>
    </row>
    <row r="965" spans="1:3" x14ac:dyDescent="0.25">
      <c r="A965" s="5" t="s">
        <v>1075</v>
      </c>
      <c r="B965" s="3"/>
      <c r="C965" s="3"/>
    </row>
    <row r="966" spans="1:3" x14ac:dyDescent="0.25">
      <c r="A966" s="5" t="s">
        <v>1076</v>
      </c>
      <c r="B966" s="3"/>
      <c r="C966" s="3"/>
    </row>
    <row r="967" spans="1:3" x14ac:dyDescent="0.25">
      <c r="A967" s="5" t="s">
        <v>1077</v>
      </c>
      <c r="B967" s="3"/>
      <c r="C967" s="3"/>
    </row>
    <row r="968" spans="1:3" x14ac:dyDescent="0.25">
      <c r="A968" s="5" t="s">
        <v>1078</v>
      </c>
      <c r="B968" s="3"/>
      <c r="C968" s="3"/>
    </row>
    <row r="969" spans="1:3" x14ac:dyDescent="0.25">
      <c r="A969" s="5" t="s">
        <v>1079</v>
      </c>
      <c r="B969" s="3"/>
      <c r="C969" s="3"/>
    </row>
    <row r="970" spans="1:3" x14ac:dyDescent="0.25">
      <c r="A970" s="5" t="s">
        <v>1080</v>
      </c>
      <c r="B970" s="3"/>
      <c r="C970" s="3"/>
    </row>
    <row r="971" spans="1:3" x14ac:dyDescent="0.25">
      <c r="A971" s="5" t="s">
        <v>1081</v>
      </c>
      <c r="B971" s="3"/>
      <c r="C971" s="3"/>
    </row>
    <row r="972" spans="1:3" x14ac:dyDescent="0.25">
      <c r="A972" s="5" t="s">
        <v>1082</v>
      </c>
      <c r="B972" s="3"/>
      <c r="C972" s="3"/>
    </row>
    <row r="973" spans="1:3" x14ac:dyDescent="0.25">
      <c r="A973" s="5" t="s">
        <v>1083</v>
      </c>
      <c r="B973" s="3"/>
      <c r="C973" s="3"/>
    </row>
    <row r="974" spans="1:3" x14ac:dyDescent="0.25">
      <c r="A974" s="5" t="s">
        <v>1084</v>
      </c>
      <c r="B974" s="3"/>
      <c r="C974" s="3"/>
    </row>
    <row r="975" spans="1:3" x14ac:dyDescent="0.25">
      <c r="A975" s="5" t="s">
        <v>1085</v>
      </c>
      <c r="B975" s="3" t="s">
        <v>1086</v>
      </c>
      <c r="C975" s="3" t="s">
        <v>1087</v>
      </c>
    </row>
    <row r="976" spans="1:3" x14ac:dyDescent="0.25">
      <c r="A976" s="5" t="s">
        <v>1088</v>
      </c>
      <c r="B976" s="3"/>
      <c r="C976" s="3"/>
    </row>
    <row r="977" spans="1:3" x14ac:dyDescent="0.25">
      <c r="A977" s="5" t="s">
        <v>1089</v>
      </c>
      <c r="B977" s="3"/>
      <c r="C977" s="3"/>
    </row>
    <row r="978" spans="1:3" x14ac:dyDescent="0.25">
      <c r="A978" s="5" t="s">
        <v>1090</v>
      </c>
      <c r="B978" s="3"/>
      <c r="C978" s="3"/>
    </row>
    <row r="979" spans="1:3" x14ac:dyDescent="0.25">
      <c r="A979" s="5" t="s">
        <v>1091</v>
      </c>
      <c r="B979" s="3"/>
      <c r="C979" s="3"/>
    </row>
    <row r="980" spans="1:3" x14ac:dyDescent="0.25">
      <c r="A980" s="5" t="s">
        <v>1092</v>
      </c>
      <c r="B980" s="3"/>
      <c r="C980" s="3"/>
    </row>
    <row r="981" spans="1:3" x14ac:dyDescent="0.25">
      <c r="A981" s="5" t="s">
        <v>1093</v>
      </c>
      <c r="B981" s="3"/>
      <c r="C981" s="3"/>
    </row>
    <row r="982" spans="1:3" x14ac:dyDescent="0.25">
      <c r="A982" s="5" t="s">
        <v>1094</v>
      </c>
      <c r="B982" s="3"/>
      <c r="C982" s="3"/>
    </row>
    <row r="983" spans="1:3" x14ac:dyDescent="0.25">
      <c r="A983" s="5" t="s">
        <v>1095</v>
      </c>
      <c r="B983" s="3"/>
      <c r="C983" s="3"/>
    </row>
    <row r="984" spans="1:3" x14ac:dyDescent="0.25">
      <c r="A984" s="5" t="s">
        <v>1096</v>
      </c>
      <c r="B984" s="3"/>
      <c r="C984" s="3"/>
    </row>
    <row r="985" spans="1:3" x14ac:dyDescent="0.25">
      <c r="A985" s="5" t="s">
        <v>1097</v>
      </c>
      <c r="B985" s="3"/>
      <c r="C985" s="3"/>
    </row>
    <row r="986" spans="1:3" x14ac:dyDescent="0.25">
      <c r="A986" s="5" t="s">
        <v>1098</v>
      </c>
      <c r="B986" s="3"/>
      <c r="C986" s="3"/>
    </row>
    <row r="987" spans="1:3" x14ac:dyDescent="0.25">
      <c r="A987" s="5" t="s">
        <v>1099</v>
      </c>
      <c r="B987" s="3"/>
      <c r="C987" s="3"/>
    </row>
    <row r="988" spans="1:3" x14ac:dyDescent="0.25">
      <c r="A988" s="5" t="s">
        <v>1100</v>
      </c>
      <c r="B988" s="3"/>
      <c r="C988" s="3"/>
    </row>
    <row r="989" spans="1:3" x14ac:dyDescent="0.25">
      <c r="A989" s="5" t="s">
        <v>1101</v>
      </c>
      <c r="B989" s="3"/>
      <c r="C989" s="3"/>
    </row>
    <row r="990" spans="1:3" x14ac:dyDescent="0.25">
      <c r="A990" s="5" t="s">
        <v>1102</v>
      </c>
      <c r="B990" s="3"/>
      <c r="C990" s="3"/>
    </row>
    <row r="991" spans="1:3" x14ac:dyDescent="0.25">
      <c r="A991" s="5" t="s">
        <v>1103</v>
      </c>
      <c r="B991" s="3"/>
      <c r="C991" s="3"/>
    </row>
    <row r="992" spans="1:3" x14ac:dyDescent="0.25">
      <c r="A992" s="5" t="s">
        <v>1104</v>
      </c>
      <c r="B992" s="3"/>
      <c r="C992" s="3"/>
    </row>
    <row r="993" spans="1:3" x14ac:dyDescent="0.25">
      <c r="A993" s="4" t="s">
        <v>1105</v>
      </c>
      <c r="B993" s="3"/>
      <c r="C993" s="3"/>
    </row>
    <row r="994" spans="1:3" x14ac:dyDescent="0.25">
      <c r="A994" s="5" t="s">
        <v>1106</v>
      </c>
      <c r="B994" s="3"/>
      <c r="C994" s="3"/>
    </row>
    <row r="995" spans="1:3" x14ac:dyDescent="0.25">
      <c r="A995" s="5" t="s">
        <v>1107</v>
      </c>
      <c r="B995" s="3"/>
      <c r="C995" s="3"/>
    </row>
    <row r="996" spans="1:3" x14ac:dyDescent="0.25">
      <c r="A996" s="4" t="s">
        <v>1108</v>
      </c>
      <c r="B996" s="3"/>
      <c r="C996" s="3"/>
    </row>
    <row r="997" spans="1:3" x14ac:dyDescent="0.25">
      <c r="A997" s="4" t="s">
        <v>1109</v>
      </c>
      <c r="B997" s="3"/>
      <c r="C997" s="3"/>
    </row>
    <row r="998" spans="1:3" x14ac:dyDescent="0.25">
      <c r="A998" s="5" t="s">
        <v>1110</v>
      </c>
      <c r="B998" s="3"/>
      <c r="C998" s="3"/>
    </row>
    <row r="999" spans="1:3" x14ac:dyDescent="0.25">
      <c r="A999" s="5" t="s">
        <v>1111</v>
      </c>
      <c r="B999" s="3"/>
      <c r="C999" s="3"/>
    </row>
    <row r="1000" spans="1:3" x14ac:dyDescent="0.25">
      <c r="A1000" s="5" t="s">
        <v>1112</v>
      </c>
      <c r="B1000" s="3"/>
      <c r="C1000" s="3"/>
    </row>
    <row r="1001" spans="1:3" x14ac:dyDescent="0.25">
      <c r="A1001" s="5" t="s">
        <v>1113</v>
      </c>
      <c r="B1001" s="3"/>
      <c r="C1001" s="3"/>
    </row>
    <row r="1002" spans="1:3" x14ac:dyDescent="0.25">
      <c r="A1002" s="5" t="s">
        <v>1114</v>
      </c>
      <c r="B1002" s="3"/>
      <c r="C1002" s="3"/>
    </row>
    <row r="1003" spans="1:3" x14ac:dyDescent="0.25">
      <c r="A1003" s="5" t="s">
        <v>1115</v>
      </c>
      <c r="B1003" s="3" t="s">
        <v>1086</v>
      </c>
      <c r="C1003" s="3" t="s">
        <v>1116</v>
      </c>
    </row>
    <row r="1004" spans="1:3" x14ac:dyDescent="0.25">
      <c r="A1004" s="5" t="s">
        <v>1117</v>
      </c>
      <c r="B1004" s="3"/>
      <c r="C1004" s="3"/>
    </row>
    <row r="1005" spans="1:3" x14ac:dyDescent="0.25">
      <c r="A1005" s="5" t="s">
        <v>1118</v>
      </c>
      <c r="B1005" s="3"/>
      <c r="C1005" s="3"/>
    </row>
    <row r="1006" spans="1:3" x14ac:dyDescent="0.25">
      <c r="A1006" s="5" t="s">
        <v>1119</v>
      </c>
      <c r="B1006" s="3"/>
      <c r="C1006" s="3"/>
    </row>
    <row r="1007" spans="1:3" x14ac:dyDescent="0.25">
      <c r="A1007" s="5" t="s">
        <v>1120</v>
      </c>
      <c r="B1007" s="3"/>
      <c r="C1007" s="3"/>
    </row>
    <row r="1008" spans="1:3" x14ac:dyDescent="0.25">
      <c r="A1008" s="5" t="s">
        <v>1121</v>
      </c>
      <c r="B1008" s="3"/>
      <c r="C1008" s="3"/>
    </row>
    <row r="1009" spans="1:3" x14ac:dyDescent="0.25">
      <c r="A1009" s="5" t="s">
        <v>1122</v>
      </c>
      <c r="B1009" s="3"/>
      <c r="C1009" s="3"/>
    </row>
    <row r="1010" spans="1:3" x14ac:dyDescent="0.25">
      <c r="A1010" s="5" t="s">
        <v>1123</v>
      </c>
      <c r="B1010" s="3"/>
      <c r="C1010" s="3"/>
    </row>
    <row r="1011" spans="1:3" x14ac:dyDescent="0.25">
      <c r="A1011" s="5" t="s">
        <v>1124</v>
      </c>
      <c r="B1011" s="3"/>
      <c r="C1011" s="3"/>
    </row>
    <row r="1012" spans="1:3" x14ac:dyDescent="0.25">
      <c r="A1012" s="5" t="s">
        <v>1125</v>
      </c>
      <c r="B1012" s="3"/>
      <c r="C1012" s="3"/>
    </row>
    <row r="1013" spans="1:3" x14ac:dyDescent="0.25">
      <c r="A1013" s="5" t="s">
        <v>1126</v>
      </c>
      <c r="B1013" s="3"/>
      <c r="C1013" s="3"/>
    </row>
    <row r="1014" spans="1:3" x14ac:dyDescent="0.25">
      <c r="A1014" s="5" t="s">
        <v>1127</v>
      </c>
      <c r="B1014" s="3"/>
      <c r="C1014" s="3"/>
    </row>
    <row r="1015" spans="1:3" x14ac:dyDescent="0.25">
      <c r="A1015" s="5" t="s">
        <v>1128</v>
      </c>
      <c r="B1015" s="3"/>
      <c r="C1015" s="3"/>
    </row>
    <row r="1016" spans="1:3" x14ac:dyDescent="0.25">
      <c r="A1016" s="5" t="s">
        <v>1129</v>
      </c>
      <c r="B1016" s="3"/>
      <c r="C1016" s="3"/>
    </row>
    <row r="1017" spans="1:3" x14ac:dyDescent="0.25">
      <c r="A1017" s="5" t="s">
        <v>1130</v>
      </c>
      <c r="B1017" s="3"/>
      <c r="C1017" s="3"/>
    </row>
    <row r="1018" spans="1:3" x14ac:dyDescent="0.25">
      <c r="A1018" s="5" t="s">
        <v>1131</v>
      </c>
      <c r="B1018" s="3"/>
      <c r="C1018" s="3"/>
    </row>
    <row r="1019" spans="1:3" x14ac:dyDescent="0.25">
      <c r="A1019" s="5" t="s">
        <v>1132</v>
      </c>
      <c r="B1019" s="3"/>
      <c r="C1019" s="3"/>
    </row>
    <row r="1020" spans="1:3" x14ac:dyDescent="0.25">
      <c r="A1020" s="5" t="s">
        <v>1133</v>
      </c>
      <c r="B1020" s="3"/>
      <c r="C1020" s="3"/>
    </row>
    <row r="1021" spans="1:3" x14ac:dyDescent="0.25">
      <c r="A1021" s="5" t="s">
        <v>1134</v>
      </c>
      <c r="B1021" s="3"/>
      <c r="C1021" s="3"/>
    </row>
    <row r="1022" spans="1:3" x14ac:dyDescent="0.25">
      <c r="A1022" s="5" t="s">
        <v>1135</v>
      </c>
      <c r="B1022" s="3"/>
      <c r="C1022" s="3"/>
    </row>
    <row r="1023" spans="1:3" x14ac:dyDescent="0.25">
      <c r="A1023" s="5" t="s">
        <v>1136</v>
      </c>
      <c r="B1023" s="3"/>
      <c r="C1023" s="3"/>
    </row>
    <row r="1024" spans="1:3" x14ac:dyDescent="0.25">
      <c r="A1024" s="5" t="s">
        <v>1137</v>
      </c>
      <c r="B1024" s="3"/>
      <c r="C1024" s="3"/>
    </row>
    <row r="1025" spans="1:3" x14ac:dyDescent="0.25">
      <c r="A1025" s="5" t="s">
        <v>1138</v>
      </c>
      <c r="B1025" s="3"/>
      <c r="C1025" s="3"/>
    </row>
    <row r="1026" spans="1:3" x14ac:dyDescent="0.25">
      <c r="A1026" s="5" t="s">
        <v>1139</v>
      </c>
      <c r="B1026" s="3"/>
      <c r="C1026" s="3"/>
    </row>
    <row r="1027" spans="1:3" x14ac:dyDescent="0.25">
      <c r="A1027" s="5" t="s">
        <v>1140</v>
      </c>
      <c r="B1027" s="3"/>
      <c r="C1027" s="3"/>
    </row>
    <row r="1028" spans="1:3" x14ac:dyDescent="0.25">
      <c r="A1028" s="5" t="s">
        <v>1141</v>
      </c>
      <c r="B1028" s="3"/>
      <c r="C1028" s="3"/>
    </row>
    <row r="1029" spans="1:3" x14ac:dyDescent="0.25">
      <c r="A1029" s="5" t="s">
        <v>1142</v>
      </c>
      <c r="B1029" s="3"/>
      <c r="C1029" s="3"/>
    </row>
    <row r="1030" spans="1:3" x14ac:dyDescent="0.25">
      <c r="A1030" s="5" t="s">
        <v>1143</v>
      </c>
      <c r="B1030" s="3"/>
      <c r="C1030" s="3"/>
    </row>
    <row r="1031" spans="1:3" x14ac:dyDescent="0.25">
      <c r="A1031" s="5" t="s">
        <v>1144</v>
      </c>
      <c r="B1031" s="3"/>
      <c r="C1031" s="3"/>
    </row>
    <row r="1032" spans="1:3" x14ac:dyDescent="0.25">
      <c r="A1032" s="5" t="s">
        <v>1145</v>
      </c>
      <c r="B1032" s="3"/>
      <c r="C1032" s="3"/>
    </row>
    <row r="1033" spans="1:3" x14ac:dyDescent="0.25">
      <c r="A1033" s="5" t="s">
        <v>1146</v>
      </c>
      <c r="B1033" s="3"/>
      <c r="C1033" s="3"/>
    </row>
    <row r="1034" spans="1:3" x14ac:dyDescent="0.25">
      <c r="A1034" s="5" t="s">
        <v>1147</v>
      </c>
      <c r="B1034" s="3"/>
      <c r="C1034" s="3"/>
    </row>
    <row r="1035" spans="1:3" x14ac:dyDescent="0.25">
      <c r="A1035" s="5" t="s">
        <v>1148</v>
      </c>
      <c r="B1035" s="3"/>
      <c r="C1035" s="3"/>
    </row>
    <row r="1036" spans="1:3" x14ac:dyDescent="0.25">
      <c r="A1036" s="5" t="s">
        <v>1149</v>
      </c>
      <c r="B1036" s="3"/>
      <c r="C1036" s="3"/>
    </row>
    <row r="1037" spans="1:3" x14ac:dyDescent="0.25">
      <c r="A1037" s="5" t="s">
        <v>1150</v>
      </c>
      <c r="B1037" s="3"/>
      <c r="C1037" s="3"/>
    </row>
    <row r="1038" spans="1:3" x14ac:dyDescent="0.25">
      <c r="A1038" s="5" t="s">
        <v>1151</v>
      </c>
      <c r="B1038" s="3"/>
      <c r="C1038" s="3"/>
    </row>
    <row r="1039" spans="1:3" x14ac:dyDescent="0.25">
      <c r="A1039" s="5" t="s">
        <v>1152</v>
      </c>
      <c r="B1039" s="3"/>
      <c r="C1039" s="3"/>
    </row>
    <row r="1040" spans="1:3" x14ac:dyDescent="0.25">
      <c r="A1040" s="5" t="s">
        <v>1153</v>
      </c>
      <c r="B1040" s="3"/>
      <c r="C1040" s="3"/>
    </row>
    <row r="1041" spans="1:3" x14ac:dyDescent="0.25">
      <c r="A1041" s="5" t="s">
        <v>1154</v>
      </c>
      <c r="B1041" s="3"/>
      <c r="C1041" s="3"/>
    </row>
    <row r="1042" spans="1:3" x14ac:dyDescent="0.25">
      <c r="A1042" s="5" t="s">
        <v>1155</v>
      </c>
      <c r="B1042" s="3"/>
      <c r="C1042" s="3"/>
    </row>
    <row r="1043" spans="1:3" x14ac:dyDescent="0.25">
      <c r="A1043" s="5" t="s">
        <v>1156</v>
      </c>
      <c r="B1043" s="3"/>
      <c r="C1043" s="3"/>
    </row>
    <row r="1044" spans="1:3" x14ac:dyDescent="0.25">
      <c r="A1044" s="5" t="s">
        <v>1157</v>
      </c>
      <c r="B1044" s="3"/>
      <c r="C1044" s="3"/>
    </row>
    <row r="1045" spans="1:3" x14ac:dyDescent="0.25">
      <c r="A1045" s="5" t="s">
        <v>1158</v>
      </c>
      <c r="B1045" s="3"/>
      <c r="C1045" s="3"/>
    </row>
    <row r="1046" spans="1:3" x14ac:dyDescent="0.25">
      <c r="A1046" s="5" t="s">
        <v>1159</v>
      </c>
      <c r="B1046" s="3"/>
      <c r="C1046" s="3"/>
    </row>
    <row r="1047" spans="1:3" x14ac:dyDescent="0.25">
      <c r="A1047" s="5" t="s">
        <v>1160</v>
      </c>
      <c r="B1047" s="3"/>
      <c r="C1047" s="3"/>
    </row>
    <row r="1048" spans="1:3" x14ac:dyDescent="0.25">
      <c r="A1048" s="5" t="s">
        <v>1161</v>
      </c>
      <c r="B1048" s="3"/>
      <c r="C1048" s="3"/>
    </row>
    <row r="1049" spans="1:3" x14ac:dyDescent="0.25">
      <c r="A1049" s="5" t="s">
        <v>1162</v>
      </c>
      <c r="B1049" s="3"/>
      <c r="C1049" s="3"/>
    </row>
    <row r="1050" spans="1:3" x14ac:dyDescent="0.25">
      <c r="A1050" s="5" t="s">
        <v>1163</v>
      </c>
      <c r="B1050" s="3"/>
      <c r="C1050" s="3"/>
    </row>
    <row r="1051" spans="1:3" x14ac:dyDescent="0.25">
      <c r="A1051" s="5" t="s">
        <v>1164</v>
      </c>
      <c r="B1051" s="3"/>
      <c r="C1051" s="3"/>
    </row>
    <row r="1052" spans="1:3" x14ac:dyDescent="0.25">
      <c r="A1052" s="5" t="s">
        <v>1165</v>
      </c>
      <c r="B1052" s="3"/>
      <c r="C1052" s="3"/>
    </row>
    <row r="1053" spans="1:3" x14ac:dyDescent="0.25">
      <c r="A1053" s="5" t="s">
        <v>1166</v>
      </c>
      <c r="B1053" s="3"/>
      <c r="C1053" s="3"/>
    </row>
    <row r="1054" spans="1:3" x14ac:dyDescent="0.25">
      <c r="A1054" s="5" t="s">
        <v>1167</v>
      </c>
      <c r="B1054" s="3"/>
      <c r="C1054" s="3"/>
    </row>
    <row r="1055" spans="1:3" x14ac:dyDescent="0.25">
      <c r="A1055" s="5" t="s">
        <v>1168</v>
      </c>
      <c r="B1055" s="3"/>
      <c r="C1055" s="3"/>
    </row>
    <row r="1056" spans="1:3" x14ac:dyDescent="0.25">
      <c r="A1056" s="5" t="s">
        <v>1169</v>
      </c>
      <c r="B1056" s="3"/>
      <c r="C1056" s="3"/>
    </row>
    <row r="1057" spans="1:3" x14ac:dyDescent="0.25">
      <c r="A1057" s="5" t="s">
        <v>1170</v>
      </c>
      <c r="B1057" s="3"/>
      <c r="C1057" s="3"/>
    </row>
    <row r="1058" spans="1:3" x14ac:dyDescent="0.25">
      <c r="A1058" s="5" t="s">
        <v>1171</v>
      </c>
      <c r="B1058" s="3"/>
      <c r="C1058" s="3"/>
    </row>
    <row r="1059" spans="1:3" x14ac:dyDescent="0.25">
      <c r="A1059" s="5" t="s">
        <v>1172</v>
      </c>
      <c r="B1059" s="3"/>
      <c r="C1059" s="3"/>
    </row>
    <row r="1060" spans="1:3" x14ac:dyDescent="0.25">
      <c r="A1060" s="5" t="s">
        <v>1173</v>
      </c>
      <c r="B1060" s="3"/>
      <c r="C1060" s="3"/>
    </row>
    <row r="1061" spans="1:3" x14ac:dyDescent="0.25">
      <c r="A1061" s="5" t="s">
        <v>1174</v>
      </c>
      <c r="B1061" s="3"/>
      <c r="C1061" s="3"/>
    </row>
    <row r="1062" spans="1:3" x14ac:dyDescent="0.25">
      <c r="A1062" s="5" t="s">
        <v>1175</v>
      </c>
      <c r="B1062" s="3"/>
      <c r="C1062" s="3"/>
    </row>
    <row r="1063" spans="1:3" x14ac:dyDescent="0.25">
      <c r="A1063" s="5" t="s">
        <v>1176</v>
      </c>
      <c r="B1063" s="3"/>
      <c r="C1063" s="3"/>
    </row>
    <row r="1064" spans="1:3" x14ac:dyDescent="0.25">
      <c r="A1064" s="5" t="s">
        <v>1177</v>
      </c>
      <c r="B1064" s="3"/>
      <c r="C1064" s="3"/>
    </row>
    <row r="1065" spans="1:3" x14ac:dyDescent="0.25">
      <c r="A1065" s="5" t="s">
        <v>1178</v>
      </c>
      <c r="B1065" s="3"/>
      <c r="C1065" s="3"/>
    </row>
    <row r="1066" spans="1:3" x14ac:dyDescent="0.25">
      <c r="A1066" s="5" t="s">
        <v>1179</v>
      </c>
      <c r="B1066" s="3"/>
      <c r="C1066" s="3"/>
    </row>
    <row r="1067" spans="1:3" x14ac:dyDescent="0.25">
      <c r="A1067" s="5" t="s">
        <v>1180</v>
      </c>
      <c r="B1067" s="3"/>
      <c r="C1067" s="3"/>
    </row>
    <row r="1068" spans="1:3" x14ac:dyDescent="0.25">
      <c r="A1068" s="5" t="s">
        <v>1181</v>
      </c>
      <c r="B1068" s="3"/>
      <c r="C1068" s="3"/>
    </row>
    <row r="1069" spans="1:3" x14ac:dyDescent="0.25">
      <c r="A1069" s="5" t="s">
        <v>1182</v>
      </c>
      <c r="B1069" s="3"/>
      <c r="C1069" s="3"/>
    </row>
    <row r="1070" spans="1:3" x14ac:dyDescent="0.25">
      <c r="A1070" s="5" t="s">
        <v>1183</v>
      </c>
      <c r="B1070" s="3"/>
      <c r="C1070" s="3"/>
    </row>
    <row r="1071" spans="1:3" x14ac:dyDescent="0.25">
      <c r="A1071" s="5" t="s">
        <v>1184</v>
      </c>
      <c r="B1071" s="3"/>
      <c r="C1071" s="3"/>
    </row>
    <row r="1072" spans="1:3" x14ac:dyDescent="0.25">
      <c r="A1072" s="5" t="s">
        <v>1185</v>
      </c>
      <c r="B1072" s="3"/>
      <c r="C1072" s="3"/>
    </row>
    <row r="1073" spans="1:3" x14ac:dyDescent="0.25">
      <c r="A1073" s="5" t="s">
        <v>1186</v>
      </c>
      <c r="B1073" s="3"/>
      <c r="C1073" s="3"/>
    </row>
    <row r="1074" spans="1:3" x14ac:dyDescent="0.25">
      <c r="A1074" s="5" t="s">
        <v>1187</v>
      </c>
      <c r="B1074" s="3"/>
      <c r="C1074" s="3"/>
    </row>
    <row r="1075" spans="1:3" x14ac:dyDescent="0.25">
      <c r="A1075" s="5" t="s">
        <v>1188</v>
      </c>
      <c r="B1075" s="3"/>
      <c r="C1075" s="3"/>
    </row>
    <row r="1076" spans="1:3" x14ac:dyDescent="0.25">
      <c r="A1076" s="5" t="s">
        <v>1189</v>
      </c>
      <c r="B1076" s="3"/>
      <c r="C1076" s="3"/>
    </row>
    <row r="1077" spans="1:3" x14ac:dyDescent="0.25">
      <c r="A1077" s="5" t="s">
        <v>1190</v>
      </c>
      <c r="B1077" s="3"/>
      <c r="C1077" s="3"/>
    </row>
    <row r="1078" spans="1:3" x14ac:dyDescent="0.25">
      <c r="A1078" s="5" t="s">
        <v>1191</v>
      </c>
      <c r="B1078" s="3"/>
      <c r="C1078" s="3"/>
    </row>
    <row r="1079" spans="1:3" x14ac:dyDescent="0.25">
      <c r="A1079" s="5" t="s">
        <v>1192</v>
      </c>
      <c r="B1079" s="3"/>
      <c r="C1079" s="3"/>
    </row>
    <row r="1080" spans="1:3" x14ac:dyDescent="0.25">
      <c r="A1080" s="5" t="s">
        <v>1193</v>
      </c>
      <c r="B1080" s="3"/>
      <c r="C1080" s="3"/>
    </row>
    <row r="1081" spans="1:3" x14ac:dyDescent="0.25">
      <c r="A1081" s="5" t="s">
        <v>1194</v>
      </c>
      <c r="B1081" s="3"/>
      <c r="C1081" s="3"/>
    </row>
    <row r="1082" spans="1:3" x14ac:dyDescent="0.25">
      <c r="A1082" s="5" t="s">
        <v>1195</v>
      </c>
      <c r="B1082" s="3"/>
      <c r="C1082" s="3"/>
    </row>
    <row r="1083" spans="1:3" x14ac:dyDescent="0.25">
      <c r="A1083" s="5" t="s">
        <v>1196</v>
      </c>
      <c r="B1083" s="3"/>
      <c r="C1083" s="3"/>
    </row>
    <row r="1084" spans="1:3" x14ac:dyDescent="0.25">
      <c r="A1084" s="5" t="s">
        <v>1197</v>
      </c>
      <c r="B1084" s="3"/>
      <c r="C1084" s="3"/>
    </row>
    <row r="1085" spans="1:3" x14ac:dyDescent="0.25">
      <c r="A1085" s="5" t="s">
        <v>1198</v>
      </c>
      <c r="B1085" s="3"/>
      <c r="C1085" s="3"/>
    </row>
    <row r="1086" spans="1:3" x14ac:dyDescent="0.25">
      <c r="A1086" s="5" t="s">
        <v>1199</v>
      </c>
      <c r="B1086" s="3"/>
      <c r="C1086" s="3"/>
    </row>
    <row r="1087" spans="1:3" x14ac:dyDescent="0.25">
      <c r="A1087" s="5" t="s">
        <v>1200</v>
      </c>
      <c r="B1087" s="3"/>
      <c r="C1087" s="3"/>
    </row>
    <row r="1088" spans="1:3" x14ac:dyDescent="0.25">
      <c r="A1088" s="5" t="s">
        <v>1201</v>
      </c>
      <c r="B1088" s="3"/>
      <c r="C1088" s="3"/>
    </row>
    <row r="1089" spans="1:3" x14ac:dyDescent="0.25">
      <c r="A1089" s="5" t="s">
        <v>1202</v>
      </c>
      <c r="B1089" s="3"/>
      <c r="C1089" s="3"/>
    </row>
    <row r="1090" spans="1:3" x14ac:dyDescent="0.25">
      <c r="A1090" s="5" t="s">
        <v>1203</v>
      </c>
      <c r="B1090" s="3"/>
      <c r="C1090" s="3"/>
    </row>
    <row r="1091" spans="1:3" x14ac:dyDescent="0.25">
      <c r="A1091" s="5" t="s">
        <v>1204</v>
      </c>
      <c r="B1091" s="3"/>
      <c r="C1091" s="3"/>
    </row>
    <row r="1092" spans="1:3" x14ac:dyDescent="0.25">
      <c r="A1092" s="5" t="s">
        <v>1205</v>
      </c>
      <c r="B1092" s="3"/>
      <c r="C1092" s="3"/>
    </row>
    <row r="1093" spans="1:3" x14ac:dyDescent="0.25">
      <c r="A1093" s="5" t="s">
        <v>1206</v>
      </c>
      <c r="B1093" s="3"/>
      <c r="C1093" s="3"/>
    </row>
    <row r="1094" spans="1:3" x14ac:dyDescent="0.25">
      <c r="A1094" s="5" t="s">
        <v>1207</v>
      </c>
      <c r="B1094" s="3"/>
      <c r="C1094" s="3"/>
    </row>
    <row r="1095" spans="1:3" x14ac:dyDescent="0.25">
      <c r="A1095" s="5" t="s">
        <v>1208</v>
      </c>
      <c r="B1095" s="3"/>
      <c r="C1095" s="3"/>
    </row>
    <row r="1096" spans="1:3" x14ac:dyDescent="0.25">
      <c r="A1096" s="5" t="s">
        <v>1209</v>
      </c>
      <c r="B1096" s="3"/>
      <c r="C1096" s="3"/>
    </row>
    <row r="1097" spans="1:3" x14ac:dyDescent="0.25">
      <c r="A1097" s="5" t="s">
        <v>1210</v>
      </c>
      <c r="B1097" s="3"/>
      <c r="C1097" s="3"/>
    </row>
    <row r="1098" spans="1:3" x14ac:dyDescent="0.25">
      <c r="A1098" s="5" t="s">
        <v>1211</v>
      </c>
      <c r="B1098" s="3"/>
      <c r="C1098" s="3"/>
    </row>
    <row r="1099" spans="1:3" x14ac:dyDescent="0.25">
      <c r="A1099" s="5" t="s">
        <v>1212</v>
      </c>
      <c r="B1099" s="3"/>
      <c r="C1099" s="3"/>
    </row>
    <row r="1100" spans="1:3" x14ac:dyDescent="0.25">
      <c r="A1100" s="5" t="s">
        <v>1213</v>
      </c>
      <c r="B1100" s="3"/>
      <c r="C1100" s="3"/>
    </row>
    <row r="1101" spans="1:3" x14ac:dyDescent="0.25">
      <c r="A1101" s="5" t="s">
        <v>1214</v>
      </c>
      <c r="B1101" s="3"/>
      <c r="C1101" s="3"/>
    </row>
    <row r="1102" spans="1:3" x14ac:dyDescent="0.25">
      <c r="A1102" s="5" t="s">
        <v>1215</v>
      </c>
      <c r="B1102" s="3"/>
      <c r="C1102" s="3"/>
    </row>
    <row r="1103" spans="1:3" x14ac:dyDescent="0.25">
      <c r="A1103" s="5" t="s">
        <v>1216</v>
      </c>
      <c r="B1103" s="3"/>
      <c r="C1103" s="3"/>
    </row>
    <row r="1104" spans="1:3" x14ac:dyDescent="0.25">
      <c r="A1104" s="5" t="s">
        <v>1217</v>
      </c>
      <c r="B1104" s="3"/>
      <c r="C1104" s="3"/>
    </row>
    <row r="1105" spans="1:3" x14ac:dyDescent="0.25">
      <c r="A1105" s="5" t="s">
        <v>1218</v>
      </c>
      <c r="B1105" s="3"/>
      <c r="C1105" s="3"/>
    </row>
    <row r="1106" spans="1:3" x14ac:dyDescent="0.25">
      <c r="A1106" s="5" t="s">
        <v>1219</v>
      </c>
      <c r="B1106" s="3"/>
      <c r="C1106" s="3"/>
    </row>
    <row r="1107" spans="1:3" x14ac:dyDescent="0.25">
      <c r="A1107" s="5" t="s">
        <v>1220</v>
      </c>
      <c r="B1107" s="3"/>
      <c r="C1107" s="3"/>
    </row>
    <row r="1108" spans="1:3" x14ac:dyDescent="0.25">
      <c r="A1108" s="5" t="s">
        <v>1221</v>
      </c>
      <c r="B1108" s="3"/>
      <c r="C1108" s="3"/>
    </row>
    <row r="1109" spans="1:3" x14ac:dyDescent="0.25">
      <c r="A1109" s="5" t="s">
        <v>1222</v>
      </c>
      <c r="B1109" s="3"/>
      <c r="C1109" s="3"/>
    </row>
    <row r="1110" spans="1:3" x14ac:dyDescent="0.25">
      <c r="A1110" s="5" t="s">
        <v>1223</v>
      </c>
      <c r="B1110" s="3"/>
      <c r="C1110" s="3"/>
    </row>
    <row r="1111" spans="1:3" x14ac:dyDescent="0.25">
      <c r="A1111" s="5" t="s">
        <v>1224</v>
      </c>
      <c r="B1111" s="3"/>
      <c r="C1111" s="3"/>
    </row>
    <row r="1112" spans="1:3" x14ac:dyDescent="0.25">
      <c r="A1112" s="5" t="s">
        <v>1225</v>
      </c>
      <c r="B1112" s="3"/>
      <c r="C1112" s="3"/>
    </row>
    <row r="1113" spans="1:3" x14ac:dyDescent="0.25">
      <c r="A1113" s="5" t="s">
        <v>1226</v>
      </c>
      <c r="B1113" s="3"/>
      <c r="C1113" s="3"/>
    </row>
    <row r="1114" spans="1:3" x14ac:dyDescent="0.25">
      <c r="A1114" s="5" t="s">
        <v>1227</v>
      </c>
      <c r="B1114" s="3"/>
      <c r="C1114" s="3"/>
    </row>
    <row r="1115" spans="1:3" x14ac:dyDescent="0.25">
      <c r="A1115" s="5" t="s">
        <v>1228</v>
      </c>
      <c r="B1115" s="3"/>
      <c r="C1115" s="3"/>
    </row>
    <row r="1116" spans="1:3" x14ac:dyDescent="0.25">
      <c r="A1116" s="5" t="s">
        <v>1229</v>
      </c>
      <c r="B1116" s="3"/>
      <c r="C1116" s="3"/>
    </row>
    <row r="1117" spans="1:3" x14ac:dyDescent="0.25">
      <c r="A1117" s="5" t="s">
        <v>1230</v>
      </c>
      <c r="B1117" s="3"/>
      <c r="C1117" s="3"/>
    </row>
    <row r="1118" spans="1:3" x14ac:dyDescent="0.25">
      <c r="A1118" s="5" t="s">
        <v>1231</v>
      </c>
      <c r="B1118" s="3"/>
      <c r="C1118" s="3"/>
    </row>
    <row r="1119" spans="1:3" x14ac:dyDescent="0.25">
      <c r="A1119" s="5" t="s">
        <v>1232</v>
      </c>
      <c r="B1119" s="3"/>
      <c r="C1119" s="3"/>
    </row>
    <row r="1120" spans="1:3" x14ac:dyDescent="0.25">
      <c r="A1120" s="5" t="s">
        <v>1233</v>
      </c>
      <c r="B1120" s="3"/>
      <c r="C1120" s="3"/>
    </row>
    <row r="1121" spans="1:3" x14ac:dyDescent="0.25">
      <c r="A1121" s="5" t="s">
        <v>1234</v>
      </c>
      <c r="B1121" s="3"/>
      <c r="C1121" s="3"/>
    </row>
    <row r="1122" spans="1:3" x14ac:dyDescent="0.25">
      <c r="A1122" s="5" t="s">
        <v>1235</v>
      </c>
      <c r="B1122" s="3"/>
      <c r="C1122" s="3"/>
    </row>
    <row r="1123" spans="1:3" x14ac:dyDescent="0.25">
      <c r="A1123" s="5" t="s">
        <v>1236</v>
      </c>
      <c r="B1123" s="3"/>
      <c r="C1123" s="3"/>
    </row>
    <row r="1124" spans="1:3" x14ac:dyDescent="0.25">
      <c r="A1124" s="5" t="s">
        <v>1237</v>
      </c>
      <c r="B1124" s="3"/>
      <c r="C1124" s="3"/>
    </row>
    <row r="1125" spans="1:3" x14ac:dyDescent="0.25">
      <c r="A1125" s="5" t="s">
        <v>1238</v>
      </c>
      <c r="B1125" s="3"/>
      <c r="C1125" s="3"/>
    </row>
    <row r="1126" spans="1:3" x14ac:dyDescent="0.25">
      <c r="A1126" s="5" t="s">
        <v>1239</v>
      </c>
      <c r="B1126" s="3"/>
      <c r="C1126" s="3"/>
    </row>
    <row r="1127" spans="1:3" x14ac:dyDescent="0.25">
      <c r="A1127" s="5" t="s">
        <v>1240</v>
      </c>
      <c r="B1127" s="3"/>
      <c r="C1127" s="3"/>
    </row>
    <row r="1128" spans="1:3" x14ac:dyDescent="0.25">
      <c r="A1128" s="5" t="s">
        <v>1241</v>
      </c>
      <c r="B1128" s="3"/>
      <c r="C1128" s="3"/>
    </row>
    <row r="1129" spans="1:3" x14ac:dyDescent="0.25">
      <c r="A1129" s="5" t="s">
        <v>1242</v>
      </c>
      <c r="B1129" s="3"/>
      <c r="C1129" s="3"/>
    </row>
    <row r="1130" spans="1:3" x14ac:dyDescent="0.25">
      <c r="A1130" s="5" t="s">
        <v>1243</v>
      </c>
      <c r="B1130" s="3"/>
      <c r="C1130" s="3"/>
    </row>
    <row r="1131" spans="1:3" x14ac:dyDescent="0.25">
      <c r="A1131" s="5" t="s">
        <v>1244</v>
      </c>
      <c r="B1131" s="3"/>
      <c r="C1131" s="3"/>
    </row>
    <row r="1132" spans="1:3" x14ac:dyDescent="0.25">
      <c r="A1132" s="5" t="s">
        <v>1245</v>
      </c>
      <c r="B1132" s="3"/>
      <c r="C1132" s="3"/>
    </row>
    <row r="1133" spans="1:3" x14ac:dyDescent="0.25">
      <c r="A1133" s="5" t="s">
        <v>1246</v>
      </c>
      <c r="B1133" s="3"/>
      <c r="C1133" s="3"/>
    </row>
    <row r="1134" spans="1:3" x14ac:dyDescent="0.25">
      <c r="A1134" s="5" t="s">
        <v>1247</v>
      </c>
      <c r="B1134" s="3"/>
      <c r="C1134" s="3"/>
    </row>
    <row r="1135" spans="1:3" x14ac:dyDescent="0.25">
      <c r="A1135" s="5" t="s">
        <v>1248</v>
      </c>
      <c r="B1135" s="3"/>
      <c r="C1135" s="3"/>
    </row>
    <row r="1136" spans="1:3" x14ac:dyDescent="0.25">
      <c r="A1136" s="5" t="s">
        <v>1249</v>
      </c>
      <c r="B1136" s="3"/>
      <c r="C1136" s="3"/>
    </row>
    <row r="1137" spans="1:3" x14ac:dyDescent="0.25">
      <c r="A1137" s="5" t="s">
        <v>1250</v>
      </c>
      <c r="B1137" s="3"/>
      <c r="C1137" s="3"/>
    </row>
    <row r="1138" spans="1:3" x14ac:dyDescent="0.25">
      <c r="A1138" s="5" t="s">
        <v>1251</v>
      </c>
      <c r="B1138" s="3"/>
      <c r="C1138" s="3"/>
    </row>
    <row r="1139" spans="1:3" x14ac:dyDescent="0.25">
      <c r="A1139" s="5" t="s">
        <v>1252</v>
      </c>
      <c r="B1139" s="3"/>
      <c r="C1139" s="3"/>
    </row>
    <row r="1140" spans="1:3" x14ac:dyDescent="0.25">
      <c r="A1140" s="5" t="s">
        <v>1253</v>
      </c>
      <c r="B1140" s="3"/>
      <c r="C1140" s="3"/>
    </row>
    <row r="1141" spans="1:3" x14ac:dyDescent="0.25">
      <c r="A1141" s="5" t="s">
        <v>1254</v>
      </c>
      <c r="B1141" s="3"/>
      <c r="C1141" s="3"/>
    </row>
    <row r="1142" spans="1:3" x14ac:dyDescent="0.25">
      <c r="A1142" s="5" t="s">
        <v>1255</v>
      </c>
      <c r="B1142" s="3"/>
      <c r="C1142" s="3"/>
    </row>
    <row r="1143" spans="1:3" x14ac:dyDescent="0.25">
      <c r="A1143" s="5" t="s">
        <v>1256</v>
      </c>
      <c r="B1143" s="3"/>
      <c r="C1143" s="3"/>
    </row>
    <row r="1144" spans="1:3" x14ac:dyDescent="0.25">
      <c r="A1144" s="5" t="s">
        <v>1257</v>
      </c>
      <c r="B1144" s="3"/>
      <c r="C1144" s="3"/>
    </row>
    <row r="1145" spans="1:3" x14ac:dyDescent="0.25">
      <c r="A1145" s="5" t="s">
        <v>1258</v>
      </c>
      <c r="B1145" s="3"/>
      <c r="C1145" s="3"/>
    </row>
    <row r="1146" spans="1:3" x14ac:dyDescent="0.25">
      <c r="A1146" s="5" t="s">
        <v>1259</v>
      </c>
      <c r="B1146" s="3"/>
      <c r="C1146" s="3"/>
    </row>
    <row r="1147" spans="1:3" x14ac:dyDescent="0.25">
      <c r="A1147" s="5" t="s">
        <v>1260</v>
      </c>
      <c r="B1147" s="3"/>
      <c r="C1147" s="3"/>
    </row>
    <row r="1148" spans="1:3" x14ac:dyDescent="0.25">
      <c r="A1148" s="5" t="s">
        <v>1261</v>
      </c>
      <c r="B1148" s="3"/>
      <c r="C1148" s="3"/>
    </row>
    <row r="1149" spans="1:3" x14ac:dyDescent="0.25">
      <c r="A1149" s="5" t="s">
        <v>1262</v>
      </c>
      <c r="B1149" s="3"/>
      <c r="C1149" s="3"/>
    </row>
    <row r="1150" spans="1:3" x14ac:dyDescent="0.25">
      <c r="A1150" s="5" t="s">
        <v>1263</v>
      </c>
      <c r="B1150" s="3"/>
      <c r="C1150" s="3"/>
    </row>
    <row r="1151" spans="1:3" x14ac:dyDescent="0.25">
      <c r="A1151" s="5" t="s">
        <v>1264</v>
      </c>
      <c r="B1151" s="3"/>
      <c r="C1151" s="3"/>
    </row>
    <row r="1152" spans="1:3" x14ac:dyDescent="0.25">
      <c r="A1152" s="5" t="s">
        <v>1265</v>
      </c>
      <c r="B1152" s="3"/>
      <c r="C1152" s="3"/>
    </row>
    <row r="1153" spans="1:3" x14ac:dyDescent="0.25">
      <c r="A1153" s="5" t="s">
        <v>1266</v>
      </c>
      <c r="B1153" s="3"/>
      <c r="C1153" s="3"/>
    </row>
    <row r="1154" spans="1:3" x14ac:dyDescent="0.25">
      <c r="A1154" s="5" t="s">
        <v>1267</v>
      </c>
      <c r="B1154" s="3"/>
      <c r="C1154" s="3"/>
    </row>
    <row r="1155" spans="1:3" x14ac:dyDescent="0.25">
      <c r="A1155" s="5" t="s">
        <v>1268</v>
      </c>
      <c r="B1155" s="3"/>
      <c r="C1155" s="3"/>
    </row>
    <row r="1156" spans="1:3" x14ac:dyDescent="0.25">
      <c r="A1156" s="5" t="s">
        <v>1269</v>
      </c>
      <c r="B1156" s="3"/>
      <c r="C1156" s="3"/>
    </row>
    <row r="1157" spans="1:3" x14ac:dyDescent="0.25">
      <c r="A1157" s="5" t="s">
        <v>1270</v>
      </c>
      <c r="B1157" s="3"/>
      <c r="C1157" s="3"/>
    </row>
    <row r="1158" spans="1:3" x14ac:dyDescent="0.25">
      <c r="A1158" s="5" t="s">
        <v>1271</v>
      </c>
      <c r="B1158" s="3"/>
      <c r="C1158" s="3"/>
    </row>
    <row r="1159" spans="1:3" x14ac:dyDescent="0.25">
      <c r="A1159" s="5" t="s">
        <v>1272</v>
      </c>
      <c r="B1159" s="3"/>
      <c r="C1159" s="3"/>
    </row>
    <row r="1160" spans="1:3" x14ac:dyDescent="0.25">
      <c r="A1160" s="5" t="s">
        <v>1273</v>
      </c>
      <c r="B1160" s="3"/>
      <c r="C1160" s="3"/>
    </row>
    <row r="1161" spans="1:3" x14ac:dyDescent="0.25">
      <c r="A1161" s="5" t="s">
        <v>1274</v>
      </c>
      <c r="B1161" s="3"/>
      <c r="C1161" s="3"/>
    </row>
    <row r="1162" spans="1:3" x14ac:dyDescent="0.25">
      <c r="A1162" s="5" t="s">
        <v>1275</v>
      </c>
      <c r="B1162" s="3"/>
      <c r="C1162" s="3"/>
    </row>
    <row r="1163" spans="1:3" x14ac:dyDescent="0.25">
      <c r="A1163" s="5" t="s">
        <v>1276</v>
      </c>
      <c r="B1163" s="3"/>
      <c r="C1163" s="3"/>
    </row>
    <row r="1164" spans="1:3" x14ac:dyDescent="0.25">
      <c r="A1164" s="5" t="s">
        <v>1277</v>
      </c>
      <c r="B1164" s="3"/>
      <c r="C1164" s="3"/>
    </row>
    <row r="1165" spans="1:3" x14ac:dyDescent="0.25">
      <c r="A1165" s="5" t="s">
        <v>1278</v>
      </c>
      <c r="B1165" s="3"/>
      <c r="C1165" s="3"/>
    </row>
    <row r="1166" spans="1:3" x14ac:dyDescent="0.25">
      <c r="A1166" s="5" t="s">
        <v>1279</v>
      </c>
      <c r="B1166" s="3"/>
      <c r="C1166" s="3"/>
    </row>
    <row r="1167" spans="1:3" x14ac:dyDescent="0.25">
      <c r="A1167" s="5" t="s">
        <v>1280</v>
      </c>
      <c r="B1167" s="3"/>
      <c r="C1167" s="3"/>
    </row>
    <row r="1168" spans="1:3" x14ac:dyDescent="0.25">
      <c r="A1168" s="5" t="s">
        <v>1281</v>
      </c>
      <c r="B1168" s="3"/>
      <c r="C1168" s="3"/>
    </row>
    <row r="1169" spans="1:3" x14ac:dyDescent="0.25">
      <c r="A1169" s="5" t="s">
        <v>1282</v>
      </c>
      <c r="B1169" s="3"/>
      <c r="C1169" s="3"/>
    </row>
    <row r="1170" spans="1:3" x14ac:dyDescent="0.25">
      <c r="A1170" s="5" t="s">
        <v>1283</v>
      </c>
      <c r="B1170" s="3"/>
      <c r="C1170" s="3"/>
    </row>
    <row r="1171" spans="1:3" x14ac:dyDescent="0.25">
      <c r="A1171" s="5" t="s">
        <v>1284</v>
      </c>
      <c r="B1171" s="3"/>
      <c r="C1171" s="3"/>
    </row>
    <row r="1172" spans="1:3" x14ac:dyDescent="0.25">
      <c r="A1172" s="5" t="s">
        <v>1285</v>
      </c>
      <c r="B1172" s="3"/>
      <c r="C1172" s="3"/>
    </row>
    <row r="1173" spans="1:3" x14ac:dyDescent="0.25">
      <c r="A1173" s="5" t="s">
        <v>1286</v>
      </c>
      <c r="B1173" s="3"/>
      <c r="C1173" s="3"/>
    </row>
    <row r="1174" spans="1:3" x14ac:dyDescent="0.25">
      <c r="A1174" s="5" t="s">
        <v>1287</v>
      </c>
      <c r="B1174" s="3"/>
      <c r="C1174" s="3"/>
    </row>
    <row r="1175" spans="1:3" x14ac:dyDescent="0.25">
      <c r="A1175" s="5" t="s">
        <v>1288</v>
      </c>
      <c r="B1175" s="3"/>
      <c r="C1175" s="3"/>
    </row>
    <row r="1176" spans="1:3" x14ac:dyDescent="0.25">
      <c r="A1176" s="5" t="s">
        <v>1289</v>
      </c>
      <c r="B1176" s="3"/>
      <c r="C1176" s="3"/>
    </row>
    <row r="1177" spans="1:3" x14ac:dyDescent="0.25">
      <c r="A1177" s="5" t="s">
        <v>1290</v>
      </c>
      <c r="B1177" s="3"/>
      <c r="C1177" s="3"/>
    </row>
    <row r="1178" spans="1:3" x14ac:dyDescent="0.25">
      <c r="A1178" s="5" t="s">
        <v>1291</v>
      </c>
      <c r="B1178" s="3"/>
      <c r="C1178" s="3"/>
    </row>
    <row r="1179" spans="1:3" x14ac:dyDescent="0.25">
      <c r="A1179" s="5" t="s">
        <v>1292</v>
      </c>
      <c r="B1179" s="3"/>
      <c r="C1179" s="3"/>
    </row>
    <row r="1180" spans="1:3" x14ac:dyDescent="0.25">
      <c r="A1180" s="5" t="s">
        <v>1293</v>
      </c>
      <c r="B1180" s="3"/>
      <c r="C1180" s="3"/>
    </row>
    <row r="1181" spans="1:3" x14ac:dyDescent="0.25">
      <c r="A1181" s="5" t="s">
        <v>1294</v>
      </c>
      <c r="B1181" s="3"/>
      <c r="C1181" s="3"/>
    </row>
    <row r="1182" spans="1:3" x14ac:dyDescent="0.25">
      <c r="A1182" s="5" t="s">
        <v>1295</v>
      </c>
      <c r="B1182" s="3"/>
      <c r="C1182" s="3"/>
    </row>
    <row r="1183" spans="1:3" x14ac:dyDescent="0.25">
      <c r="A1183" s="5" t="s">
        <v>1296</v>
      </c>
      <c r="B1183" s="3"/>
      <c r="C1183" s="3"/>
    </row>
    <row r="1184" spans="1:3" x14ac:dyDescent="0.25">
      <c r="A1184" s="5" t="s">
        <v>1297</v>
      </c>
      <c r="B1184" s="3"/>
      <c r="C1184" s="3"/>
    </row>
    <row r="1185" spans="1:3" x14ac:dyDescent="0.25">
      <c r="A1185" s="5" t="s">
        <v>1298</v>
      </c>
      <c r="B1185" s="3"/>
      <c r="C1185" s="3"/>
    </row>
    <row r="1186" spans="1:3" x14ac:dyDescent="0.25">
      <c r="A1186" s="5" t="s">
        <v>1299</v>
      </c>
      <c r="B1186" s="3"/>
      <c r="C1186" s="3"/>
    </row>
    <row r="1187" spans="1:3" x14ac:dyDescent="0.25">
      <c r="A1187" s="5" t="s">
        <v>1300</v>
      </c>
      <c r="B1187" s="3"/>
      <c r="C1187" s="3"/>
    </row>
    <row r="1188" spans="1:3" x14ac:dyDescent="0.25">
      <c r="A1188" s="5" t="s">
        <v>1301</v>
      </c>
      <c r="B1188" s="3"/>
      <c r="C1188" s="3"/>
    </row>
    <row r="1189" spans="1:3" x14ac:dyDescent="0.25">
      <c r="A1189" s="5" t="s">
        <v>1302</v>
      </c>
      <c r="B1189" s="3"/>
      <c r="C1189" s="3"/>
    </row>
    <row r="1190" spans="1:3" x14ac:dyDescent="0.25">
      <c r="A1190" s="5" t="s">
        <v>1303</v>
      </c>
      <c r="B1190" s="3"/>
      <c r="C1190" s="3"/>
    </row>
    <row r="1191" spans="1:3" x14ac:dyDescent="0.25">
      <c r="A1191" s="5" t="s">
        <v>1304</v>
      </c>
      <c r="B1191" s="3"/>
      <c r="C1191" s="3"/>
    </row>
    <row r="1192" spans="1:3" x14ac:dyDescent="0.25">
      <c r="A1192" s="5" t="s">
        <v>1305</v>
      </c>
      <c r="B1192" s="3"/>
      <c r="C1192" s="3"/>
    </row>
    <row r="1193" spans="1:3" x14ac:dyDescent="0.25">
      <c r="A1193" s="5" t="s">
        <v>1306</v>
      </c>
      <c r="B1193" s="3"/>
      <c r="C1193" s="3"/>
    </row>
    <row r="1194" spans="1:3" x14ac:dyDescent="0.25">
      <c r="A1194" s="5" t="s">
        <v>1307</v>
      </c>
      <c r="B1194" s="3"/>
      <c r="C1194" s="3"/>
    </row>
    <row r="1195" spans="1:3" x14ac:dyDescent="0.25">
      <c r="A1195" s="5" t="s">
        <v>1308</v>
      </c>
      <c r="B1195" s="3"/>
      <c r="C1195" s="3"/>
    </row>
    <row r="1196" spans="1:3" x14ac:dyDescent="0.25">
      <c r="A1196" s="5" t="s">
        <v>1309</v>
      </c>
      <c r="B1196" s="3"/>
      <c r="C1196" s="3"/>
    </row>
    <row r="1197" spans="1:3" x14ac:dyDescent="0.25">
      <c r="A1197" s="5" t="s">
        <v>1310</v>
      </c>
      <c r="B1197" s="3"/>
      <c r="C1197" s="3"/>
    </row>
    <row r="1198" spans="1:3" x14ac:dyDescent="0.25">
      <c r="A1198" s="5" t="s">
        <v>1311</v>
      </c>
      <c r="B1198" s="3"/>
      <c r="C1198" s="3"/>
    </row>
    <row r="1199" spans="1:3" x14ac:dyDescent="0.25">
      <c r="A1199" s="5" t="s">
        <v>1312</v>
      </c>
      <c r="B1199" s="3"/>
      <c r="C1199" s="3"/>
    </row>
    <row r="1200" spans="1:3" x14ac:dyDescent="0.25">
      <c r="A1200" s="5" t="s">
        <v>1313</v>
      </c>
      <c r="B1200" s="3"/>
      <c r="C1200" s="3"/>
    </row>
    <row r="1201" spans="1:3" x14ac:dyDescent="0.25">
      <c r="A1201" s="5" t="s">
        <v>1314</v>
      </c>
      <c r="B1201" s="3"/>
      <c r="C1201" s="3"/>
    </row>
    <row r="1202" spans="1:3" x14ac:dyDescent="0.25">
      <c r="A1202" s="5" t="s">
        <v>1315</v>
      </c>
      <c r="B1202" s="3"/>
      <c r="C1202" s="3"/>
    </row>
    <row r="1203" spans="1:3" x14ac:dyDescent="0.25">
      <c r="A1203" s="5" t="s">
        <v>1316</v>
      </c>
      <c r="B1203" s="3"/>
      <c r="C1203" s="3"/>
    </row>
    <row r="1204" spans="1:3" x14ac:dyDescent="0.25">
      <c r="A1204" s="5" t="s">
        <v>1317</v>
      </c>
      <c r="B1204" s="3"/>
      <c r="C1204" s="3"/>
    </row>
    <row r="1205" spans="1:3" x14ac:dyDescent="0.25">
      <c r="A1205" s="5" t="s">
        <v>1318</v>
      </c>
      <c r="B1205" s="3"/>
      <c r="C1205" s="3"/>
    </row>
    <row r="1206" spans="1:3" x14ac:dyDescent="0.25">
      <c r="A1206" s="5" t="s">
        <v>1319</v>
      </c>
      <c r="B1206" s="3"/>
      <c r="C1206" s="3"/>
    </row>
    <row r="1207" spans="1:3" x14ac:dyDescent="0.25">
      <c r="A1207" s="5" t="s">
        <v>1320</v>
      </c>
      <c r="B1207" s="3"/>
      <c r="C1207" s="3"/>
    </row>
    <row r="1208" spans="1:3" x14ac:dyDescent="0.25">
      <c r="A1208" s="5" t="s">
        <v>1321</v>
      </c>
      <c r="B1208" s="3"/>
      <c r="C1208" s="3"/>
    </row>
    <row r="1209" spans="1:3" x14ac:dyDescent="0.25">
      <c r="A1209" s="5" t="s">
        <v>1322</v>
      </c>
      <c r="B1209" s="3"/>
      <c r="C1209" s="3"/>
    </row>
    <row r="1210" spans="1:3" x14ac:dyDescent="0.25">
      <c r="A1210" s="5" t="s">
        <v>1323</v>
      </c>
      <c r="B1210" s="3"/>
      <c r="C1210" s="3"/>
    </row>
    <row r="1211" spans="1:3" x14ac:dyDescent="0.25">
      <c r="A1211" s="5" t="s">
        <v>1324</v>
      </c>
      <c r="B1211" s="3"/>
      <c r="C1211" s="3"/>
    </row>
    <row r="1212" spans="1:3" x14ac:dyDescent="0.25">
      <c r="A1212" s="5" t="s">
        <v>1325</v>
      </c>
      <c r="B1212" s="3"/>
      <c r="C1212" s="3"/>
    </row>
    <row r="1213" spans="1:3" x14ac:dyDescent="0.25">
      <c r="A1213" s="5" t="s">
        <v>1326</v>
      </c>
      <c r="B1213" s="3"/>
      <c r="C1213" s="3"/>
    </row>
    <row r="1214" spans="1:3" x14ac:dyDescent="0.25">
      <c r="A1214" s="5" t="s">
        <v>1327</v>
      </c>
      <c r="B1214" s="3"/>
      <c r="C1214" s="3"/>
    </row>
    <row r="1215" spans="1:3" x14ac:dyDescent="0.25">
      <c r="A1215" s="5" t="s">
        <v>1328</v>
      </c>
      <c r="B1215" s="3"/>
      <c r="C1215" s="3"/>
    </row>
    <row r="1216" spans="1:3" x14ac:dyDescent="0.25">
      <c r="A1216" s="5" t="s">
        <v>1329</v>
      </c>
      <c r="B1216" s="3"/>
      <c r="C1216" s="3"/>
    </row>
    <row r="1217" spans="1:3" x14ac:dyDescent="0.25">
      <c r="A1217" s="5" t="s">
        <v>1330</v>
      </c>
      <c r="B1217" s="3"/>
      <c r="C1217" s="3"/>
    </row>
    <row r="1218" spans="1:3" x14ac:dyDescent="0.25">
      <c r="A1218" s="5" t="s">
        <v>1331</v>
      </c>
      <c r="B1218" s="3"/>
      <c r="C1218" s="3"/>
    </row>
    <row r="1219" spans="1:3" x14ac:dyDescent="0.25">
      <c r="A1219" s="5" t="s">
        <v>1332</v>
      </c>
      <c r="B1219" s="3"/>
      <c r="C1219" s="3"/>
    </row>
    <row r="1220" spans="1:3" x14ac:dyDescent="0.25">
      <c r="A1220" s="5" t="s">
        <v>1333</v>
      </c>
      <c r="B1220" s="3"/>
      <c r="C1220" s="3"/>
    </row>
    <row r="1221" spans="1:3" x14ac:dyDescent="0.25">
      <c r="A1221" s="5" t="s">
        <v>1334</v>
      </c>
      <c r="B1221" s="3"/>
      <c r="C1221" s="3"/>
    </row>
    <row r="1222" spans="1:3" x14ac:dyDescent="0.25">
      <c r="A1222" s="5" t="s">
        <v>1335</v>
      </c>
      <c r="B1222" s="3"/>
      <c r="C1222" s="3"/>
    </row>
    <row r="1223" spans="1:3" x14ac:dyDescent="0.25">
      <c r="A1223" s="5" t="s">
        <v>1336</v>
      </c>
      <c r="B1223" s="3"/>
      <c r="C1223" s="3"/>
    </row>
    <row r="1224" spans="1:3" x14ac:dyDescent="0.25">
      <c r="A1224" s="5" t="s">
        <v>1337</v>
      </c>
      <c r="B1224" s="3"/>
      <c r="C1224" s="3"/>
    </row>
    <row r="1225" spans="1:3" x14ac:dyDescent="0.25">
      <c r="A1225" s="5" t="s">
        <v>1338</v>
      </c>
      <c r="B1225" s="3"/>
      <c r="C1225" s="3"/>
    </row>
    <row r="1226" spans="1:3" x14ac:dyDescent="0.25">
      <c r="A1226" s="5" t="s">
        <v>1339</v>
      </c>
      <c r="B1226" s="3"/>
      <c r="C1226" s="3"/>
    </row>
    <row r="1227" spans="1:3" x14ac:dyDescent="0.25">
      <c r="A1227" s="5" t="s">
        <v>1340</v>
      </c>
      <c r="B1227" s="3"/>
      <c r="C1227" s="3"/>
    </row>
    <row r="1228" spans="1:3" x14ac:dyDescent="0.25">
      <c r="A1228" s="5" t="s">
        <v>1341</v>
      </c>
      <c r="B1228" s="3"/>
      <c r="C1228" s="3"/>
    </row>
    <row r="1229" spans="1:3" x14ac:dyDescent="0.25">
      <c r="A1229" s="5" t="s">
        <v>1342</v>
      </c>
      <c r="B1229" s="3"/>
      <c r="C1229" s="3"/>
    </row>
    <row r="1230" spans="1:3" x14ac:dyDescent="0.25">
      <c r="A1230" s="5" t="s">
        <v>1343</v>
      </c>
      <c r="B1230" s="3"/>
      <c r="C1230" s="3"/>
    </row>
    <row r="1231" spans="1:3" x14ac:dyDescent="0.25">
      <c r="A1231" s="5" t="s">
        <v>1344</v>
      </c>
      <c r="B1231" s="3"/>
      <c r="C1231" s="3"/>
    </row>
    <row r="1232" spans="1:3" x14ac:dyDescent="0.25">
      <c r="A1232" s="5" t="s">
        <v>1345</v>
      </c>
      <c r="B1232" s="3"/>
      <c r="C1232" s="3"/>
    </row>
    <row r="1233" spans="1:3" x14ac:dyDescent="0.25">
      <c r="A1233" s="5" t="s">
        <v>1346</v>
      </c>
      <c r="B1233" s="3"/>
      <c r="C1233" s="3"/>
    </row>
    <row r="1234" spans="1:3" x14ac:dyDescent="0.25">
      <c r="A1234" s="5" t="s">
        <v>1347</v>
      </c>
      <c r="B1234" s="3"/>
      <c r="C1234" s="3"/>
    </row>
    <row r="1235" spans="1:3" x14ac:dyDescent="0.25">
      <c r="A1235" s="5" t="s">
        <v>1348</v>
      </c>
      <c r="B1235" s="3"/>
      <c r="C1235" s="3"/>
    </row>
    <row r="1236" spans="1:3" x14ac:dyDescent="0.25">
      <c r="A1236" s="5" t="s">
        <v>1349</v>
      </c>
      <c r="B1236" s="3"/>
      <c r="C1236" s="3"/>
    </row>
    <row r="1237" spans="1:3" x14ac:dyDescent="0.25">
      <c r="A1237" s="5" t="s">
        <v>1350</v>
      </c>
      <c r="B1237" s="3"/>
      <c r="C1237" s="3"/>
    </row>
    <row r="1238" spans="1:3" x14ac:dyDescent="0.25">
      <c r="A1238" s="5" t="s">
        <v>1351</v>
      </c>
      <c r="B1238" s="3"/>
      <c r="C1238" s="3"/>
    </row>
    <row r="1239" spans="1:3" x14ac:dyDescent="0.25">
      <c r="A1239" s="5" t="s">
        <v>1352</v>
      </c>
      <c r="B1239" s="3"/>
      <c r="C1239" s="3"/>
    </row>
    <row r="1240" spans="1:3" x14ac:dyDescent="0.25">
      <c r="A1240" s="5" t="s">
        <v>1353</v>
      </c>
      <c r="B1240" s="3"/>
      <c r="C1240" s="3"/>
    </row>
    <row r="1241" spans="1:3" x14ac:dyDescent="0.25">
      <c r="A1241" s="5" t="s">
        <v>1354</v>
      </c>
      <c r="B1241" s="3"/>
      <c r="C1241" s="3"/>
    </row>
    <row r="1242" spans="1:3" x14ac:dyDescent="0.25">
      <c r="A1242" s="5" t="s">
        <v>1355</v>
      </c>
      <c r="B1242" s="3"/>
      <c r="C1242" s="3"/>
    </row>
    <row r="1243" spans="1:3" x14ac:dyDescent="0.25">
      <c r="A1243" s="5" t="s">
        <v>1356</v>
      </c>
      <c r="B1243" s="3"/>
      <c r="C1243" s="3"/>
    </row>
    <row r="1244" spans="1:3" x14ac:dyDescent="0.25">
      <c r="A1244" s="5" t="s">
        <v>1357</v>
      </c>
      <c r="B1244" s="3"/>
      <c r="C1244" s="3"/>
    </row>
    <row r="1245" spans="1:3" x14ac:dyDescent="0.25">
      <c r="A1245" s="5" t="s">
        <v>1358</v>
      </c>
      <c r="B1245" s="3"/>
      <c r="C1245" s="3"/>
    </row>
    <row r="1246" spans="1:3" x14ac:dyDescent="0.25">
      <c r="A1246" s="5" t="s">
        <v>1359</v>
      </c>
      <c r="B1246" s="3"/>
      <c r="C1246" s="3"/>
    </row>
    <row r="1247" spans="1:3" x14ac:dyDescent="0.25">
      <c r="A1247" s="5" t="s">
        <v>1360</v>
      </c>
      <c r="B1247" s="3"/>
      <c r="C1247" s="3"/>
    </row>
    <row r="1248" spans="1:3" x14ac:dyDescent="0.25">
      <c r="A1248" s="5" t="s">
        <v>1361</v>
      </c>
      <c r="B1248" s="3"/>
      <c r="C1248" s="3"/>
    </row>
    <row r="1249" spans="1:3" x14ac:dyDescent="0.25">
      <c r="A1249" s="5" t="s">
        <v>1362</v>
      </c>
      <c r="B1249" s="3"/>
      <c r="C1249" s="3"/>
    </row>
    <row r="1250" spans="1:3" x14ac:dyDescent="0.25">
      <c r="A1250" s="5" t="s">
        <v>1363</v>
      </c>
      <c r="B1250" s="3"/>
      <c r="C1250" s="3"/>
    </row>
    <row r="1251" spans="1:3" x14ac:dyDescent="0.25">
      <c r="A1251" s="5" t="s">
        <v>1364</v>
      </c>
      <c r="B1251" s="3"/>
      <c r="C1251" s="3"/>
    </row>
    <row r="1252" spans="1:3" x14ac:dyDescent="0.25">
      <c r="A1252" s="5" t="s">
        <v>1365</v>
      </c>
      <c r="B1252" s="3"/>
      <c r="C1252" s="3"/>
    </row>
    <row r="1253" spans="1:3" x14ac:dyDescent="0.25">
      <c r="A1253" s="5" t="s">
        <v>1366</v>
      </c>
      <c r="B1253" s="3"/>
      <c r="C1253" s="3"/>
    </row>
    <row r="1254" spans="1:3" x14ac:dyDescent="0.25">
      <c r="A1254" s="5" t="s">
        <v>1367</v>
      </c>
      <c r="B1254" s="3"/>
      <c r="C1254" s="3"/>
    </row>
    <row r="1255" spans="1:3" x14ac:dyDescent="0.25">
      <c r="A1255" s="5" t="s">
        <v>1368</v>
      </c>
      <c r="B1255" s="3"/>
      <c r="C1255" s="3"/>
    </row>
    <row r="1256" spans="1:3" x14ac:dyDescent="0.25">
      <c r="A1256" s="5" t="s">
        <v>1369</v>
      </c>
      <c r="B1256" s="3"/>
      <c r="C1256" s="3"/>
    </row>
    <row r="1257" spans="1:3" x14ac:dyDescent="0.25">
      <c r="A1257" s="5" t="s">
        <v>1370</v>
      </c>
      <c r="B1257" s="3"/>
      <c r="C1257" s="3"/>
    </row>
    <row r="1258" spans="1:3" x14ac:dyDescent="0.25">
      <c r="A1258" s="5" t="s">
        <v>1371</v>
      </c>
      <c r="B1258" s="3"/>
      <c r="C1258" s="3"/>
    </row>
    <row r="1259" spans="1:3" x14ac:dyDescent="0.25">
      <c r="A1259" s="5" t="s">
        <v>1372</v>
      </c>
      <c r="B1259" s="3"/>
      <c r="C1259" s="3"/>
    </row>
    <row r="1260" spans="1:3" x14ac:dyDescent="0.25">
      <c r="A1260" s="5" t="s">
        <v>1373</v>
      </c>
      <c r="B1260" s="3"/>
      <c r="C1260" s="3"/>
    </row>
    <row r="1261" spans="1:3" x14ac:dyDescent="0.25">
      <c r="A1261" s="5" t="s">
        <v>1374</v>
      </c>
      <c r="B1261" s="3"/>
      <c r="C1261" s="3"/>
    </row>
    <row r="1262" spans="1:3" x14ac:dyDescent="0.25">
      <c r="A1262" s="5" t="s">
        <v>1375</v>
      </c>
      <c r="B1262" s="3"/>
      <c r="C1262" s="3"/>
    </row>
    <row r="1263" spans="1:3" x14ac:dyDescent="0.25">
      <c r="A1263" s="5" t="s">
        <v>1376</v>
      </c>
      <c r="B1263" s="3"/>
      <c r="C1263" s="3"/>
    </row>
    <row r="1264" spans="1:3" x14ac:dyDescent="0.25">
      <c r="A1264" s="5" t="s">
        <v>1377</v>
      </c>
      <c r="B1264" s="3"/>
      <c r="C1264" s="3"/>
    </row>
    <row r="1265" spans="1:3" x14ac:dyDescent="0.25">
      <c r="A1265" s="5" t="s">
        <v>1378</v>
      </c>
      <c r="B1265" s="3"/>
      <c r="C1265" s="3"/>
    </row>
    <row r="1266" spans="1:3" x14ac:dyDescent="0.25">
      <c r="A1266" s="5" t="s">
        <v>1379</v>
      </c>
      <c r="B1266" s="3"/>
      <c r="C1266" s="3"/>
    </row>
    <row r="1267" spans="1:3" x14ac:dyDescent="0.25">
      <c r="A1267" s="5" t="s">
        <v>1380</v>
      </c>
      <c r="B1267" s="3"/>
      <c r="C1267" s="3"/>
    </row>
    <row r="1268" spans="1:3" x14ac:dyDescent="0.25">
      <c r="A1268" s="5" t="s">
        <v>1381</v>
      </c>
      <c r="B1268" s="3"/>
      <c r="C1268" s="3"/>
    </row>
    <row r="1269" spans="1:3" x14ac:dyDescent="0.25">
      <c r="A1269" s="5" t="s">
        <v>1382</v>
      </c>
      <c r="B1269" s="3"/>
      <c r="C1269" s="3"/>
    </row>
    <row r="1270" spans="1:3" x14ac:dyDescent="0.25">
      <c r="A1270" s="5" t="s">
        <v>1383</v>
      </c>
      <c r="B1270" s="3"/>
      <c r="C1270" s="3"/>
    </row>
    <row r="1271" spans="1:3" x14ac:dyDescent="0.25">
      <c r="A1271" s="5" t="s">
        <v>1384</v>
      </c>
      <c r="B1271" s="3"/>
      <c r="C1271" s="3"/>
    </row>
    <row r="1272" spans="1:3" x14ac:dyDescent="0.25">
      <c r="A1272" s="5" t="s">
        <v>1385</v>
      </c>
      <c r="B1272" s="3"/>
      <c r="C1272" s="3"/>
    </row>
    <row r="1273" spans="1:3" x14ac:dyDescent="0.25">
      <c r="A1273" s="5" t="s">
        <v>1386</v>
      </c>
      <c r="B1273" s="3"/>
      <c r="C1273" s="3"/>
    </row>
    <row r="1274" spans="1:3" x14ac:dyDescent="0.25">
      <c r="A1274" s="5" t="s">
        <v>1387</v>
      </c>
      <c r="B1274" s="3"/>
      <c r="C1274" s="3"/>
    </row>
    <row r="1275" spans="1:3" x14ac:dyDescent="0.25">
      <c r="A1275" s="5" t="s">
        <v>1388</v>
      </c>
      <c r="B1275" s="3"/>
      <c r="C1275" s="3"/>
    </row>
    <row r="1276" spans="1:3" x14ac:dyDescent="0.25">
      <c r="A1276" s="5" t="s">
        <v>1389</v>
      </c>
      <c r="B1276" s="3"/>
      <c r="C1276" s="3"/>
    </row>
    <row r="1277" spans="1:3" x14ac:dyDescent="0.25">
      <c r="A1277" s="5" t="s">
        <v>1390</v>
      </c>
      <c r="B1277" s="3"/>
      <c r="C1277" s="3"/>
    </row>
    <row r="1278" spans="1:3" x14ac:dyDescent="0.25">
      <c r="A1278" s="5" t="s">
        <v>1391</v>
      </c>
      <c r="B1278" s="3"/>
      <c r="C1278" s="3"/>
    </row>
    <row r="1279" spans="1:3" x14ac:dyDescent="0.25">
      <c r="A1279" s="5" t="s">
        <v>1392</v>
      </c>
      <c r="B1279" s="3"/>
      <c r="C1279" s="3"/>
    </row>
    <row r="1280" spans="1:3" x14ac:dyDescent="0.25">
      <c r="A1280" s="5" t="s">
        <v>1393</v>
      </c>
      <c r="B1280" s="3"/>
      <c r="C1280" s="3"/>
    </row>
    <row r="1281" spans="1:3" x14ac:dyDescent="0.25">
      <c r="A1281" s="5" t="s">
        <v>1394</v>
      </c>
      <c r="B1281" s="3"/>
      <c r="C1281" s="3"/>
    </row>
    <row r="1282" spans="1:3" x14ac:dyDescent="0.25">
      <c r="A1282" s="5" t="s">
        <v>1395</v>
      </c>
      <c r="B1282" s="3"/>
      <c r="C1282" s="3"/>
    </row>
    <row r="1283" spans="1:3" x14ac:dyDescent="0.25">
      <c r="A1283" s="5" t="s">
        <v>1396</v>
      </c>
      <c r="B1283" s="3"/>
      <c r="C1283" s="3"/>
    </row>
    <row r="1284" spans="1:3" x14ac:dyDescent="0.25">
      <c r="A1284" s="5" t="s">
        <v>1397</v>
      </c>
      <c r="B1284" s="3"/>
      <c r="C1284" s="3"/>
    </row>
    <row r="1285" spans="1:3" x14ac:dyDescent="0.25">
      <c r="A1285" s="5" t="s">
        <v>1398</v>
      </c>
      <c r="B1285" s="3"/>
      <c r="C1285" s="3"/>
    </row>
    <row r="1286" spans="1:3" x14ac:dyDescent="0.25">
      <c r="A1286" s="5" t="s">
        <v>1399</v>
      </c>
      <c r="B1286" s="3"/>
      <c r="C1286" s="3"/>
    </row>
    <row r="1287" spans="1:3" x14ac:dyDescent="0.25">
      <c r="A1287" s="5" t="s">
        <v>1400</v>
      </c>
      <c r="B1287" s="3"/>
      <c r="C1287" s="3"/>
    </row>
    <row r="1288" spans="1:3" x14ac:dyDescent="0.25">
      <c r="A1288" s="5" t="s">
        <v>1401</v>
      </c>
      <c r="B1288" s="3"/>
      <c r="C1288" s="3"/>
    </row>
    <row r="1289" spans="1:3" x14ac:dyDescent="0.25">
      <c r="A1289" s="5" t="s">
        <v>1402</v>
      </c>
      <c r="B1289" s="3"/>
      <c r="C1289" s="3"/>
    </row>
    <row r="1290" spans="1:3" x14ac:dyDescent="0.25">
      <c r="A1290" s="5" t="s">
        <v>1403</v>
      </c>
      <c r="B1290" s="3"/>
      <c r="C1290" s="3"/>
    </row>
    <row r="1291" spans="1:3" x14ac:dyDescent="0.25">
      <c r="A1291" s="5" t="s">
        <v>1404</v>
      </c>
      <c r="B1291" s="3"/>
      <c r="C1291" s="3"/>
    </row>
    <row r="1292" spans="1:3" x14ac:dyDescent="0.25">
      <c r="A1292" s="5" t="s">
        <v>1405</v>
      </c>
      <c r="B1292" s="3"/>
      <c r="C1292" s="3"/>
    </row>
    <row r="1293" spans="1:3" x14ac:dyDescent="0.25">
      <c r="A1293" s="5" t="s">
        <v>1406</v>
      </c>
      <c r="B1293" s="3"/>
      <c r="C1293" s="3"/>
    </row>
    <row r="1294" spans="1:3" x14ac:dyDescent="0.25">
      <c r="A1294" s="5" t="s">
        <v>1407</v>
      </c>
      <c r="B1294" s="3"/>
      <c r="C1294" s="3"/>
    </row>
    <row r="1295" spans="1:3" x14ac:dyDescent="0.25">
      <c r="A1295" s="5" t="s">
        <v>1408</v>
      </c>
      <c r="B1295" s="3"/>
      <c r="C1295" s="3"/>
    </row>
    <row r="1296" spans="1:3" x14ac:dyDescent="0.25">
      <c r="A1296" s="5" t="s">
        <v>1409</v>
      </c>
      <c r="B1296" s="3"/>
      <c r="C1296" s="3"/>
    </row>
    <row r="1297" spans="1:3" x14ac:dyDescent="0.25">
      <c r="A1297" s="5" t="s">
        <v>1410</v>
      </c>
      <c r="B1297" s="3"/>
      <c r="C1297" s="3"/>
    </row>
    <row r="1298" spans="1:3" x14ac:dyDescent="0.25">
      <c r="A1298" s="5" t="s">
        <v>1411</v>
      </c>
      <c r="B1298" s="3"/>
      <c r="C1298" s="3"/>
    </row>
    <row r="1299" spans="1:3" x14ac:dyDescent="0.25">
      <c r="A1299" s="5" t="s">
        <v>1412</v>
      </c>
      <c r="B1299" s="3"/>
      <c r="C1299" s="3"/>
    </row>
    <row r="1300" spans="1:3" x14ac:dyDescent="0.25">
      <c r="A1300" s="5" t="s">
        <v>1413</v>
      </c>
      <c r="B1300" s="3"/>
      <c r="C1300" s="3"/>
    </row>
    <row r="1301" spans="1:3" x14ac:dyDescent="0.25">
      <c r="A1301" s="5" t="s">
        <v>1414</v>
      </c>
      <c r="B1301" s="3"/>
      <c r="C1301" s="3"/>
    </row>
    <row r="1302" spans="1:3" x14ac:dyDescent="0.25">
      <c r="A1302" s="5" t="s">
        <v>1415</v>
      </c>
      <c r="B1302" s="3"/>
      <c r="C1302" s="3"/>
    </row>
    <row r="1303" spans="1:3" x14ac:dyDescent="0.25">
      <c r="A1303" s="5" t="s">
        <v>1416</v>
      </c>
      <c r="B1303" s="3"/>
      <c r="C1303" s="3"/>
    </row>
    <row r="1304" spans="1:3" x14ac:dyDescent="0.25">
      <c r="A1304" s="5" t="s">
        <v>1417</v>
      </c>
      <c r="B1304" s="3"/>
      <c r="C1304" s="3"/>
    </row>
    <row r="1305" spans="1:3" x14ac:dyDescent="0.25">
      <c r="A1305" s="5" t="s">
        <v>1418</v>
      </c>
      <c r="B1305" s="3"/>
      <c r="C1305" s="3"/>
    </row>
    <row r="1306" spans="1:3" x14ac:dyDescent="0.25">
      <c r="A1306" s="5" t="s">
        <v>1419</v>
      </c>
      <c r="B1306" s="3"/>
      <c r="C1306" s="3"/>
    </row>
    <row r="1307" spans="1:3" x14ac:dyDescent="0.25">
      <c r="A1307" s="5" t="s">
        <v>1420</v>
      </c>
      <c r="B1307" s="3"/>
      <c r="C1307" s="3"/>
    </row>
    <row r="1308" spans="1:3" x14ac:dyDescent="0.25">
      <c r="A1308" s="5" t="s">
        <v>1421</v>
      </c>
      <c r="B1308" s="3"/>
      <c r="C1308" s="3"/>
    </row>
    <row r="1309" spans="1:3" x14ac:dyDescent="0.25">
      <c r="A1309" s="5" t="s">
        <v>1422</v>
      </c>
      <c r="B1309" s="3"/>
      <c r="C1309" s="3"/>
    </row>
    <row r="1310" spans="1:3" x14ac:dyDescent="0.25">
      <c r="A1310" s="5" t="s">
        <v>1423</v>
      </c>
      <c r="B1310" s="3"/>
      <c r="C1310" s="3"/>
    </row>
    <row r="1311" spans="1:3" x14ac:dyDescent="0.25">
      <c r="A1311" s="5" t="s">
        <v>1424</v>
      </c>
      <c r="B1311" s="3"/>
      <c r="C1311" s="3"/>
    </row>
    <row r="1312" spans="1:3" x14ac:dyDescent="0.25">
      <c r="A1312" s="5" t="s">
        <v>1425</v>
      </c>
      <c r="B1312" s="3"/>
      <c r="C1312" s="3"/>
    </row>
    <row r="1313" spans="1:3" x14ac:dyDescent="0.25">
      <c r="A1313" s="5" t="s">
        <v>1426</v>
      </c>
      <c r="B1313" s="3"/>
      <c r="C1313" s="3"/>
    </row>
    <row r="1314" spans="1:3" x14ac:dyDescent="0.25">
      <c r="A1314" s="5" t="s">
        <v>1427</v>
      </c>
      <c r="B1314" s="3"/>
      <c r="C1314" s="3"/>
    </row>
    <row r="1315" spans="1:3" x14ac:dyDescent="0.25">
      <c r="A1315" s="5" t="s">
        <v>1428</v>
      </c>
      <c r="B1315" s="3"/>
      <c r="C1315" s="3"/>
    </row>
    <row r="1316" spans="1:3" x14ac:dyDescent="0.25">
      <c r="A1316" s="5" t="s">
        <v>1429</v>
      </c>
      <c r="B1316" s="3"/>
      <c r="C1316" s="3"/>
    </row>
    <row r="1317" spans="1:3" x14ac:dyDescent="0.25">
      <c r="A1317" s="5" t="s">
        <v>1430</v>
      </c>
      <c r="B1317" s="3"/>
      <c r="C1317" s="3"/>
    </row>
    <row r="1318" spans="1:3" x14ac:dyDescent="0.25">
      <c r="A1318" s="5" t="s">
        <v>1431</v>
      </c>
      <c r="B1318" s="3"/>
      <c r="C1318" s="3"/>
    </row>
    <row r="1319" spans="1:3" x14ac:dyDescent="0.25">
      <c r="A1319" s="5" t="s">
        <v>1432</v>
      </c>
      <c r="B1319" s="3"/>
      <c r="C1319" s="3"/>
    </row>
    <row r="1320" spans="1:3" x14ac:dyDescent="0.25">
      <c r="A1320" s="5" t="s">
        <v>1433</v>
      </c>
      <c r="B1320" s="3"/>
      <c r="C1320" s="3"/>
    </row>
    <row r="1321" spans="1:3" x14ac:dyDescent="0.25">
      <c r="A1321" s="5" t="s">
        <v>1434</v>
      </c>
      <c r="B1321" s="3"/>
      <c r="C1321" s="3"/>
    </row>
    <row r="1322" spans="1:3" x14ac:dyDescent="0.25">
      <c r="A1322" s="5" t="s">
        <v>1435</v>
      </c>
      <c r="B1322" s="3"/>
      <c r="C1322" s="3"/>
    </row>
    <row r="1323" spans="1:3" x14ac:dyDescent="0.25">
      <c r="A1323" s="5" t="s">
        <v>1436</v>
      </c>
      <c r="B1323" s="3"/>
      <c r="C1323" s="3"/>
    </row>
    <row r="1324" spans="1:3" x14ac:dyDescent="0.25">
      <c r="A1324" s="5" t="s">
        <v>1437</v>
      </c>
      <c r="B1324" s="3"/>
      <c r="C1324" s="3"/>
    </row>
    <row r="1325" spans="1:3" x14ac:dyDescent="0.25">
      <c r="A1325" s="5" t="s">
        <v>1438</v>
      </c>
      <c r="B1325" s="3"/>
      <c r="C1325" s="3"/>
    </row>
    <row r="1326" spans="1:3" x14ac:dyDescent="0.25">
      <c r="A1326" s="5" t="s">
        <v>1439</v>
      </c>
      <c r="B1326" s="3"/>
      <c r="C1326" s="3"/>
    </row>
    <row r="1327" spans="1:3" x14ac:dyDescent="0.25">
      <c r="A1327" s="5" t="s">
        <v>1440</v>
      </c>
      <c r="B1327" s="3"/>
      <c r="C1327" s="3"/>
    </row>
    <row r="1328" spans="1:3" x14ac:dyDescent="0.25">
      <c r="A1328" s="5" t="s">
        <v>1441</v>
      </c>
      <c r="B1328" s="3"/>
      <c r="C1328" s="3"/>
    </row>
    <row r="1329" spans="1:3" x14ac:dyDescent="0.25">
      <c r="A1329" s="5" t="s">
        <v>1442</v>
      </c>
      <c r="B1329" s="3"/>
      <c r="C1329" s="3"/>
    </row>
    <row r="1330" spans="1:3" x14ac:dyDescent="0.25">
      <c r="A1330" s="5" t="s">
        <v>1443</v>
      </c>
      <c r="B1330" s="3"/>
      <c r="C1330" s="3"/>
    </row>
    <row r="1331" spans="1:3" x14ac:dyDescent="0.25">
      <c r="A1331" s="5" t="s">
        <v>1444</v>
      </c>
      <c r="B1331" s="3"/>
      <c r="C1331" s="3"/>
    </row>
    <row r="1332" spans="1:3" x14ac:dyDescent="0.25">
      <c r="A1332" s="5" t="s">
        <v>1445</v>
      </c>
      <c r="B1332" s="3"/>
      <c r="C1332" s="3"/>
    </row>
    <row r="1333" spans="1:3" x14ac:dyDescent="0.25">
      <c r="A1333" s="5" t="s">
        <v>1446</v>
      </c>
      <c r="B1333" s="3"/>
      <c r="C1333" s="3"/>
    </row>
    <row r="1334" spans="1:3" x14ac:dyDescent="0.25">
      <c r="A1334" s="5" t="s">
        <v>1447</v>
      </c>
      <c r="B1334" s="3"/>
      <c r="C1334" s="3"/>
    </row>
    <row r="1335" spans="1:3" x14ac:dyDescent="0.25">
      <c r="A1335" s="5" t="s">
        <v>1448</v>
      </c>
      <c r="B1335" s="3"/>
      <c r="C1335" s="3"/>
    </row>
    <row r="1336" spans="1:3" x14ac:dyDescent="0.25">
      <c r="A1336" s="5" t="s">
        <v>1449</v>
      </c>
      <c r="B1336" s="3"/>
      <c r="C1336" s="3"/>
    </row>
    <row r="1337" spans="1:3" x14ac:dyDescent="0.25">
      <c r="A1337" s="5" t="s">
        <v>1450</v>
      </c>
      <c r="B1337" s="3"/>
      <c r="C1337" s="3"/>
    </row>
    <row r="1338" spans="1:3" x14ac:dyDescent="0.25">
      <c r="A1338" s="5" t="s">
        <v>1451</v>
      </c>
      <c r="B1338" s="3"/>
      <c r="C1338" s="3"/>
    </row>
    <row r="1339" spans="1:3" x14ac:dyDescent="0.25">
      <c r="A1339" s="5" t="s">
        <v>1452</v>
      </c>
      <c r="B1339" s="3"/>
      <c r="C1339" s="3"/>
    </row>
    <row r="1340" spans="1:3" x14ac:dyDescent="0.25">
      <c r="A1340" s="5" t="s">
        <v>1453</v>
      </c>
      <c r="B1340" s="3"/>
      <c r="C1340" s="3"/>
    </row>
    <row r="1341" spans="1:3" x14ac:dyDescent="0.25">
      <c r="A1341" s="5" t="s">
        <v>1454</v>
      </c>
      <c r="B1341" s="3"/>
      <c r="C1341" s="3"/>
    </row>
    <row r="1342" spans="1:3" x14ac:dyDescent="0.25">
      <c r="A1342" s="5" t="s">
        <v>1455</v>
      </c>
      <c r="B1342" s="3"/>
      <c r="C1342" s="3"/>
    </row>
    <row r="1343" spans="1:3" x14ac:dyDescent="0.25">
      <c r="A1343" s="5" t="s">
        <v>1456</v>
      </c>
      <c r="B1343" s="3"/>
      <c r="C1343" s="3"/>
    </row>
    <row r="1344" spans="1:3" x14ac:dyDescent="0.25">
      <c r="A1344" s="5" t="s">
        <v>1457</v>
      </c>
      <c r="B1344" s="3"/>
      <c r="C1344" s="3"/>
    </row>
    <row r="1345" spans="1:3" x14ac:dyDescent="0.25">
      <c r="A1345" s="5" t="s">
        <v>1458</v>
      </c>
      <c r="B1345" s="3"/>
      <c r="C1345" s="3"/>
    </row>
    <row r="1346" spans="1:3" x14ac:dyDescent="0.25">
      <c r="A1346" s="5" t="s">
        <v>1459</v>
      </c>
      <c r="B1346" s="3"/>
      <c r="C1346" s="3"/>
    </row>
    <row r="1347" spans="1:3" x14ac:dyDescent="0.25">
      <c r="A1347" s="5" t="s">
        <v>1460</v>
      </c>
      <c r="B1347" s="3"/>
      <c r="C1347" s="3"/>
    </row>
    <row r="1348" spans="1:3" x14ac:dyDescent="0.25">
      <c r="A1348" s="5" t="s">
        <v>1461</v>
      </c>
      <c r="B1348" s="3"/>
      <c r="C1348" s="3"/>
    </row>
    <row r="1349" spans="1:3" x14ac:dyDescent="0.25">
      <c r="A1349" s="5" t="s">
        <v>1462</v>
      </c>
      <c r="B1349" s="3"/>
      <c r="C1349" s="3"/>
    </row>
    <row r="1350" spans="1:3" x14ac:dyDescent="0.25">
      <c r="A1350" s="5" t="s">
        <v>1463</v>
      </c>
      <c r="B1350" s="3"/>
      <c r="C1350" s="3"/>
    </row>
    <row r="1351" spans="1:3" x14ac:dyDescent="0.25">
      <c r="A1351" s="5" t="s">
        <v>1464</v>
      </c>
      <c r="B1351" s="3"/>
      <c r="C1351" s="3"/>
    </row>
    <row r="1352" spans="1:3" x14ac:dyDescent="0.25">
      <c r="A1352" s="5" t="s">
        <v>1465</v>
      </c>
      <c r="B1352" s="3"/>
      <c r="C1352" s="3"/>
    </row>
    <row r="1353" spans="1:3" x14ac:dyDescent="0.25">
      <c r="A1353" s="5" t="s">
        <v>1466</v>
      </c>
      <c r="B1353" s="3"/>
      <c r="C1353" s="3"/>
    </row>
    <row r="1354" spans="1:3" x14ac:dyDescent="0.25">
      <c r="A1354" s="5" t="s">
        <v>1467</v>
      </c>
      <c r="B1354" s="3"/>
      <c r="C1354" s="3"/>
    </row>
    <row r="1355" spans="1:3" x14ac:dyDescent="0.25">
      <c r="A1355" s="5" t="s">
        <v>1468</v>
      </c>
      <c r="B1355" s="3"/>
      <c r="C1355" s="3"/>
    </row>
    <row r="1356" spans="1:3" x14ac:dyDescent="0.25">
      <c r="A1356" s="5" t="s">
        <v>1469</v>
      </c>
      <c r="B1356" s="3"/>
      <c r="C1356" s="3"/>
    </row>
    <row r="1357" spans="1:3" x14ac:dyDescent="0.25">
      <c r="A1357" s="5" t="s">
        <v>1470</v>
      </c>
      <c r="B1357" s="3"/>
      <c r="C1357" s="3"/>
    </row>
    <row r="1358" spans="1:3" x14ac:dyDescent="0.25">
      <c r="A1358" s="5" t="s">
        <v>1471</v>
      </c>
      <c r="B1358" s="3"/>
      <c r="C1358" s="3"/>
    </row>
    <row r="1359" spans="1:3" x14ac:dyDescent="0.25">
      <c r="A1359" s="5" t="s">
        <v>1472</v>
      </c>
      <c r="B1359" s="3"/>
      <c r="C1359" s="3"/>
    </row>
    <row r="1360" spans="1:3" x14ac:dyDescent="0.25">
      <c r="A1360" s="5" t="s">
        <v>1473</v>
      </c>
      <c r="B1360" s="3"/>
      <c r="C1360" s="3"/>
    </row>
    <row r="1361" spans="1:3" x14ac:dyDescent="0.25">
      <c r="A1361" s="5" t="s">
        <v>1474</v>
      </c>
      <c r="B1361" s="3"/>
      <c r="C1361" s="3"/>
    </row>
    <row r="1362" spans="1:3" x14ac:dyDescent="0.25">
      <c r="A1362" s="5" t="s">
        <v>1475</v>
      </c>
      <c r="B1362" s="3"/>
      <c r="C1362" s="3"/>
    </row>
    <row r="1363" spans="1:3" x14ac:dyDescent="0.25">
      <c r="A1363" s="5" t="s">
        <v>1476</v>
      </c>
      <c r="B1363" s="3"/>
      <c r="C1363" s="3"/>
    </row>
    <row r="1364" spans="1:3" x14ac:dyDescent="0.25">
      <c r="A1364" s="5" t="s">
        <v>1477</v>
      </c>
      <c r="B1364" s="3"/>
      <c r="C1364" s="3"/>
    </row>
    <row r="1365" spans="1:3" x14ac:dyDescent="0.25">
      <c r="A1365" s="5" t="s">
        <v>1478</v>
      </c>
      <c r="B1365" s="3"/>
      <c r="C1365" s="3"/>
    </row>
    <row r="1366" spans="1:3" x14ac:dyDescent="0.25">
      <c r="A1366" s="5" t="s">
        <v>1479</v>
      </c>
      <c r="B1366" s="3"/>
      <c r="C1366" s="3"/>
    </row>
    <row r="1367" spans="1:3" x14ac:dyDescent="0.25">
      <c r="A1367" s="5" t="s">
        <v>1480</v>
      </c>
      <c r="B1367" s="3"/>
      <c r="C1367" s="3"/>
    </row>
    <row r="1368" spans="1:3" x14ac:dyDescent="0.25">
      <c r="A1368" s="5" t="s">
        <v>1481</v>
      </c>
      <c r="B1368" s="3"/>
      <c r="C1368" s="3"/>
    </row>
    <row r="1369" spans="1:3" x14ac:dyDescent="0.25">
      <c r="A1369" s="5" t="s">
        <v>1482</v>
      </c>
      <c r="B1369" s="3"/>
      <c r="C1369" s="3"/>
    </row>
    <row r="1370" spans="1:3" x14ac:dyDescent="0.25">
      <c r="A1370" s="5" t="s">
        <v>1483</v>
      </c>
      <c r="B1370" s="3"/>
      <c r="C1370" s="3"/>
    </row>
    <row r="1371" spans="1:3" x14ac:dyDescent="0.25">
      <c r="A1371" s="5" t="s">
        <v>1484</v>
      </c>
      <c r="B1371" s="3"/>
      <c r="C1371" s="3"/>
    </row>
    <row r="1372" spans="1:3" x14ac:dyDescent="0.25">
      <c r="A1372" s="5" t="s">
        <v>1485</v>
      </c>
      <c r="B1372" s="3"/>
      <c r="C1372" s="3"/>
    </row>
    <row r="1373" spans="1:3" x14ac:dyDescent="0.25">
      <c r="A1373" s="5" t="s">
        <v>1486</v>
      </c>
      <c r="B1373" s="3"/>
      <c r="C1373" s="3"/>
    </row>
    <row r="1374" spans="1:3" x14ac:dyDescent="0.25">
      <c r="A1374" s="5" t="s">
        <v>1487</v>
      </c>
      <c r="B1374" s="3"/>
      <c r="C1374" s="3"/>
    </row>
    <row r="1375" spans="1:3" x14ac:dyDescent="0.25">
      <c r="A1375" s="5" t="s">
        <v>1488</v>
      </c>
      <c r="B1375" s="3"/>
      <c r="C1375" s="3"/>
    </row>
    <row r="1376" spans="1:3" x14ac:dyDescent="0.25">
      <c r="A1376" s="5" t="s">
        <v>1489</v>
      </c>
      <c r="B1376" s="3"/>
      <c r="C1376" s="3"/>
    </row>
    <row r="1377" spans="1:3" x14ac:dyDescent="0.25">
      <c r="A1377" s="5" t="s">
        <v>1490</v>
      </c>
      <c r="B1377" s="3"/>
      <c r="C1377" s="3"/>
    </row>
    <row r="1378" spans="1:3" x14ac:dyDescent="0.25">
      <c r="A1378" s="5" t="s">
        <v>1491</v>
      </c>
      <c r="B1378" s="3"/>
      <c r="C1378" s="3"/>
    </row>
    <row r="1379" spans="1:3" x14ac:dyDescent="0.25">
      <c r="A1379" s="5" t="s">
        <v>1492</v>
      </c>
      <c r="B1379" s="3"/>
      <c r="C1379" s="3"/>
    </row>
    <row r="1380" spans="1:3" x14ac:dyDescent="0.25">
      <c r="A1380" s="5" t="s">
        <v>1493</v>
      </c>
      <c r="B1380" s="3"/>
      <c r="C1380" s="3"/>
    </row>
    <row r="1381" spans="1:3" x14ac:dyDescent="0.25">
      <c r="A1381" s="5" t="s">
        <v>1494</v>
      </c>
      <c r="B1381" s="3"/>
      <c r="C1381" s="3"/>
    </row>
    <row r="1382" spans="1:3" x14ac:dyDescent="0.25">
      <c r="A1382" s="5" t="s">
        <v>1495</v>
      </c>
      <c r="B1382" s="3"/>
      <c r="C1382" s="3"/>
    </row>
    <row r="1383" spans="1:3" x14ac:dyDescent="0.25">
      <c r="A1383" s="5" t="s">
        <v>1496</v>
      </c>
      <c r="B1383" s="3"/>
      <c r="C1383" s="3"/>
    </row>
    <row r="1384" spans="1:3" x14ac:dyDescent="0.25">
      <c r="A1384" s="5" t="s">
        <v>1497</v>
      </c>
      <c r="B1384" s="3"/>
      <c r="C1384" s="3"/>
    </row>
    <row r="1385" spans="1:3" x14ac:dyDescent="0.25">
      <c r="A1385" s="5" t="s">
        <v>1498</v>
      </c>
      <c r="B1385" s="3"/>
      <c r="C1385" s="3"/>
    </row>
    <row r="1386" spans="1:3" x14ac:dyDescent="0.25">
      <c r="A1386" s="5" t="s">
        <v>1499</v>
      </c>
      <c r="B1386" s="3"/>
      <c r="C1386" s="3"/>
    </row>
    <row r="1387" spans="1:3" x14ac:dyDescent="0.25">
      <c r="A1387" s="5" t="s">
        <v>1500</v>
      </c>
      <c r="B1387" s="3"/>
      <c r="C1387" s="3"/>
    </row>
    <row r="1388" spans="1:3" x14ac:dyDescent="0.25">
      <c r="A1388" s="5" t="s">
        <v>1501</v>
      </c>
      <c r="B1388" s="3"/>
      <c r="C1388" s="3"/>
    </row>
    <row r="1389" spans="1:3" x14ac:dyDescent="0.25">
      <c r="A1389" s="5" t="s">
        <v>1502</v>
      </c>
      <c r="B1389" s="3"/>
      <c r="C1389" s="3"/>
    </row>
    <row r="1390" spans="1:3" x14ac:dyDescent="0.25">
      <c r="A1390" s="5" t="s">
        <v>1503</v>
      </c>
      <c r="B1390" s="3"/>
      <c r="C1390" s="3"/>
    </row>
    <row r="1391" spans="1:3" x14ac:dyDescent="0.25">
      <c r="A1391" s="5" t="s">
        <v>1504</v>
      </c>
      <c r="B1391" s="3"/>
      <c r="C1391" s="3"/>
    </row>
    <row r="1392" spans="1:3" x14ac:dyDescent="0.25">
      <c r="A1392" s="5" t="s">
        <v>1505</v>
      </c>
      <c r="B1392" s="3"/>
      <c r="C1392" s="3"/>
    </row>
    <row r="1393" spans="1:3" x14ac:dyDescent="0.25">
      <c r="A1393" s="5" t="s">
        <v>1506</v>
      </c>
      <c r="B1393" s="3"/>
      <c r="C1393" s="3"/>
    </row>
    <row r="1394" spans="1:3" x14ac:dyDescent="0.25">
      <c r="A1394" s="5" t="s">
        <v>1507</v>
      </c>
      <c r="B1394" s="3"/>
      <c r="C1394" s="3"/>
    </row>
    <row r="1395" spans="1:3" x14ac:dyDescent="0.25">
      <c r="A1395" s="5" t="s">
        <v>1508</v>
      </c>
      <c r="B1395" s="3"/>
      <c r="C1395" s="3"/>
    </row>
    <row r="1396" spans="1:3" x14ac:dyDescent="0.25">
      <c r="A1396" s="5" t="s">
        <v>1509</v>
      </c>
      <c r="B1396" s="3"/>
      <c r="C1396" s="3"/>
    </row>
    <row r="1397" spans="1:3" x14ac:dyDescent="0.25">
      <c r="A1397" s="5" t="s">
        <v>1510</v>
      </c>
      <c r="B1397" s="3"/>
      <c r="C1397" s="3"/>
    </row>
    <row r="1398" spans="1:3" x14ac:dyDescent="0.25">
      <c r="A1398" s="5" t="s">
        <v>1511</v>
      </c>
      <c r="B1398" s="3"/>
      <c r="C1398" s="3"/>
    </row>
    <row r="1399" spans="1:3" x14ac:dyDescent="0.25">
      <c r="A1399" s="5" t="s">
        <v>1512</v>
      </c>
      <c r="B1399" s="3"/>
      <c r="C1399" s="3"/>
    </row>
    <row r="1400" spans="1:3" x14ac:dyDescent="0.25">
      <c r="A1400" s="5" t="s">
        <v>1513</v>
      </c>
      <c r="B1400" s="3"/>
      <c r="C1400" s="3"/>
    </row>
    <row r="1401" spans="1:3" x14ac:dyDescent="0.25">
      <c r="A1401" s="5" t="s">
        <v>1514</v>
      </c>
      <c r="B1401" s="3"/>
      <c r="C1401" s="3"/>
    </row>
    <row r="1402" spans="1:3" x14ac:dyDescent="0.25">
      <c r="A1402" s="5" t="s">
        <v>1515</v>
      </c>
      <c r="B1402" s="3"/>
      <c r="C1402" s="3"/>
    </row>
    <row r="1403" spans="1:3" x14ac:dyDescent="0.25">
      <c r="A1403" s="5" t="s">
        <v>1516</v>
      </c>
      <c r="B1403" s="3"/>
      <c r="C1403" s="3"/>
    </row>
    <row r="1404" spans="1:3" x14ac:dyDescent="0.25">
      <c r="A1404" s="5" t="s">
        <v>1517</v>
      </c>
      <c r="B1404" s="3"/>
      <c r="C1404" s="3"/>
    </row>
    <row r="1405" spans="1:3" x14ac:dyDescent="0.25">
      <c r="A1405" s="5" t="s">
        <v>1518</v>
      </c>
      <c r="B1405" s="3"/>
      <c r="C1405" s="3"/>
    </row>
    <row r="1406" spans="1:3" x14ac:dyDescent="0.25">
      <c r="A1406" s="5" t="s">
        <v>1519</v>
      </c>
      <c r="B1406" s="3"/>
      <c r="C1406" s="3"/>
    </row>
    <row r="1407" spans="1:3" x14ac:dyDescent="0.25">
      <c r="A1407" s="5" t="s">
        <v>1520</v>
      </c>
      <c r="B1407" s="3"/>
      <c r="C1407" s="3"/>
    </row>
    <row r="1408" spans="1:3" x14ac:dyDescent="0.25">
      <c r="A1408" s="5" t="s">
        <v>1521</v>
      </c>
      <c r="B1408" s="3"/>
      <c r="C1408" s="3"/>
    </row>
    <row r="1409" spans="1:3" x14ac:dyDescent="0.25">
      <c r="A1409" s="5" t="s">
        <v>1522</v>
      </c>
      <c r="B1409" s="3"/>
      <c r="C1409" s="3"/>
    </row>
    <row r="1410" spans="1:3" x14ac:dyDescent="0.25">
      <c r="A1410" s="5" t="s">
        <v>1523</v>
      </c>
      <c r="B1410" s="3"/>
      <c r="C1410" s="3"/>
    </row>
    <row r="1411" spans="1:3" x14ac:dyDescent="0.25">
      <c r="A1411" s="5" t="s">
        <v>1524</v>
      </c>
      <c r="B1411" s="3"/>
      <c r="C1411" s="3"/>
    </row>
    <row r="1412" spans="1:3" x14ac:dyDescent="0.25">
      <c r="A1412" s="5" t="s">
        <v>1525</v>
      </c>
      <c r="B1412" s="3"/>
      <c r="C1412" s="3"/>
    </row>
    <row r="1413" spans="1:3" x14ac:dyDescent="0.25">
      <c r="A1413" s="5" t="s">
        <v>1526</v>
      </c>
      <c r="B1413" s="3"/>
      <c r="C1413" s="3"/>
    </row>
    <row r="1414" spans="1:3" x14ac:dyDescent="0.25">
      <c r="A1414" s="5" t="s">
        <v>1527</v>
      </c>
      <c r="B1414" s="3"/>
      <c r="C1414" s="3"/>
    </row>
    <row r="1415" spans="1:3" x14ac:dyDescent="0.25">
      <c r="A1415" s="5" t="s">
        <v>1528</v>
      </c>
      <c r="B1415" s="3"/>
      <c r="C1415" s="3"/>
    </row>
    <row r="1416" spans="1:3" x14ac:dyDescent="0.25">
      <c r="A1416" s="5" t="s">
        <v>1529</v>
      </c>
      <c r="B1416" s="3"/>
      <c r="C1416" s="3"/>
    </row>
    <row r="1417" spans="1:3" x14ac:dyDescent="0.25">
      <c r="A1417" s="5" t="s">
        <v>1530</v>
      </c>
      <c r="B1417" s="3"/>
      <c r="C1417" s="3"/>
    </row>
    <row r="1418" spans="1:3" x14ac:dyDescent="0.25">
      <c r="A1418" s="5" t="s">
        <v>1531</v>
      </c>
      <c r="B1418" s="3"/>
      <c r="C1418" s="3"/>
    </row>
    <row r="1419" spans="1:3" x14ac:dyDescent="0.25">
      <c r="A1419" s="5" t="s">
        <v>1532</v>
      </c>
      <c r="B1419" s="3"/>
      <c r="C1419" s="3"/>
    </row>
    <row r="1420" spans="1:3" x14ac:dyDescent="0.25">
      <c r="A1420" s="5" t="s">
        <v>1533</v>
      </c>
      <c r="B1420" s="3"/>
      <c r="C1420" s="3"/>
    </row>
    <row r="1421" spans="1:3" x14ac:dyDescent="0.25">
      <c r="A1421" s="5" t="s">
        <v>1534</v>
      </c>
      <c r="B1421" s="3"/>
      <c r="C1421" s="3"/>
    </row>
    <row r="1422" spans="1:3" x14ac:dyDescent="0.25">
      <c r="A1422" s="5" t="s">
        <v>1535</v>
      </c>
      <c r="B1422" s="3"/>
      <c r="C1422" s="3"/>
    </row>
    <row r="1423" spans="1:3" x14ac:dyDescent="0.25">
      <c r="A1423" s="5" t="s">
        <v>1536</v>
      </c>
      <c r="B1423" s="3"/>
      <c r="C1423" s="3"/>
    </row>
    <row r="1424" spans="1:3" x14ac:dyDescent="0.25">
      <c r="A1424" s="5" t="s">
        <v>1537</v>
      </c>
      <c r="B1424" s="3"/>
      <c r="C1424" s="3"/>
    </row>
    <row r="1425" spans="1:3" x14ac:dyDescent="0.25">
      <c r="A1425" s="5" t="s">
        <v>1538</v>
      </c>
      <c r="B1425" s="3"/>
      <c r="C1425" s="3"/>
    </row>
    <row r="1426" spans="1:3" x14ac:dyDescent="0.25">
      <c r="A1426" s="5" t="s">
        <v>1539</v>
      </c>
      <c r="B1426" s="3"/>
      <c r="C1426" s="3"/>
    </row>
    <row r="1427" spans="1:3" x14ac:dyDescent="0.25">
      <c r="A1427" s="5" t="s">
        <v>1540</v>
      </c>
      <c r="B1427" s="3"/>
      <c r="C1427" s="3"/>
    </row>
    <row r="1428" spans="1:3" x14ac:dyDescent="0.25">
      <c r="A1428" s="5" t="s">
        <v>1541</v>
      </c>
      <c r="B1428" s="3"/>
      <c r="C1428" s="3"/>
    </row>
    <row r="1429" spans="1:3" x14ac:dyDescent="0.25">
      <c r="A1429" s="5" t="s">
        <v>1542</v>
      </c>
      <c r="B1429" s="3"/>
      <c r="C1429" s="3"/>
    </row>
    <row r="1430" spans="1:3" x14ac:dyDescent="0.25">
      <c r="A1430" s="5" t="s">
        <v>1543</v>
      </c>
      <c r="B1430" s="3"/>
      <c r="C1430" s="3"/>
    </row>
    <row r="1431" spans="1:3" x14ac:dyDescent="0.25">
      <c r="A1431" s="5" t="s">
        <v>1544</v>
      </c>
      <c r="B1431" s="3"/>
      <c r="C1431" s="3"/>
    </row>
    <row r="1432" spans="1:3" x14ac:dyDescent="0.25">
      <c r="A1432" s="5" t="s">
        <v>1545</v>
      </c>
      <c r="B1432" s="3"/>
      <c r="C1432" s="3"/>
    </row>
    <row r="1433" spans="1:3" x14ac:dyDescent="0.25">
      <c r="A1433" s="5" t="s">
        <v>1546</v>
      </c>
      <c r="B1433" s="3"/>
      <c r="C1433" s="3"/>
    </row>
    <row r="1434" spans="1:3" x14ac:dyDescent="0.25">
      <c r="A1434" s="5" t="s">
        <v>1547</v>
      </c>
      <c r="B1434" s="3"/>
      <c r="C1434" s="3"/>
    </row>
    <row r="1435" spans="1:3" x14ac:dyDescent="0.25">
      <c r="A1435" s="5" t="s">
        <v>1548</v>
      </c>
      <c r="B1435" s="3"/>
      <c r="C1435" s="3"/>
    </row>
    <row r="1436" spans="1:3" x14ac:dyDescent="0.25">
      <c r="A1436" s="5" t="s">
        <v>1549</v>
      </c>
      <c r="B1436" s="3"/>
      <c r="C1436" s="3"/>
    </row>
    <row r="1437" spans="1:3" x14ac:dyDescent="0.25">
      <c r="A1437" s="5" t="s">
        <v>1550</v>
      </c>
      <c r="B1437" s="3"/>
      <c r="C1437" s="3"/>
    </row>
    <row r="1438" spans="1:3" x14ac:dyDescent="0.25">
      <c r="A1438" s="5" t="s">
        <v>1551</v>
      </c>
      <c r="B1438" s="3"/>
      <c r="C1438" s="3"/>
    </row>
    <row r="1439" spans="1:3" x14ac:dyDescent="0.25">
      <c r="A1439" s="5" t="s">
        <v>1552</v>
      </c>
      <c r="B1439" s="3"/>
      <c r="C1439" s="3"/>
    </row>
    <row r="1440" spans="1:3" x14ac:dyDescent="0.25">
      <c r="A1440" s="5" t="s">
        <v>1553</v>
      </c>
      <c r="B1440" s="3"/>
      <c r="C1440" s="3"/>
    </row>
    <row r="1441" spans="1:3" x14ac:dyDescent="0.25">
      <c r="A1441" s="5" t="s">
        <v>1554</v>
      </c>
      <c r="B1441" s="3"/>
      <c r="C1441" s="3"/>
    </row>
    <row r="1442" spans="1:3" x14ac:dyDescent="0.25">
      <c r="A1442" s="5" t="s">
        <v>1555</v>
      </c>
      <c r="B1442" s="3"/>
      <c r="C1442" s="3"/>
    </row>
    <row r="1443" spans="1:3" x14ac:dyDescent="0.25">
      <c r="A1443" s="5" t="s">
        <v>1556</v>
      </c>
      <c r="B1443" s="3"/>
      <c r="C1443" s="3"/>
    </row>
    <row r="1444" spans="1:3" x14ac:dyDescent="0.25">
      <c r="A1444" s="5" t="s">
        <v>1557</v>
      </c>
      <c r="B1444" s="3"/>
      <c r="C1444" s="3"/>
    </row>
    <row r="1445" spans="1:3" x14ac:dyDescent="0.25">
      <c r="A1445" s="5" t="s">
        <v>1558</v>
      </c>
      <c r="B1445" s="3"/>
      <c r="C1445" s="3"/>
    </row>
    <row r="1446" spans="1:3" x14ac:dyDescent="0.25">
      <c r="A1446" s="5" t="s">
        <v>1559</v>
      </c>
      <c r="B1446" s="3"/>
      <c r="C1446" s="3"/>
    </row>
    <row r="1447" spans="1:3" x14ac:dyDescent="0.25">
      <c r="A1447" s="5" t="s">
        <v>1560</v>
      </c>
      <c r="B1447" s="3"/>
      <c r="C1447" s="3"/>
    </row>
    <row r="1448" spans="1:3" x14ac:dyDescent="0.25">
      <c r="A1448" s="5" t="s">
        <v>1561</v>
      </c>
      <c r="B1448" s="3"/>
      <c r="C1448" s="3"/>
    </row>
    <row r="1449" spans="1:3" x14ac:dyDescent="0.25">
      <c r="A1449" s="5" t="s">
        <v>1562</v>
      </c>
      <c r="B1449" s="3"/>
      <c r="C1449" s="3"/>
    </row>
    <row r="1450" spans="1:3" x14ac:dyDescent="0.25">
      <c r="A1450" s="5" t="s">
        <v>1563</v>
      </c>
      <c r="B1450" s="3"/>
      <c r="C1450" s="3"/>
    </row>
    <row r="1451" spans="1:3" x14ac:dyDescent="0.25">
      <c r="A1451" s="5" t="s">
        <v>1564</v>
      </c>
      <c r="B1451" s="3"/>
      <c r="C1451" s="3"/>
    </row>
    <row r="1452" spans="1:3" x14ac:dyDescent="0.25">
      <c r="A1452" s="5" t="s">
        <v>1565</v>
      </c>
      <c r="B1452" s="3"/>
      <c r="C1452" s="3"/>
    </row>
    <row r="1453" spans="1:3" x14ac:dyDescent="0.25">
      <c r="A1453" s="5" t="s">
        <v>1566</v>
      </c>
      <c r="B1453" s="3"/>
      <c r="C1453" s="3"/>
    </row>
    <row r="1454" spans="1:3" x14ac:dyDescent="0.25">
      <c r="A1454" s="5" t="s">
        <v>1567</v>
      </c>
      <c r="B1454" s="3"/>
      <c r="C1454" s="3"/>
    </row>
    <row r="1455" spans="1:3" x14ac:dyDescent="0.25">
      <c r="A1455" s="5" t="s">
        <v>1568</v>
      </c>
      <c r="B1455" s="3"/>
      <c r="C1455" s="3"/>
    </row>
    <row r="1456" spans="1:3" x14ac:dyDescent="0.25">
      <c r="A1456" s="5" t="s">
        <v>1569</v>
      </c>
      <c r="B1456" s="3"/>
      <c r="C1456" s="3"/>
    </row>
    <row r="1457" spans="1:3" x14ac:dyDescent="0.25">
      <c r="A1457" s="5" t="s">
        <v>1570</v>
      </c>
      <c r="B1457" s="3"/>
      <c r="C1457" s="3"/>
    </row>
    <row r="1458" spans="1:3" x14ac:dyDescent="0.25">
      <c r="A1458" s="5" t="s">
        <v>1571</v>
      </c>
      <c r="B1458" s="3"/>
      <c r="C1458" s="3"/>
    </row>
    <row r="1459" spans="1:3" x14ac:dyDescent="0.25">
      <c r="A1459" s="5" t="s">
        <v>1572</v>
      </c>
      <c r="B1459" s="3"/>
      <c r="C1459" s="3"/>
    </row>
    <row r="1460" spans="1:3" x14ac:dyDescent="0.25">
      <c r="A1460" s="5" t="s">
        <v>1573</v>
      </c>
      <c r="B1460" s="3"/>
      <c r="C1460" s="3"/>
    </row>
    <row r="1461" spans="1:3" x14ac:dyDescent="0.25">
      <c r="A1461" s="5" t="s">
        <v>1574</v>
      </c>
      <c r="B1461" s="3"/>
      <c r="C1461" s="3"/>
    </row>
    <row r="1462" spans="1:3" x14ac:dyDescent="0.25">
      <c r="A1462" s="5" t="s">
        <v>1575</v>
      </c>
      <c r="B1462" s="3"/>
      <c r="C1462" s="3"/>
    </row>
    <row r="1463" spans="1:3" x14ac:dyDescent="0.25">
      <c r="A1463" s="5" t="s">
        <v>1576</v>
      </c>
      <c r="B1463" s="3"/>
      <c r="C1463" s="3"/>
    </row>
    <row r="1464" spans="1:3" x14ac:dyDescent="0.25">
      <c r="A1464" s="5" t="s">
        <v>1577</v>
      </c>
      <c r="B1464" s="3"/>
      <c r="C1464" s="3"/>
    </row>
    <row r="1465" spans="1:3" x14ac:dyDescent="0.25">
      <c r="A1465" s="5" t="s">
        <v>1578</v>
      </c>
      <c r="B1465" s="3"/>
      <c r="C1465" s="3"/>
    </row>
    <row r="1466" spans="1:3" x14ac:dyDescent="0.25">
      <c r="A1466" s="5" t="s">
        <v>1579</v>
      </c>
      <c r="B1466" s="3"/>
      <c r="C1466" s="3"/>
    </row>
    <row r="1467" spans="1:3" x14ac:dyDescent="0.25">
      <c r="A1467" s="5" t="s">
        <v>1580</v>
      </c>
      <c r="B1467" s="3"/>
      <c r="C1467" s="3"/>
    </row>
    <row r="1468" spans="1:3" x14ac:dyDescent="0.25">
      <c r="A1468" s="5" t="s">
        <v>1581</v>
      </c>
      <c r="B1468" s="3"/>
      <c r="C1468" s="3"/>
    </row>
    <row r="1469" spans="1:3" x14ac:dyDescent="0.25">
      <c r="A1469" s="5" t="s">
        <v>1582</v>
      </c>
      <c r="B1469" s="3"/>
      <c r="C1469" s="3"/>
    </row>
    <row r="1470" spans="1:3" x14ac:dyDescent="0.25">
      <c r="A1470" s="5" t="s">
        <v>1583</v>
      </c>
      <c r="B1470" s="3"/>
      <c r="C1470" s="3"/>
    </row>
    <row r="1471" spans="1:3" x14ac:dyDescent="0.25">
      <c r="A1471" s="5" t="s">
        <v>1584</v>
      </c>
      <c r="B1471" s="3"/>
      <c r="C1471" s="3"/>
    </row>
    <row r="1472" spans="1:3" x14ac:dyDescent="0.25">
      <c r="A1472" s="5" t="s">
        <v>1585</v>
      </c>
      <c r="B1472" s="3"/>
      <c r="C1472" s="3"/>
    </row>
    <row r="1473" spans="1:3" x14ac:dyDescent="0.25">
      <c r="A1473" s="5" t="s">
        <v>1586</v>
      </c>
      <c r="B1473" s="3"/>
      <c r="C1473" s="3"/>
    </row>
    <row r="1474" spans="1:3" x14ac:dyDescent="0.25">
      <c r="A1474" s="5" t="s">
        <v>1587</v>
      </c>
      <c r="B1474" s="3"/>
      <c r="C1474" s="3"/>
    </row>
    <row r="1475" spans="1:3" x14ac:dyDescent="0.25">
      <c r="A1475" s="5" t="s">
        <v>1588</v>
      </c>
      <c r="B1475" s="3"/>
      <c r="C1475" s="3"/>
    </row>
    <row r="1476" spans="1:3" x14ac:dyDescent="0.25">
      <c r="A1476" s="5" t="s">
        <v>1589</v>
      </c>
      <c r="B1476" s="3"/>
      <c r="C1476" s="3"/>
    </row>
    <row r="1477" spans="1:3" x14ac:dyDescent="0.25">
      <c r="A1477" s="5" t="s">
        <v>1590</v>
      </c>
      <c r="B1477" s="3"/>
      <c r="C1477" s="3"/>
    </row>
    <row r="1478" spans="1:3" x14ac:dyDescent="0.25">
      <c r="A1478" s="5" t="s">
        <v>1591</v>
      </c>
      <c r="B1478" s="3"/>
      <c r="C1478" s="3"/>
    </row>
    <row r="1479" spans="1:3" x14ac:dyDescent="0.25">
      <c r="A1479" s="5" t="s">
        <v>1592</v>
      </c>
      <c r="B1479" s="3"/>
      <c r="C1479" s="3"/>
    </row>
    <row r="1480" spans="1:3" x14ac:dyDescent="0.25">
      <c r="A1480" s="5" t="s">
        <v>1593</v>
      </c>
      <c r="B1480" s="3"/>
      <c r="C1480" s="3"/>
    </row>
    <row r="1481" spans="1:3" x14ac:dyDescent="0.25">
      <c r="A1481" s="5" t="s">
        <v>1594</v>
      </c>
      <c r="B1481" s="3"/>
      <c r="C1481" s="3"/>
    </row>
    <row r="1482" spans="1:3" ht="48" x14ac:dyDescent="0.25">
      <c r="A1482" s="6" t="s">
        <v>1595</v>
      </c>
      <c r="B1482" s="3"/>
      <c r="C1482" s="3"/>
    </row>
    <row r="1483" spans="1:3" x14ac:dyDescent="0.25">
      <c r="A1483" s="5" t="s">
        <v>1596</v>
      </c>
      <c r="B1483" s="3"/>
      <c r="C1483" s="3"/>
    </row>
    <row r="1484" spans="1:3" x14ac:dyDescent="0.25">
      <c r="A1484" s="5" t="s">
        <v>1597</v>
      </c>
      <c r="B1484" s="3"/>
      <c r="C1484" s="3"/>
    </row>
    <row r="1485" spans="1:3" x14ac:dyDescent="0.25">
      <c r="A1485" s="5" t="s">
        <v>1598</v>
      </c>
      <c r="B1485" s="3"/>
      <c r="C1485" s="3"/>
    </row>
    <row r="1486" spans="1:3" x14ac:dyDescent="0.25">
      <c r="A1486" s="5" t="s">
        <v>1599</v>
      </c>
      <c r="B1486" s="3"/>
      <c r="C1486" s="3"/>
    </row>
    <row r="1487" spans="1:3" x14ac:dyDescent="0.25">
      <c r="A1487" s="5" t="s">
        <v>1600</v>
      </c>
      <c r="B1487" s="3"/>
      <c r="C1487" s="3"/>
    </row>
    <row r="1488" spans="1:3" x14ac:dyDescent="0.25">
      <c r="A1488" s="5" t="s">
        <v>1601</v>
      </c>
      <c r="B1488" s="3"/>
      <c r="C1488" s="3"/>
    </row>
    <row r="1489" spans="1:3" x14ac:dyDescent="0.25">
      <c r="A1489" s="5" t="s">
        <v>1602</v>
      </c>
      <c r="B1489" s="3"/>
      <c r="C1489" s="3"/>
    </row>
    <row r="1490" spans="1:3" x14ac:dyDescent="0.25">
      <c r="A1490" s="5" t="s">
        <v>1603</v>
      </c>
      <c r="B1490" s="3"/>
      <c r="C1490" s="3"/>
    </row>
    <row r="1491" spans="1:3" x14ac:dyDescent="0.25">
      <c r="A1491" s="5" t="s">
        <v>1604</v>
      </c>
      <c r="B1491" s="3"/>
      <c r="C1491" s="3"/>
    </row>
    <row r="1492" spans="1:3" x14ac:dyDescent="0.25">
      <c r="A1492" s="5" t="s">
        <v>1605</v>
      </c>
      <c r="B1492" s="3"/>
      <c r="C1492" s="3"/>
    </row>
    <row r="1493" spans="1:3" x14ac:dyDescent="0.25">
      <c r="A1493" s="5" t="s">
        <v>1606</v>
      </c>
      <c r="B1493" s="3"/>
      <c r="C1493" s="3"/>
    </row>
    <row r="1494" spans="1:3" x14ac:dyDescent="0.25">
      <c r="A1494" s="5" t="s">
        <v>1607</v>
      </c>
      <c r="B1494" s="3"/>
      <c r="C1494" s="3"/>
    </row>
    <row r="1495" spans="1:3" x14ac:dyDescent="0.25">
      <c r="A1495" s="5" t="s">
        <v>1608</v>
      </c>
      <c r="B1495" s="3"/>
      <c r="C1495" s="3"/>
    </row>
    <row r="1496" spans="1:3" x14ac:dyDescent="0.25">
      <c r="A1496" s="5" t="s">
        <v>1609</v>
      </c>
      <c r="B1496" s="3"/>
      <c r="C1496" s="3"/>
    </row>
    <row r="1497" spans="1:3" x14ac:dyDescent="0.25">
      <c r="A1497" s="5" t="s">
        <v>1610</v>
      </c>
      <c r="B1497" s="3"/>
      <c r="C1497" s="3"/>
    </row>
    <row r="1498" spans="1:3" x14ac:dyDescent="0.25">
      <c r="A1498" s="5" t="s">
        <v>1611</v>
      </c>
      <c r="B1498" s="3"/>
      <c r="C1498" s="3"/>
    </row>
    <row r="1499" spans="1:3" x14ac:dyDescent="0.25">
      <c r="A1499" s="5" t="s">
        <v>1612</v>
      </c>
      <c r="B1499" s="3"/>
      <c r="C1499" s="3"/>
    </row>
    <row r="1500" spans="1:3" x14ac:dyDescent="0.25">
      <c r="A1500" s="5" t="s">
        <v>1613</v>
      </c>
      <c r="B1500" s="3"/>
      <c r="C1500" s="3"/>
    </row>
    <row r="1501" spans="1:3" x14ac:dyDescent="0.25">
      <c r="A1501" s="5" t="s">
        <v>1614</v>
      </c>
      <c r="B1501" s="3"/>
      <c r="C1501" s="3"/>
    </row>
    <row r="1502" spans="1:3" x14ac:dyDescent="0.25">
      <c r="A1502" s="5" t="s">
        <v>1615</v>
      </c>
      <c r="B1502" s="3"/>
      <c r="C1502" s="3"/>
    </row>
    <row r="1503" spans="1:3" x14ac:dyDescent="0.25">
      <c r="A1503" s="5" t="s">
        <v>1616</v>
      </c>
      <c r="B1503" s="3"/>
      <c r="C1503" s="3"/>
    </row>
    <row r="1504" spans="1:3" x14ac:dyDescent="0.25">
      <c r="A1504" s="5" t="s">
        <v>1617</v>
      </c>
      <c r="B1504" s="3"/>
      <c r="C1504" s="3"/>
    </row>
    <row r="1505" spans="1:3" x14ac:dyDescent="0.25">
      <c r="A1505" s="5" t="s">
        <v>1618</v>
      </c>
      <c r="B1505" s="3"/>
      <c r="C1505" s="3"/>
    </row>
    <row r="1506" spans="1:3" x14ac:dyDescent="0.25">
      <c r="A1506" s="5" t="s">
        <v>1619</v>
      </c>
      <c r="B1506" s="3"/>
      <c r="C1506" s="3"/>
    </row>
    <row r="1507" spans="1:3" x14ac:dyDescent="0.25">
      <c r="A1507" s="5" t="s">
        <v>1620</v>
      </c>
      <c r="B1507" s="3"/>
      <c r="C1507" s="3"/>
    </row>
    <row r="1508" spans="1:3" x14ac:dyDescent="0.25">
      <c r="A1508" s="5" t="s">
        <v>1621</v>
      </c>
      <c r="B1508" s="3"/>
      <c r="C1508" s="3"/>
    </row>
    <row r="1509" spans="1:3" x14ac:dyDescent="0.25">
      <c r="A1509" s="5" t="s">
        <v>1622</v>
      </c>
      <c r="B1509" s="3"/>
      <c r="C1509" s="3"/>
    </row>
    <row r="1510" spans="1:3" x14ac:dyDescent="0.25">
      <c r="A1510" s="5" t="s">
        <v>1623</v>
      </c>
      <c r="B1510" s="3"/>
      <c r="C1510" s="3"/>
    </row>
    <row r="1511" spans="1:3" x14ac:dyDescent="0.25">
      <c r="A1511" s="5" t="s">
        <v>1624</v>
      </c>
      <c r="B1511" s="3"/>
      <c r="C1511" s="3"/>
    </row>
    <row r="1512" spans="1:3" x14ac:dyDescent="0.25">
      <c r="A1512" s="5" t="s">
        <v>1625</v>
      </c>
      <c r="B1512" s="3"/>
      <c r="C1512" s="3"/>
    </row>
    <row r="1513" spans="1:3" x14ac:dyDescent="0.25">
      <c r="A1513" s="5" t="s">
        <v>1626</v>
      </c>
      <c r="B1513" s="3"/>
      <c r="C1513" s="3"/>
    </row>
    <row r="1514" spans="1:3" x14ac:dyDescent="0.25">
      <c r="A1514" s="5" t="s">
        <v>1627</v>
      </c>
      <c r="B1514" s="3"/>
      <c r="C1514" s="3"/>
    </row>
    <row r="1515" spans="1:3" x14ac:dyDescent="0.25">
      <c r="A1515" s="5" t="s">
        <v>1628</v>
      </c>
      <c r="B1515" s="3"/>
      <c r="C1515" s="3"/>
    </row>
    <row r="1516" spans="1:3" x14ac:dyDescent="0.25">
      <c r="A1516" s="5" t="s">
        <v>1629</v>
      </c>
      <c r="B1516" s="3"/>
      <c r="C1516" s="3"/>
    </row>
    <row r="1517" spans="1:3" x14ac:dyDescent="0.25">
      <c r="A1517" s="5" t="s">
        <v>1630</v>
      </c>
      <c r="B1517" s="3"/>
      <c r="C1517" s="3"/>
    </row>
    <row r="1518" spans="1:3" x14ac:dyDescent="0.25">
      <c r="A1518" s="5" t="s">
        <v>1631</v>
      </c>
      <c r="B1518" s="3"/>
      <c r="C1518" s="3"/>
    </row>
    <row r="1519" spans="1:3" x14ac:dyDescent="0.25">
      <c r="A1519" s="5" t="s">
        <v>1632</v>
      </c>
      <c r="B1519" s="3"/>
      <c r="C1519" s="3"/>
    </row>
    <row r="1520" spans="1:3" x14ac:dyDescent="0.25">
      <c r="A1520" s="5" t="s">
        <v>1633</v>
      </c>
      <c r="B1520" s="3"/>
      <c r="C1520" s="3"/>
    </row>
    <row r="1521" spans="1:3" x14ac:dyDescent="0.25">
      <c r="A1521" s="5" t="s">
        <v>1634</v>
      </c>
      <c r="B1521" s="3"/>
      <c r="C1521" s="3"/>
    </row>
    <row r="1522" spans="1:3" x14ac:dyDescent="0.25">
      <c r="A1522" s="5" t="s">
        <v>1635</v>
      </c>
      <c r="B1522" s="3"/>
      <c r="C1522" s="3"/>
    </row>
    <row r="1523" spans="1:3" x14ac:dyDescent="0.25">
      <c r="A1523" s="5" t="s">
        <v>1636</v>
      </c>
      <c r="B1523" s="3"/>
      <c r="C1523" s="3"/>
    </row>
    <row r="1524" spans="1:3" x14ac:dyDescent="0.25">
      <c r="A1524" s="5" t="s">
        <v>1637</v>
      </c>
      <c r="B1524" s="3"/>
      <c r="C1524" s="3"/>
    </row>
    <row r="1525" spans="1:3" x14ac:dyDescent="0.25">
      <c r="A1525" s="5" t="s">
        <v>1638</v>
      </c>
      <c r="B1525" s="3"/>
      <c r="C1525" s="3"/>
    </row>
    <row r="1526" spans="1:3" x14ac:dyDescent="0.25">
      <c r="A1526" s="5" t="s">
        <v>1639</v>
      </c>
      <c r="B1526" s="3"/>
      <c r="C1526" s="3"/>
    </row>
    <row r="1527" spans="1:3" x14ac:dyDescent="0.25">
      <c r="A1527" s="5" t="s">
        <v>1640</v>
      </c>
      <c r="B1527" s="3"/>
      <c r="C1527" s="3"/>
    </row>
    <row r="1528" spans="1:3" x14ac:dyDescent="0.25">
      <c r="A1528" s="4" t="s">
        <v>1641</v>
      </c>
      <c r="B1528" s="3"/>
      <c r="C1528" s="3"/>
    </row>
    <row r="1529" spans="1:3" x14ac:dyDescent="0.25">
      <c r="A1529" s="4" t="s">
        <v>1642</v>
      </c>
      <c r="B1529" s="3"/>
      <c r="C1529" s="3"/>
    </row>
    <row r="1530" spans="1:3" x14ac:dyDescent="0.25">
      <c r="A1530" s="5" t="s">
        <v>1643</v>
      </c>
      <c r="B1530" s="3"/>
      <c r="C1530" s="3"/>
    </row>
    <row r="1531" spans="1:3" x14ac:dyDescent="0.25">
      <c r="A1531" s="4" t="s">
        <v>1644</v>
      </c>
      <c r="B1531" s="3"/>
      <c r="C1531" s="3"/>
    </row>
    <row r="1532" spans="1:3" x14ac:dyDescent="0.25">
      <c r="A1532" s="5" t="s">
        <v>1645</v>
      </c>
      <c r="B1532" s="3"/>
      <c r="C1532" s="3"/>
    </row>
    <row r="1533" spans="1:3" x14ac:dyDescent="0.25">
      <c r="A1533" s="5" t="s">
        <v>1646</v>
      </c>
      <c r="B1533" s="3"/>
      <c r="C1533" s="3"/>
    </row>
    <row r="1534" spans="1:3" x14ac:dyDescent="0.25">
      <c r="A1534" s="5" t="s">
        <v>1647</v>
      </c>
      <c r="B1534" s="3"/>
      <c r="C1534" s="3"/>
    </row>
    <row r="1535" spans="1:3" x14ac:dyDescent="0.25">
      <c r="A1535" s="5" t="s">
        <v>1648</v>
      </c>
      <c r="B1535" s="3"/>
      <c r="C1535" s="3"/>
    </row>
    <row r="1536" spans="1:3" x14ac:dyDescent="0.25">
      <c r="A1536" s="5" t="s">
        <v>1649</v>
      </c>
      <c r="B1536" s="3"/>
      <c r="C1536" s="3"/>
    </row>
    <row r="1537" spans="1:3" x14ac:dyDescent="0.25">
      <c r="A1537" s="4" t="s">
        <v>1650</v>
      </c>
      <c r="B1537" s="3"/>
      <c r="C1537" s="3"/>
    </row>
    <row r="1538" spans="1:3" x14ac:dyDescent="0.25">
      <c r="A1538" s="5" t="s">
        <v>1651</v>
      </c>
      <c r="B1538" s="3"/>
      <c r="C1538" s="3"/>
    </row>
    <row r="1539" spans="1:3" x14ac:dyDescent="0.25">
      <c r="A1539" s="4" t="s">
        <v>1652</v>
      </c>
      <c r="B1539" s="3"/>
      <c r="C1539" s="3"/>
    </row>
    <row r="1540" spans="1:3" x14ac:dyDescent="0.25">
      <c r="A1540" s="5" t="s">
        <v>1653</v>
      </c>
      <c r="B1540" s="3"/>
      <c r="C1540" s="3"/>
    </row>
    <row r="1541" spans="1:3" x14ac:dyDescent="0.25">
      <c r="A1541" s="5" t="s">
        <v>1654</v>
      </c>
      <c r="B1541" s="3"/>
      <c r="C1541" s="3"/>
    </row>
    <row r="1542" spans="1:3" x14ac:dyDescent="0.25">
      <c r="A1542" s="5" t="s">
        <v>1655</v>
      </c>
      <c r="B1542" s="3"/>
      <c r="C1542" s="3"/>
    </row>
    <row r="1543" spans="1:3" x14ac:dyDescent="0.25">
      <c r="A1543" s="5" t="s">
        <v>1656</v>
      </c>
      <c r="B1543" s="3"/>
      <c r="C1543" s="3"/>
    </row>
    <row r="1544" spans="1:3" x14ac:dyDescent="0.25">
      <c r="A1544" s="4" t="s">
        <v>1657</v>
      </c>
      <c r="B1544" s="3"/>
      <c r="C1544" s="3"/>
    </row>
    <row r="1545" spans="1:3" x14ac:dyDescent="0.25">
      <c r="A1545" s="5" t="s">
        <v>1658</v>
      </c>
      <c r="B1545" s="3"/>
      <c r="C1545" s="3"/>
    </row>
    <row r="1546" spans="1:3" x14ac:dyDescent="0.25">
      <c r="A1546" s="5" t="s">
        <v>1659</v>
      </c>
      <c r="B1546" s="3"/>
      <c r="C1546" s="3"/>
    </row>
    <row r="1547" spans="1:3" x14ac:dyDescent="0.25">
      <c r="A1547" s="5" t="s">
        <v>1660</v>
      </c>
      <c r="B1547" s="3"/>
      <c r="C1547" s="3"/>
    </row>
    <row r="1548" spans="1:3" ht="15.75" x14ac:dyDescent="0.25">
      <c r="A1548" s="2" t="s">
        <v>1661</v>
      </c>
      <c r="B1548" s="3"/>
      <c r="C1548" s="3"/>
    </row>
    <row r="1549" spans="1:3" x14ac:dyDescent="0.25">
      <c r="A1549" s="4" t="s">
        <v>1662</v>
      </c>
      <c r="B1549" s="3"/>
      <c r="C1549" s="3"/>
    </row>
    <row r="1550" spans="1:3" x14ac:dyDescent="0.25">
      <c r="A1550" s="5" t="s">
        <v>1663</v>
      </c>
      <c r="B1550" s="3"/>
      <c r="C1550" s="3"/>
    </row>
    <row r="1551" spans="1:3" x14ac:dyDescent="0.25">
      <c r="A1551" s="5" t="s">
        <v>1664</v>
      </c>
      <c r="B1551" s="3"/>
      <c r="C1551" s="3"/>
    </row>
    <row r="1552" spans="1:3" x14ac:dyDescent="0.25">
      <c r="A1552" s="5" t="s">
        <v>1665</v>
      </c>
      <c r="B1552" s="3"/>
      <c r="C1552" s="3"/>
    </row>
    <row r="1553" spans="1:3" x14ac:dyDescent="0.25">
      <c r="A1553" s="5" t="s">
        <v>1666</v>
      </c>
      <c r="B1553" s="3"/>
      <c r="C1553" s="3"/>
    </row>
    <row r="1554" spans="1:3" x14ac:dyDescent="0.25">
      <c r="A1554" s="5" t="s">
        <v>1667</v>
      </c>
      <c r="B1554" s="3"/>
      <c r="C1554" s="3"/>
    </row>
    <row r="1555" spans="1:3" x14ac:dyDescent="0.25">
      <c r="A1555" s="4" t="s">
        <v>1668</v>
      </c>
      <c r="B1555" s="3"/>
      <c r="C1555" s="3"/>
    </row>
    <row r="1556" spans="1:3" x14ac:dyDescent="0.25">
      <c r="A1556" s="4" t="s">
        <v>1669</v>
      </c>
      <c r="B1556" s="3"/>
      <c r="C1556" s="3"/>
    </row>
    <row r="1557" spans="1:3" x14ac:dyDescent="0.25">
      <c r="A1557" s="5" t="s">
        <v>1670</v>
      </c>
      <c r="B1557" s="3"/>
      <c r="C1557" s="3"/>
    </row>
    <row r="1558" spans="1:3" x14ac:dyDescent="0.25">
      <c r="A1558" s="5" t="s">
        <v>1671</v>
      </c>
      <c r="B1558" s="3"/>
      <c r="C1558" s="3"/>
    </row>
    <row r="1559" spans="1:3" x14ac:dyDescent="0.25">
      <c r="A1559" s="5" t="s">
        <v>1672</v>
      </c>
      <c r="B1559" s="3"/>
      <c r="C1559" s="3"/>
    </row>
    <row r="1560" spans="1:3" x14ac:dyDescent="0.25">
      <c r="A1560" s="5" t="s">
        <v>1673</v>
      </c>
      <c r="B1560" s="3"/>
      <c r="C1560" s="3"/>
    </row>
    <row r="1561" spans="1:3" x14ac:dyDescent="0.25">
      <c r="A1561" s="5" t="s">
        <v>1674</v>
      </c>
      <c r="B1561" s="3"/>
      <c r="C1561" s="3"/>
    </row>
    <row r="1562" spans="1:3" x14ac:dyDescent="0.25">
      <c r="A1562" s="5" t="s">
        <v>1675</v>
      </c>
      <c r="B1562" s="3"/>
      <c r="C1562" s="3"/>
    </row>
    <row r="1563" spans="1:3" x14ac:dyDescent="0.25">
      <c r="A1563" s="5" t="s">
        <v>1676</v>
      </c>
      <c r="B1563" s="3"/>
      <c r="C1563" s="3"/>
    </row>
    <row r="1564" spans="1:3" x14ac:dyDescent="0.25">
      <c r="A1564" s="5" t="s">
        <v>1677</v>
      </c>
      <c r="B1564" s="3"/>
      <c r="C1564" s="3"/>
    </row>
    <row r="1565" spans="1:3" x14ac:dyDescent="0.25">
      <c r="A1565" s="5" t="s">
        <v>1678</v>
      </c>
      <c r="B1565" s="3"/>
      <c r="C1565" s="3"/>
    </row>
    <row r="1566" spans="1:3" x14ac:dyDescent="0.25">
      <c r="A1566" s="4" t="s">
        <v>1679</v>
      </c>
      <c r="B1566" s="3"/>
      <c r="C1566" s="3"/>
    </row>
    <row r="1567" spans="1:3" x14ac:dyDescent="0.25">
      <c r="A1567" s="5" t="s">
        <v>1680</v>
      </c>
      <c r="B1567" s="3"/>
      <c r="C1567" s="3"/>
    </row>
    <row r="1568" spans="1:3" x14ac:dyDescent="0.25">
      <c r="A1568" s="5" t="s">
        <v>1681</v>
      </c>
      <c r="B1568" s="3"/>
      <c r="C1568" s="3"/>
    </row>
    <row r="1569" spans="1:3" x14ac:dyDescent="0.25">
      <c r="A1569" s="5" t="s">
        <v>1682</v>
      </c>
      <c r="B1569" s="3"/>
      <c r="C1569" s="3"/>
    </row>
    <row r="1570" spans="1:3" x14ac:dyDescent="0.25">
      <c r="A1570" s="5" t="s">
        <v>1683</v>
      </c>
      <c r="B1570" s="3"/>
      <c r="C1570" s="3"/>
    </row>
    <row r="1571" spans="1:3" x14ac:dyDescent="0.25">
      <c r="A1571" s="5" t="s">
        <v>1684</v>
      </c>
      <c r="B1571" s="3"/>
      <c r="C1571" s="3"/>
    </row>
    <row r="1572" spans="1:3" x14ac:dyDescent="0.25">
      <c r="A1572" s="5" t="s">
        <v>1685</v>
      </c>
      <c r="B1572" s="3"/>
      <c r="C1572" s="3"/>
    </row>
    <row r="1573" spans="1:3" x14ac:dyDescent="0.25">
      <c r="A1573" s="5" t="s">
        <v>1686</v>
      </c>
      <c r="B1573" s="3"/>
      <c r="C1573" s="3"/>
    </row>
    <row r="1574" spans="1:3" x14ac:dyDescent="0.25">
      <c r="A1574" s="5" t="s">
        <v>1687</v>
      </c>
      <c r="B1574" s="3"/>
      <c r="C1574" s="3"/>
    </row>
    <row r="1575" spans="1:3" x14ac:dyDescent="0.25">
      <c r="A1575" s="5" t="s">
        <v>1688</v>
      </c>
      <c r="B1575" s="3"/>
      <c r="C1575" s="3"/>
    </row>
    <row r="1576" spans="1:3" x14ac:dyDescent="0.25">
      <c r="A1576" s="5" t="s">
        <v>1689</v>
      </c>
      <c r="B1576" s="3"/>
      <c r="C1576" s="3"/>
    </row>
    <row r="1577" spans="1:3" x14ac:dyDescent="0.25">
      <c r="A1577" s="5" t="s">
        <v>1690</v>
      </c>
      <c r="B1577" s="3"/>
      <c r="C1577" s="3"/>
    </row>
    <row r="1578" spans="1:3" x14ac:dyDescent="0.25">
      <c r="A1578" s="5" t="s">
        <v>1691</v>
      </c>
      <c r="B1578" s="3"/>
      <c r="C1578" s="3"/>
    </row>
    <row r="1579" spans="1:3" x14ac:dyDescent="0.25">
      <c r="A1579" s="4" t="s">
        <v>1692</v>
      </c>
      <c r="B1579" s="3"/>
      <c r="C1579" s="3"/>
    </row>
    <row r="1580" spans="1:3" x14ac:dyDescent="0.25">
      <c r="A1580" s="5" t="s">
        <v>1693</v>
      </c>
      <c r="B1580" s="3"/>
      <c r="C1580" s="3"/>
    </row>
    <row r="1581" spans="1:3" x14ac:dyDescent="0.25">
      <c r="A1581" s="5" t="s">
        <v>1694</v>
      </c>
      <c r="B1581" s="3"/>
      <c r="C1581" s="3"/>
    </row>
    <row r="1582" spans="1:3" x14ac:dyDescent="0.25">
      <c r="A1582" s="5" t="s">
        <v>1695</v>
      </c>
      <c r="B1582" s="3"/>
      <c r="C1582" s="3"/>
    </row>
    <row r="1583" spans="1:3" x14ac:dyDescent="0.25">
      <c r="A1583" s="4" t="s">
        <v>1696</v>
      </c>
      <c r="B1583" s="3"/>
      <c r="C1583" s="3"/>
    </row>
    <row r="1584" spans="1:3" x14ac:dyDescent="0.25">
      <c r="A1584" s="5" t="s">
        <v>1697</v>
      </c>
      <c r="B1584" s="3"/>
      <c r="C1584" s="3"/>
    </row>
    <row r="1585" spans="1:3" x14ac:dyDescent="0.25">
      <c r="A1585" s="5" t="s">
        <v>1698</v>
      </c>
      <c r="B1585" s="3"/>
      <c r="C1585" s="3"/>
    </row>
    <row r="1586" spans="1:3" x14ac:dyDescent="0.25">
      <c r="A1586" s="5" t="s">
        <v>1699</v>
      </c>
      <c r="B1586" s="3"/>
      <c r="C1586" s="3"/>
    </row>
    <row r="1587" spans="1:3" x14ac:dyDescent="0.25">
      <c r="A1587" s="5" t="s">
        <v>1700</v>
      </c>
      <c r="B1587" s="3"/>
      <c r="C1587" s="3"/>
    </row>
    <row r="1588" spans="1:3" x14ac:dyDescent="0.25">
      <c r="A1588" s="5" t="s">
        <v>1701</v>
      </c>
      <c r="B1588" s="3"/>
      <c r="C1588" s="3"/>
    </row>
    <row r="1589" spans="1:3" x14ac:dyDescent="0.25">
      <c r="A1589" s="4" t="s">
        <v>1702</v>
      </c>
      <c r="B1589" s="3"/>
      <c r="C1589" s="3"/>
    </row>
    <row r="1590" spans="1:3" x14ac:dyDescent="0.25">
      <c r="A1590" s="5" t="s">
        <v>1703</v>
      </c>
      <c r="B1590" s="3"/>
      <c r="C1590" s="3"/>
    </row>
    <row r="1591" spans="1:3" x14ac:dyDescent="0.25">
      <c r="A1591" s="5" t="s">
        <v>1704</v>
      </c>
      <c r="B1591" s="3"/>
      <c r="C1591" s="3"/>
    </row>
    <row r="1592" spans="1:3" x14ac:dyDescent="0.25">
      <c r="A1592" s="5" t="s">
        <v>1705</v>
      </c>
      <c r="B1592" s="3"/>
      <c r="C1592" s="3"/>
    </row>
    <row r="1593" spans="1:3" x14ac:dyDescent="0.25">
      <c r="A1593" s="5" t="s">
        <v>1706</v>
      </c>
      <c r="B1593" s="3"/>
      <c r="C1593" s="3"/>
    </row>
    <row r="1594" spans="1:3" x14ac:dyDescent="0.25">
      <c r="A1594" s="5" t="s">
        <v>1707</v>
      </c>
      <c r="B1594" s="3"/>
      <c r="C1594" s="3"/>
    </row>
    <row r="1595" spans="1:3" x14ac:dyDescent="0.25">
      <c r="A1595" s="5" t="s">
        <v>1708</v>
      </c>
      <c r="B1595" s="3"/>
      <c r="C1595" s="3"/>
    </row>
    <row r="1596" spans="1:3" x14ac:dyDescent="0.25">
      <c r="A1596" s="5" t="s">
        <v>1709</v>
      </c>
      <c r="B1596" s="3"/>
      <c r="C1596" s="3"/>
    </row>
    <row r="1597" spans="1:3" x14ac:dyDescent="0.25">
      <c r="A1597" s="4" t="s">
        <v>1710</v>
      </c>
      <c r="B1597" s="3"/>
      <c r="C1597" s="3"/>
    </row>
    <row r="1598" spans="1:3" x14ac:dyDescent="0.25">
      <c r="A1598" s="5" t="s">
        <v>1711</v>
      </c>
      <c r="B1598" s="3"/>
      <c r="C1598" s="3"/>
    </row>
    <row r="1599" spans="1:3" x14ac:dyDescent="0.25">
      <c r="A1599" s="5" t="s">
        <v>1712</v>
      </c>
      <c r="B1599" s="3"/>
      <c r="C1599" s="3"/>
    </row>
    <row r="1600" spans="1:3" x14ac:dyDescent="0.25">
      <c r="A1600" s="5" t="s">
        <v>1713</v>
      </c>
      <c r="B1600" s="3"/>
      <c r="C1600" s="3"/>
    </row>
    <row r="1601" spans="1:3" x14ac:dyDescent="0.25">
      <c r="A1601" s="5" t="s">
        <v>1714</v>
      </c>
      <c r="B1601" s="3"/>
      <c r="C1601" s="3"/>
    </row>
    <row r="1602" spans="1:3" x14ac:dyDescent="0.25">
      <c r="A1602" s="5" t="s">
        <v>1715</v>
      </c>
      <c r="B1602" s="3"/>
      <c r="C1602" s="3"/>
    </row>
    <row r="1603" spans="1:3" x14ac:dyDescent="0.25">
      <c r="A1603" s="5" t="s">
        <v>1716</v>
      </c>
      <c r="B1603" s="3"/>
      <c r="C1603" s="3"/>
    </row>
    <row r="1604" spans="1:3" x14ac:dyDescent="0.25">
      <c r="A1604" s="5" t="s">
        <v>1717</v>
      </c>
      <c r="B1604" s="3"/>
      <c r="C1604" s="3"/>
    </row>
    <row r="1605" spans="1:3" x14ac:dyDescent="0.25">
      <c r="A1605" s="5" t="s">
        <v>1718</v>
      </c>
      <c r="B1605" s="3"/>
      <c r="C1605" s="3"/>
    </row>
    <row r="1606" spans="1:3" x14ac:dyDescent="0.25">
      <c r="A1606" s="5" t="s">
        <v>1719</v>
      </c>
      <c r="B1606" s="3"/>
      <c r="C1606" s="3"/>
    </row>
    <row r="1607" spans="1:3" x14ac:dyDescent="0.25">
      <c r="A1607" s="5" t="s">
        <v>1720</v>
      </c>
      <c r="B1607" s="3"/>
      <c r="C1607" s="3"/>
    </row>
    <row r="1608" spans="1:3" x14ac:dyDescent="0.25">
      <c r="A1608" s="5" t="s">
        <v>1721</v>
      </c>
      <c r="B1608" s="3"/>
      <c r="C1608" s="3"/>
    </row>
    <row r="1609" spans="1:3" x14ac:dyDescent="0.25">
      <c r="A1609" s="4" t="s">
        <v>1722</v>
      </c>
      <c r="B1609" s="3"/>
      <c r="C1609" s="3"/>
    </row>
    <row r="1610" spans="1:3" x14ac:dyDescent="0.25">
      <c r="A1610" s="5" t="s">
        <v>1723</v>
      </c>
      <c r="B1610" s="3"/>
      <c r="C1610" s="3"/>
    </row>
    <row r="1611" spans="1:3" x14ac:dyDescent="0.25">
      <c r="A1611" s="5" t="s">
        <v>1724</v>
      </c>
      <c r="B1611" s="3"/>
      <c r="C1611" s="3"/>
    </row>
    <row r="1612" spans="1:3" x14ac:dyDescent="0.25">
      <c r="A1612" s="5" t="s">
        <v>1725</v>
      </c>
      <c r="B1612" s="3"/>
      <c r="C1612" s="3"/>
    </row>
    <row r="1613" spans="1:3" x14ac:dyDescent="0.25">
      <c r="A1613" s="5" t="s">
        <v>1726</v>
      </c>
      <c r="B1613" s="3"/>
      <c r="C1613" s="3"/>
    </row>
    <row r="1614" spans="1:3" x14ac:dyDescent="0.25">
      <c r="A1614" s="5" t="s">
        <v>1727</v>
      </c>
      <c r="B1614" s="3"/>
      <c r="C1614" s="3"/>
    </row>
    <row r="1615" spans="1:3" x14ac:dyDescent="0.25">
      <c r="A1615" s="5" t="s">
        <v>1728</v>
      </c>
      <c r="B1615" s="3"/>
      <c r="C1615" s="3"/>
    </row>
    <row r="1616" spans="1:3" x14ac:dyDescent="0.25">
      <c r="A1616" s="5" t="s">
        <v>1729</v>
      </c>
      <c r="B1616" s="3"/>
      <c r="C1616" s="3"/>
    </row>
    <row r="1617" spans="1:3" x14ac:dyDescent="0.25">
      <c r="A1617" s="5" t="s">
        <v>1730</v>
      </c>
      <c r="B1617" s="3"/>
      <c r="C1617" s="3"/>
    </row>
    <row r="1618" spans="1:3" x14ac:dyDescent="0.25">
      <c r="A1618" s="5" t="s">
        <v>1731</v>
      </c>
      <c r="B1618" s="3"/>
      <c r="C1618" s="3"/>
    </row>
    <row r="1619" spans="1:3" x14ac:dyDescent="0.25">
      <c r="A1619" s="5" t="s">
        <v>1732</v>
      </c>
      <c r="B1619" s="3"/>
      <c r="C1619" s="3"/>
    </row>
    <row r="1620" spans="1:3" x14ac:dyDescent="0.25">
      <c r="A1620" s="5" t="s">
        <v>1733</v>
      </c>
      <c r="B1620" s="3"/>
      <c r="C1620" s="3"/>
    </row>
    <row r="1621" spans="1:3" x14ac:dyDescent="0.25">
      <c r="A1621" s="5" t="s">
        <v>1734</v>
      </c>
      <c r="B1621" s="3"/>
      <c r="C1621" s="3"/>
    </row>
    <row r="1622" spans="1:3" x14ac:dyDescent="0.25">
      <c r="A1622" s="5" t="s">
        <v>1735</v>
      </c>
      <c r="B1622" s="3"/>
      <c r="C1622" s="3"/>
    </row>
    <row r="1623" spans="1:3" x14ac:dyDescent="0.25">
      <c r="A1623" s="5" t="s">
        <v>1736</v>
      </c>
      <c r="B1623" s="3"/>
      <c r="C1623" s="3"/>
    </row>
    <row r="1624" spans="1:3" x14ac:dyDescent="0.25">
      <c r="A1624" s="5" t="s">
        <v>1737</v>
      </c>
      <c r="B1624" s="3"/>
      <c r="C1624" s="3"/>
    </row>
    <row r="1625" spans="1:3" x14ac:dyDescent="0.25">
      <c r="A1625" s="5" t="s">
        <v>1738</v>
      </c>
      <c r="B1625" s="3"/>
      <c r="C1625" s="3"/>
    </row>
    <row r="1626" spans="1:3" x14ac:dyDescent="0.25">
      <c r="A1626" s="5" t="s">
        <v>1739</v>
      </c>
      <c r="B1626" s="3"/>
      <c r="C1626" s="3"/>
    </row>
    <row r="1627" spans="1:3" x14ac:dyDescent="0.25">
      <c r="A1627" s="5" t="s">
        <v>1740</v>
      </c>
      <c r="B1627" s="3"/>
      <c r="C1627" s="3"/>
    </row>
    <row r="1628" spans="1:3" x14ac:dyDescent="0.25">
      <c r="A1628" s="5" t="s">
        <v>1741</v>
      </c>
      <c r="B1628" s="3"/>
      <c r="C1628" s="3"/>
    </row>
    <row r="1629" spans="1:3" x14ac:dyDescent="0.25">
      <c r="A1629" s="5" t="s">
        <v>1742</v>
      </c>
      <c r="B1629" s="3"/>
      <c r="C1629" s="3"/>
    </row>
    <row r="1630" spans="1:3" x14ac:dyDescent="0.25">
      <c r="A1630" s="5" t="s">
        <v>1743</v>
      </c>
      <c r="B1630" s="3"/>
      <c r="C1630" s="3"/>
    </row>
    <row r="1631" spans="1:3" x14ac:dyDescent="0.25">
      <c r="A1631" s="5" t="s">
        <v>1744</v>
      </c>
      <c r="B1631" s="3"/>
      <c r="C1631" s="3"/>
    </row>
    <row r="1632" spans="1:3" x14ac:dyDescent="0.25">
      <c r="A1632" s="5" t="s">
        <v>1745</v>
      </c>
      <c r="B1632" s="3"/>
      <c r="C1632" s="3"/>
    </row>
    <row r="1633" spans="1:3" x14ac:dyDescent="0.25">
      <c r="A1633" s="5" t="s">
        <v>1746</v>
      </c>
      <c r="B1633" s="3"/>
      <c r="C1633" s="3"/>
    </row>
    <row r="1634" spans="1:3" x14ac:dyDescent="0.25">
      <c r="A1634" s="5" t="s">
        <v>1747</v>
      </c>
      <c r="B1634" s="3"/>
      <c r="C1634" s="3"/>
    </row>
    <row r="1635" spans="1:3" x14ac:dyDescent="0.25">
      <c r="A1635" s="5" t="s">
        <v>1748</v>
      </c>
      <c r="B1635" s="3"/>
      <c r="C1635" s="3"/>
    </row>
    <row r="1636" spans="1:3" x14ac:dyDescent="0.25">
      <c r="A1636" s="4" t="s">
        <v>1749</v>
      </c>
      <c r="B1636" s="3"/>
      <c r="C1636" s="3"/>
    </row>
    <row r="1637" spans="1:3" x14ac:dyDescent="0.25">
      <c r="A1637" s="5" t="s">
        <v>1750</v>
      </c>
      <c r="B1637" s="3"/>
      <c r="C1637" s="3"/>
    </row>
    <row r="1638" spans="1:3" x14ac:dyDescent="0.25">
      <c r="A1638" s="5" t="s">
        <v>1751</v>
      </c>
      <c r="B1638" s="3"/>
      <c r="C1638" s="3"/>
    </row>
    <row r="1639" spans="1:3" x14ac:dyDescent="0.25">
      <c r="A1639" s="4" t="s">
        <v>1752</v>
      </c>
      <c r="B1639" s="3"/>
      <c r="C1639" s="3"/>
    </row>
    <row r="1640" spans="1:3" x14ac:dyDescent="0.25">
      <c r="A1640" s="5" t="s">
        <v>1753</v>
      </c>
      <c r="B1640" s="3"/>
      <c r="C1640" s="3"/>
    </row>
    <row r="1641" spans="1:3" x14ac:dyDescent="0.25">
      <c r="A1641" s="4" t="s">
        <v>1754</v>
      </c>
      <c r="B1641" s="3"/>
      <c r="C1641" s="3"/>
    </row>
    <row r="1642" spans="1:3" x14ac:dyDescent="0.25">
      <c r="A1642" s="5" t="s">
        <v>1754</v>
      </c>
      <c r="B1642" s="3"/>
      <c r="C1642" s="3"/>
    </row>
    <row r="1643" spans="1:3" x14ac:dyDescent="0.25">
      <c r="A1643" s="4" t="s">
        <v>1755</v>
      </c>
      <c r="B1643" s="3"/>
      <c r="C1643" s="3"/>
    </row>
    <row r="1644" spans="1:3" x14ac:dyDescent="0.25">
      <c r="A1644" s="5" t="s">
        <v>1756</v>
      </c>
      <c r="B1644" s="3"/>
      <c r="C1644" s="3"/>
    </row>
    <row r="1645" spans="1:3" x14ac:dyDescent="0.25">
      <c r="A1645" s="5" t="s">
        <v>1757</v>
      </c>
      <c r="B1645" s="3"/>
      <c r="C1645" s="3"/>
    </row>
    <row r="1646" spans="1:3" x14ac:dyDescent="0.25">
      <c r="A1646" s="5" t="s">
        <v>1758</v>
      </c>
      <c r="B1646" s="3"/>
      <c r="C1646" s="3"/>
    </row>
    <row r="1647" spans="1:3" x14ac:dyDescent="0.25">
      <c r="A1647" s="5" t="s">
        <v>1759</v>
      </c>
      <c r="B1647" s="3"/>
      <c r="C1647" s="3"/>
    </row>
    <row r="1648" spans="1:3" x14ac:dyDescent="0.25">
      <c r="A1648" s="5" t="s">
        <v>1760</v>
      </c>
      <c r="B1648" s="3"/>
      <c r="C1648" s="3"/>
    </row>
    <row r="1649" spans="1:3" x14ac:dyDescent="0.25">
      <c r="A1649" s="5" t="s">
        <v>1761</v>
      </c>
      <c r="B1649" s="3"/>
      <c r="C1649" s="3"/>
    </row>
    <row r="1650" spans="1:3" x14ac:dyDescent="0.25">
      <c r="A1650" s="5" t="s">
        <v>1762</v>
      </c>
      <c r="B1650" s="3"/>
      <c r="C1650" s="3"/>
    </row>
    <row r="1651" spans="1:3" x14ac:dyDescent="0.25">
      <c r="A1651" s="5" t="s">
        <v>1763</v>
      </c>
      <c r="B1651" s="3"/>
      <c r="C1651" s="3"/>
    </row>
    <row r="1652" spans="1:3" x14ac:dyDescent="0.25">
      <c r="A1652" s="5" t="s">
        <v>1764</v>
      </c>
      <c r="B1652" s="3"/>
      <c r="C1652" s="3"/>
    </row>
    <row r="1653" spans="1:3" x14ac:dyDescent="0.25">
      <c r="A1653" s="5" t="s">
        <v>1765</v>
      </c>
      <c r="B1653" s="3"/>
      <c r="C1653" s="3"/>
    </row>
    <row r="1654" spans="1:3" x14ac:dyDescent="0.25">
      <c r="A1654" s="5" t="s">
        <v>1766</v>
      </c>
      <c r="B1654" s="3"/>
      <c r="C1654" s="3"/>
    </row>
    <row r="1655" spans="1:3" x14ac:dyDescent="0.25">
      <c r="A1655" s="5" t="s">
        <v>1767</v>
      </c>
      <c r="B1655" s="3"/>
      <c r="C1655" s="3"/>
    </row>
    <row r="1656" spans="1:3" x14ac:dyDescent="0.25">
      <c r="A1656" s="5" t="s">
        <v>1768</v>
      </c>
      <c r="B1656" s="3"/>
      <c r="C1656" s="3"/>
    </row>
    <row r="1657" spans="1:3" x14ac:dyDescent="0.25">
      <c r="A1657" s="5" t="s">
        <v>1769</v>
      </c>
      <c r="B1657" s="3"/>
      <c r="C1657" s="3"/>
    </row>
    <row r="1658" spans="1:3" x14ac:dyDescent="0.25">
      <c r="A1658" s="5" t="s">
        <v>1770</v>
      </c>
      <c r="B1658" s="3"/>
      <c r="C1658" s="3"/>
    </row>
    <row r="1659" spans="1:3" x14ac:dyDescent="0.25">
      <c r="A1659" s="5" t="s">
        <v>1771</v>
      </c>
      <c r="B1659" s="3"/>
      <c r="C1659" s="3"/>
    </row>
    <row r="1660" spans="1:3" x14ac:dyDescent="0.25">
      <c r="A1660" s="5" t="s">
        <v>1772</v>
      </c>
      <c r="B1660" s="3"/>
      <c r="C1660" s="3"/>
    </row>
    <row r="1661" spans="1:3" x14ac:dyDescent="0.25">
      <c r="A1661" s="5" t="s">
        <v>1773</v>
      </c>
      <c r="B1661" s="3"/>
      <c r="C1661" s="3"/>
    </row>
    <row r="1662" spans="1:3" x14ac:dyDescent="0.25">
      <c r="A1662" s="5" t="s">
        <v>1774</v>
      </c>
      <c r="B1662" s="3"/>
      <c r="C1662" s="3"/>
    </row>
    <row r="1663" spans="1:3" x14ac:dyDescent="0.25">
      <c r="A1663" s="4" t="s">
        <v>1775</v>
      </c>
      <c r="B1663" s="3"/>
      <c r="C1663" s="3"/>
    </row>
    <row r="1664" spans="1:3" x14ac:dyDescent="0.25">
      <c r="A1664" s="5" t="s">
        <v>1776</v>
      </c>
      <c r="B1664" s="3"/>
      <c r="C1664" s="3"/>
    </row>
    <row r="1665" spans="1:3" x14ac:dyDescent="0.25">
      <c r="A1665" s="5" t="s">
        <v>1777</v>
      </c>
      <c r="B1665" s="3"/>
      <c r="C1665" s="3"/>
    </row>
    <row r="1666" spans="1:3" x14ac:dyDescent="0.25">
      <c r="A1666" s="5" t="s">
        <v>1778</v>
      </c>
      <c r="B1666" s="3"/>
      <c r="C1666" s="3"/>
    </row>
    <row r="1667" spans="1:3" x14ac:dyDescent="0.25">
      <c r="A1667" s="5" t="s">
        <v>1779</v>
      </c>
      <c r="B1667" s="3"/>
      <c r="C1667" s="3"/>
    </row>
    <row r="1668" spans="1:3" x14ac:dyDescent="0.25">
      <c r="A1668" s="5" t="s">
        <v>1780</v>
      </c>
      <c r="B1668" s="3"/>
      <c r="C1668" s="3"/>
    </row>
    <row r="1669" spans="1:3" x14ac:dyDescent="0.25">
      <c r="A1669" s="5" t="s">
        <v>1781</v>
      </c>
      <c r="B1669" s="3"/>
      <c r="C1669" s="3"/>
    </row>
    <row r="1670" spans="1:3" x14ac:dyDescent="0.25">
      <c r="A1670" s="5" t="s">
        <v>1782</v>
      </c>
      <c r="B1670" s="3"/>
      <c r="C1670" s="3"/>
    </row>
    <row r="1671" spans="1:3" x14ac:dyDescent="0.25">
      <c r="A1671" s="5" t="s">
        <v>1783</v>
      </c>
      <c r="B1671" s="3"/>
      <c r="C1671" s="3"/>
    </row>
    <row r="1672" spans="1:3" x14ac:dyDescent="0.25">
      <c r="A1672" s="5" t="s">
        <v>1784</v>
      </c>
      <c r="B1672" s="3"/>
      <c r="C1672" s="3"/>
    </row>
    <row r="1673" spans="1:3" x14ac:dyDescent="0.25">
      <c r="A1673" s="5" t="s">
        <v>1785</v>
      </c>
      <c r="B1673" s="3"/>
      <c r="C1673" s="3"/>
    </row>
    <row r="1674" spans="1:3" x14ac:dyDescent="0.25">
      <c r="A1674" s="5" t="s">
        <v>1786</v>
      </c>
      <c r="B1674" s="3"/>
      <c r="C1674" s="3"/>
    </row>
    <row r="1675" spans="1:3" x14ac:dyDescent="0.25">
      <c r="A1675" s="5" t="s">
        <v>1787</v>
      </c>
      <c r="B1675" s="3"/>
      <c r="C1675" s="3"/>
    </row>
    <row r="1676" spans="1:3" x14ac:dyDescent="0.25">
      <c r="A1676" s="5" t="s">
        <v>1788</v>
      </c>
      <c r="B1676" s="3"/>
      <c r="C1676" s="3"/>
    </row>
    <row r="1677" spans="1:3" ht="15.75" x14ac:dyDescent="0.25">
      <c r="A1677" s="2" t="s">
        <v>1789</v>
      </c>
      <c r="B1677" s="3"/>
      <c r="C1677" s="3"/>
    </row>
    <row r="1678" spans="1:3" x14ac:dyDescent="0.25">
      <c r="A1678" s="4" t="s">
        <v>1790</v>
      </c>
      <c r="B1678" s="3"/>
      <c r="C1678" s="3"/>
    </row>
    <row r="1679" spans="1:3" x14ac:dyDescent="0.25">
      <c r="A1679" s="4" t="s">
        <v>1791</v>
      </c>
      <c r="B1679" s="3"/>
      <c r="C1679" s="3"/>
    </row>
    <row r="1680" spans="1:3" x14ac:dyDescent="0.25">
      <c r="A1680" s="5" t="s">
        <v>1792</v>
      </c>
      <c r="B1680" s="3"/>
      <c r="C1680" s="3"/>
    </row>
    <row r="1681" spans="1:3" x14ac:dyDescent="0.25">
      <c r="A1681" s="5" t="s">
        <v>1793</v>
      </c>
      <c r="B1681" s="3"/>
      <c r="C1681" s="3"/>
    </row>
    <row r="1682" spans="1:3" x14ac:dyDescent="0.25">
      <c r="A1682" s="5" t="s">
        <v>1794</v>
      </c>
      <c r="B1682" s="3"/>
      <c r="C1682" s="3"/>
    </row>
    <row r="1683" spans="1:3" x14ac:dyDescent="0.25">
      <c r="A1683" s="4" t="s">
        <v>1795</v>
      </c>
      <c r="B1683" s="3"/>
      <c r="C1683" s="3"/>
    </row>
    <row r="1684" spans="1:3" x14ac:dyDescent="0.25">
      <c r="A1684" s="4" t="s">
        <v>1796</v>
      </c>
      <c r="B1684" s="3"/>
      <c r="C1684" s="3"/>
    </row>
    <row r="1685" spans="1:3" x14ac:dyDescent="0.25">
      <c r="A1685" s="5" t="s">
        <v>1797</v>
      </c>
      <c r="B1685" s="3"/>
      <c r="C1685" s="3"/>
    </row>
    <row r="1686" spans="1:3" x14ac:dyDescent="0.25">
      <c r="A1686" s="5" t="s">
        <v>1798</v>
      </c>
      <c r="B1686" s="3"/>
      <c r="C1686" s="3"/>
    </row>
    <row r="1687" spans="1:3" x14ac:dyDescent="0.25">
      <c r="A1687" s="5" t="s">
        <v>1799</v>
      </c>
      <c r="B1687" s="3"/>
      <c r="C1687" s="3"/>
    </row>
    <row r="1688" spans="1:3" x14ac:dyDescent="0.25">
      <c r="A1688" s="5" t="s">
        <v>1800</v>
      </c>
      <c r="B1688" s="3"/>
      <c r="C1688" s="3"/>
    </row>
    <row r="1689" spans="1:3" x14ac:dyDescent="0.25">
      <c r="A1689" s="5" t="s">
        <v>1801</v>
      </c>
      <c r="B1689" s="3"/>
      <c r="C1689" s="3"/>
    </row>
    <row r="1690" spans="1:3" x14ac:dyDescent="0.25">
      <c r="A1690" s="5" t="s">
        <v>1802</v>
      </c>
      <c r="B1690" s="3"/>
      <c r="C1690" s="3"/>
    </row>
    <row r="1691" spans="1:3" x14ac:dyDescent="0.25">
      <c r="A1691" s="5" t="s">
        <v>1803</v>
      </c>
      <c r="B1691" s="3"/>
      <c r="C1691" s="3"/>
    </row>
    <row r="1692" spans="1:3" x14ac:dyDescent="0.25">
      <c r="A1692" s="5" t="s">
        <v>1804</v>
      </c>
      <c r="B1692" s="3"/>
      <c r="C1692" s="3"/>
    </row>
    <row r="1693" spans="1:3" x14ac:dyDescent="0.25">
      <c r="A1693" s="5" t="s">
        <v>1805</v>
      </c>
      <c r="B1693" s="3"/>
      <c r="C1693" s="3"/>
    </row>
    <row r="1694" spans="1:3" x14ac:dyDescent="0.25">
      <c r="A1694" s="5" t="s">
        <v>1806</v>
      </c>
      <c r="B1694" s="3"/>
      <c r="C1694" s="3"/>
    </row>
    <row r="1695" spans="1:3" x14ac:dyDescent="0.25">
      <c r="A1695" s="7" t="s">
        <v>1807</v>
      </c>
      <c r="B1695" s="8" t="s">
        <v>1086</v>
      </c>
      <c r="C1695" s="7" t="s">
        <v>1808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76"/>
  <sheetViews>
    <sheetView workbookViewId="0">
      <selection sqref="A1:H176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tr">
        <f>"01-05-2026 11:42:53"</f>
        <v>01-05-2026 11:42:53</v>
      </c>
      <c r="B2" t="str">
        <f t="shared" ref="B2:B26" si="0">"01 May 2026"</f>
        <v>01 May 2026</v>
      </c>
      <c r="C2" t="str">
        <f>""</f>
        <v/>
      </c>
      <c r="D2" t="s">
        <v>8</v>
      </c>
      <c r="E2">
        <v>280</v>
      </c>
      <c r="G2" s="1">
        <v>113613</v>
      </c>
      <c r="H2" s="1">
        <v>-3113789.58</v>
      </c>
    </row>
    <row r="3" spans="1:8" x14ac:dyDescent="0.25">
      <c r="A3" t="str">
        <f>"01-05-2026 11:49:08"</f>
        <v>01-05-2026 11:49:08</v>
      </c>
      <c r="B3" t="str">
        <f t="shared" si="0"/>
        <v>01 May 2026</v>
      </c>
      <c r="C3" t="str">
        <f>""</f>
        <v/>
      </c>
      <c r="D3" t="s">
        <v>9</v>
      </c>
      <c r="E3">
        <v>280</v>
      </c>
      <c r="F3" s="1">
        <v>46000</v>
      </c>
      <c r="H3" s="1">
        <v>-3159789.58</v>
      </c>
    </row>
    <row r="4" spans="1:8" x14ac:dyDescent="0.25">
      <c r="A4" t="str">
        <f>"01-05-2026 11:49:08"</f>
        <v>01-05-2026 11:49:08</v>
      </c>
      <c r="B4" t="str">
        <f t="shared" si="0"/>
        <v>01 May 2026</v>
      </c>
      <c r="C4" t="str">
        <f>""</f>
        <v/>
      </c>
      <c r="D4" t="s">
        <v>10</v>
      </c>
      <c r="E4">
        <v>280</v>
      </c>
      <c r="F4">
        <v>6</v>
      </c>
      <c r="H4" s="1">
        <v>-3159795.58</v>
      </c>
    </row>
    <row r="5" spans="1:8" x14ac:dyDescent="0.25">
      <c r="A5" t="str">
        <f>"01-05-2026 11:54:35"</f>
        <v>01-05-2026 11:54:35</v>
      </c>
      <c r="B5" t="str">
        <f t="shared" si="0"/>
        <v>01 May 2026</v>
      </c>
      <c r="C5" t="str">
        <f>""</f>
        <v/>
      </c>
      <c r="D5" t="s">
        <v>11</v>
      </c>
      <c r="E5">
        <v>280</v>
      </c>
      <c r="F5" s="1">
        <v>46000</v>
      </c>
      <c r="H5" s="1">
        <v>-3205795.58</v>
      </c>
    </row>
    <row r="6" spans="1:8" x14ac:dyDescent="0.25">
      <c r="A6" t="str">
        <f>"01-05-2026 11:54:35"</f>
        <v>01-05-2026 11:54:35</v>
      </c>
      <c r="B6" t="str">
        <f t="shared" si="0"/>
        <v>01 May 2026</v>
      </c>
      <c r="C6" t="str">
        <f>""</f>
        <v/>
      </c>
      <c r="D6" t="s">
        <v>10</v>
      </c>
      <c r="E6">
        <v>280</v>
      </c>
      <c r="F6">
        <v>6</v>
      </c>
      <c r="H6" s="1">
        <v>-3205801.58</v>
      </c>
    </row>
    <row r="7" spans="1:8" x14ac:dyDescent="0.25">
      <c r="A7" t="str">
        <f>"01-05-2026 11:56:07"</f>
        <v>01-05-2026 11:56:07</v>
      </c>
      <c r="B7" t="str">
        <f t="shared" si="0"/>
        <v>01 May 2026</v>
      </c>
      <c r="C7" t="str">
        <f>""</f>
        <v/>
      </c>
      <c r="D7" t="s">
        <v>12</v>
      </c>
      <c r="E7">
        <v>280</v>
      </c>
      <c r="F7" s="1">
        <v>46000</v>
      </c>
      <c r="H7" s="1">
        <v>-3251801.58</v>
      </c>
    </row>
    <row r="8" spans="1:8" x14ac:dyDescent="0.25">
      <c r="A8" t="str">
        <f>"01-05-2026 11:56:08"</f>
        <v>01-05-2026 11:56:08</v>
      </c>
      <c r="B8" t="str">
        <f t="shared" si="0"/>
        <v>01 May 2026</v>
      </c>
      <c r="C8" t="str">
        <f>""</f>
        <v/>
      </c>
      <c r="D8" t="s">
        <v>10</v>
      </c>
      <c r="E8">
        <v>280</v>
      </c>
      <c r="F8">
        <v>6</v>
      </c>
      <c r="H8" s="1">
        <v>-3251807.58</v>
      </c>
    </row>
    <row r="9" spans="1:8" x14ac:dyDescent="0.25">
      <c r="A9" t="str">
        <f>"01-05-2026 11:59:37"</f>
        <v>01-05-2026 11:59:37</v>
      </c>
      <c r="B9" t="str">
        <f t="shared" si="0"/>
        <v>01 May 2026</v>
      </c>
      <c r="C9" t="str">
        <f>""</f>
        <v/>
      </c>
      <c r="D9" t="s">
        <v>13</v>
      </c>
      <c r="E9">
        <v>280</v>
      </c>
      <c r="F9" s="1">
        <v>98302</v>
      </c>
      <c r="H9" s="1">
        <v>-3350109.58</v>
      </c>
    </row>
    <row r="10" spans="1:8" x14ac:dyDescent="0.25">
      <c r="A10" t="str">
        <f>"01-05-2026 11:59:37"</f>
        <v>01-05-2026 11:59:37</v>
      </c>
      <c r="B10" t="str">
        <f t="shared" si="0"/>
        <v>01 May 2026</v>
      </c>
      <c r="C10" t="str">
        <f>""</f>
        <v/>
      </c>
      <c r="D10" t="s">
        <v>10</v>
      </c>
      <c r="E10">
        <v>280</v>
      </c>
      <c r="F10">
        <v>6</v>
      </c>
      <c r="H10" s="1">
        <v>-3350115.58</v>
      </c>
    </row>
    <row r="11" spans="1:8" x14ac:dyDescent="0.25">
      <c r="A11" t="str">
        <f>"01-05-2026 12:03:25"</f>
        <v>01-05-2026 12:03:25</v>
      </c>
      <c r="B11" t="str">
        <f t="shared" si="0"/>
        <v>01 May 2026</v>
      </c>
      <c r="C11" t="str">
        <f>""</f>
        <v/>
      </c>
      <c r="D11" t="s">
        <v>14</v>
      </c>
      <c r="E11">
        <v>280</v>
      </c>
      <c r="F11" s="1">
        <v>61740</v>
      </c>
      <c r="H11" s="1">
        <v>-3411855.58</v>
      </c>
    </row>
    <row r="12" spans="1:8" x14ac:dyDescent="0.25">
      <c r="A12" t="str">
        <f>"01-05-2026 12:03:26"</f>
        <v>01-05-2026 12:03:26</v>
      </c>
      <c r="B12" t="str">
        <f t="shared" si="0"/>
        <v>01 May 2026</v>
      </c>
      <c r="C12" t="str">
        <f>""</f>
        <v/>
      </c>
      <c r="D12" t="s">
        <v>10</v>
      </c>
      <c r="E12">
        <v>280</v>
      </c>
      <c r="F12">
        <v>6</v>
      </c>
      <c r="H12" s="1">
        <v>-3411861.58</v>
      </c>
    </row>
    <row r="13" spans="1:8" x14ac:dyDescent="0.25">
      <c r="A13" t="str">
        <f>"01-05-2026 12:08:59"</f>
        <v>01-05-2026 12:08:59</v>
      </c>
      <c r="B13" t="str">
        <f t="shared" si="0"/>
        <v>01 May 2026</v>
      </c>
      <c r="C13" t="str">
        <f>""</f>
        <v/>
      </c>
      <c r="D13" t="s">
        <v>15</v>
      </c>
      <c r="E13">
        <v>280</v>
      </c>
      <c r="F13" s="1">
        <v>336000</v>
      </c>
      <c r="H13" s="1">
        <v>-3747861.58</v>
      </c>
    </row>
    <row r="14" spans="1:8" x14ac:dyDescent="0.25">
      <c r="A14" t="str">
        <f>"01-05-2026 12:08:59"</f>
        <v>01-05-2026 12:08:59</v>
      </c>
      <c r="B14" t="str">
        <f t="shared" si="0"/>
        <v>01 May 2026</v>
      </c>
      <c r="C14" t="str">
        <f>""</f>
        <v/>
      </c>
      <c r="D14" t="s">
        <v>10</v>
      </c>
      <c r="E14">
        <v>280</v>
      </c>
      <c r="F14">
        <v>29</v>
      </c>
      <c r="H14" s="1">
        <v>-3747890.58</v>
      </c>
    </row>
    <row r="15" spans="1:8" x14ac:dyDescent="0.25">
      <c r="A15" t="str">
        <f>"01-05-2026 12:13:47"</f>
        <v>01-05-2026 12:13:47</v>
      </c>
      <c r="B15" t="str">
        <f t="shared" si="0"/>
        <v>01 May 2026</v>
      </c>
      <c r="C15" t="str">
        <f>""</f>
        <v/>
      </c>
      <c r="D15" t="s">
        <v>16</v>
      </c>
      <c r="E15">
        <v>280</v>
      </c>
      <c r="F15" s="1">
        <v>1155</v>
      </c>
      <c r="H15" s="1">
        <v>-3749045.58</v>
      </c>
    </row>
    <row r="16" spans="1:8" x14ac:dyDescent="0.25">
      <c r="A16" t="str">
        <f>"01-05-2026 12:13:47"</f>
        <v>01-05-2026 12:13:47</v>
      </c>
      <c r="B16" t="str">
        <f t="shared" si="0"/>
        <v>01 May 2026</v>
      </c>
      <c r="C16" t="str">
        <f>""</f>
        <v/>
      </c>
      <c r="D16" t="s">
        <v>10</v>
      </c>
      <c r="E16">
        <v>280</v>
      </c>
      <c r="F16">
        <v>3</v>
      </c>
      <c r="H16" s="1">
        <v>-3749048.58</v>
      </c>
    </row>
    <row r="17" spans="1:8" x14ac:dyDescent="0.25">
      <c r="A17" t="str">
        <f>"01-05-2026 12:18:10"</f>
        <v>01-05-2026 12:18:10</v>
      </c>
      <c r="B17" t="str">
        <f t="shared" si="0"/>
        <v>01 May 2026</v>
      </c>
      <c r="C17" t="str">
        <f>""</f>
        <v/>
      </c>
      <c r="D17" t="s">
        <v>17</v>
      </c>
      <c r="E17">
        <v>280</v>
      </c>
      <c r="F17" s="1">
        <v>13514</v>
      </c>
      <c r="H17" s="1">
        <v>-3762562.58</v>
      </c>
    </row>
    <row r="18" spans="1:8" x14ac:dyDescent="0.25">
      <c r="A18" t="str">
        <f>"01-05-2026 12:18:10"</f>
        <v>01-05-2026 12:18:10</v>
      </c>
      <c r="B18" t="str">
        <f t="shared" si="0"/>
        <v>01 May 2026</v>
      </c>
      <c r="C18" t="str">
        <f>""</f>
        <v/>
      </c>
      <c r="D18" t="s">
        <v>10</v>
      </c>
      <c r="E18">
        <v>280</v>
      </c>
      <c r="F18">
        <v>6</v>
      </c>
      <c r="H18" s="1">
        <v>-3762568.58</v>
      </c>
    </row>
    <row r="19" spans="1:8" x14ac:dyDescent="0.25">
      <c r="A19" t="str">
        <f>"01-05-2026 12:20:45"</f>
        <v>01-05-2026 12:20:45</v>
      </c>
      <c r="B19" t="str">
        <f t="shared" si="0"/>
        <v>01 May 2026</v>
      </c>
      <c r="C19" t="str">
        <f>""</f>
        <v/>
      </c>
      <c r="D19" t="s">
        <v>18</v>
      </c>
      <c r="E19">
        <v>280</v>
      </c>
      <c r="F19" s="1">
        <v>5040</v>
      </c>
      <c r="H19" s="1">
        <v>-3767608.58</v>
      </c>
    </row>
    <row r="20" spans="1:8" x14ac:dyDescent="0.25">
      <c r="A20" t="str">
        <f>"01-05-2026 12:20:45"</f>
        <v>01-05-2026 12:20:45</v>
      </c>
      <c r="B20" t="str">
        <f t="shared" si="0"/>
        <v>01 May 2026</v>
      </c>
      <c r="C20" t="str">
        <f>""</f>
        <v/>
      </c>
      <c r="D20" t="s">
        <v>10</v>
      </c>
      <c r="E20">
        <v>280</v>
      </c>
      <c r="F20">
        <v>3</v>
      </c>
      <c r="H20" s="1">
        <v>-3767611.58</v>
      </c>
    </row>
    <row r="21" spans="1:8" x14ac:dyDescent="0.25">
      <c r="A21" t="str">
        <f>"01-05-2026 12:23:27"</f>
        <v>01-05-2026 12:23:27</v>
      </c>
      <c r="B21" t="str">
        <f t="shared" si="0"/>
        <v>01 May 2026</v>
      </c>
      <c r="C21" t="str">
        <f>""</f>
        <v/>
      </c>
      <c r="D21" t="s">
        <v>19</v>
      </c>
      <c r="E21">
        <v>280</v>
      </c>
      <c r="F21" s="1">
        <v>10148</v>
      </c>
      <c r="H21" s="1">
        <v>-3777759.58</v>
      </c>
    </row>
    <row r="22" spans="1:8" x14ac:dyDescent="0.25">
      <c r="A22" t="str">
        <f>"01-05-2026 12:23:27"</f>
        <v>01-05-2026 12:23:27</v>
      </c>
      <c r="B22" t="str">
        <f t="shared" si="0"/>
        <v>01 May 2026</v>
      </c>
      <c r="C22" t="str">
        <f>""</f>
        <v/>
      </c>
      <c r="D22" t="s">
        <v>10</v>
      </c>
      <c r="E22">
        <v>280</v>
      </c>
      <c r="F22">
        <v>6</v>
      </c>
      <c r="H22" s="1">
        <v>-3777765.58</v>
      </c>
    </row>
    <row r="23" spans="1:8" x14ac:dyDescent="0.25">
      <c r="A23" t="str">
        <f>"01-05-2026 12:26:36"</f>
        <v>01-05-2026 12:26:36</v>
      </c>
      <c r="B23" t="str">
        <f t="shared" si="0"/>
        <v>01 May 2026</v>
      </c>
      <c r="C23" t="str">
        <f>""</f>
        <v/>
      </c>
      <c r="D23" t="s">
        <v>20</v>
      </c>
      <c r="E23">
        <v>280</v>
      </c>
      <c r="F23" s="1">
        <v>21240</v>
      </c>
      <c r="H23" s="1">
        <v>-3799005.58</v>
      </c>
    </row>
    <row r="24" spans="1:8" x14ac:dyDescent="0.25">
      <c r="A24" t="str">
        <f>"01-05-2026 12:26:36"</f>
        <v>01-05-2026 12:26:36</v>
      </c>
      <c r="B24" t="str">
        <f t="shared" si="0"/>
        <v>01 May 2026</v>
      </c>
      <c r="C24" t="str">
        <f>""</f>
        <v/>
      </c>
      <c r="D24" t="s">
        <v>10</v>
      </c>
      <c r="E24">
        <v>280</v>
      </c>
      <c r="F24">
        <v>6</v>
      </c>
      <c r="H24" s="1">
        <v>-3799011.58</v>
      </c>
    </row>
    <row r="25" spans="1:8" x14ac:dyDescent="0.25">
      <c r="A25" t="str">
        <f>"01-05-2026 15:05:50"</f>
        <v>01-05-2026 15:05:50</v>
      </c>
      <c r="B25" t="str">
        <f t="shared" si="0"/>
        <v>01 May 2026</v>
      </c>
      <c r="C25" t="str">
        <f>""</f>
        <v/>
      </c>
      <c r="D25" t="s">
        <v>21</v>
      </c>
      <c r="E25">
        <v>280</v>
      </c>
      <c r="F25" s="1">
        <v>5050</v>
      </c>
      <c r="H25" s="1">
        <v>-3804061.58</v>
      </c>
    </row>
    <row r="26" spans="1:8" x14ac:dyDescent="0.25">
      <c r="A26" t="str">
        <f>"01-05-2026 15:05:51"</f>
        <v>01-05-2026 15:05:51</v>
      </c>
      <c r="B26" t="str">
        <f t="shared" si="0"/>
        <v>01 May 2026</v>
      </c>
      <c r="C26" t="str">
        <f>""</f>
        <v/>
      </c>
      <c r="D26" t="s">
        <v>10</v>
      </c>
      <c r="E26">
        <v>280</v>
      </c>
      <c r="F26">
        <v>3</v>
      </c>
      <c r="H26" s="1">
        <v>-3804064.58</v>
      </c>
    </row>
    <row r="27" spans="1:8" x14ac:dyDescent="0.25">
      <c r="A27" t="str">
        <f>"02-05-2026 17:07:47"</f>
        <v>02-05-2026 17:07:47</v>
      </c>
      <c r="B27" t="str">
        <f>"02 May 2026"</f>
        <v>02 May 2026</v>
      </c>
      <c r="C27" t="str">
        <f>""</f>
        <v/>
      </c>
      <c r="D27" t="s">
        <v>22</v>
      </c>
      <c r="E27">
        <v>280</v>
      </c>
      <c r="F27" s="1">
        <v>11000</v>
      </c>
      <c r="H27" s="1">
        <v>-3815064.58</v>
      </c>
    </row>
    <row r="28" spans="1:8" x14ac:dyDescent="0.25">
      <c r="A28" t="str">
        <f>"02-05-2026 17:07:48"</f>
        <v>02-05-2026 17:07:48</v>
      </c>
      <c r="B28" t="str">
        <f>"02 May 2026"</f>
        <v>02 May 2026</v>
      </c>
      <c r="C28" t="str">
        <f>""</f>
        <v/>
      </c>
      <c r="D28" t="s">
        <v>10</v>
      </c>
      <c r="E28">
        <v>280</v>
      </c>
      <c r="F28">
        <v>6</v>
      </c>
      <c r="H28" s="1">
        <v>-3815070.58</v>
      </c>
    </row>
    <row r="29" spans="1:8" x14ac:dyDescent="0.25">
      <c r="A29" t="str">
        <f>"02-05-2026 17:12:00"</f>
        <v>02-05-2026 17:12:00</v>
      </c>
      <c r="B29" t="str">
        <f>"02 May 2026"</f>
        <v>02 May 2026</v>
      </c>
      <c r="C29" t="str">
        <f>""</f>
        <v/>
      </c>
      <c r="D29" t="s">
        <v>23</v>
      </c>
      <c r="E29">
        <v>280</v>
      </c>
      <c r="F29" s="1">
        <v>70800</v>
      </c>
      <c r="H29" s="1">
        <v>-3885870.58</v>
      </c>
    </row>
    <row r="30" spans="1:8" x14ac:dyDescent="0.25">
      <c r="A30" t="str">
        <f>"02-05-2026 17:12:00"</f>
        <v>02-05-2026 17:12:00</v>
      </c>
      <c r="B30" t="str">
        <f>"02 May 2026"</f>
        <v>02 May 2026</v>
      </c>
      <c r="C30" t="str">
        <f>""</f>
        <v/>
      </c>
      <c r="D30" t="s">
        <v>10</v>
      </c>
      <c r="E30">
        <v>280</v>
      </c>
      <c r="F30">
        <v>6</v>
      </c>
      <c r="H30" s="1">
        <v>-3885876.58</v>
      </c>
    </row>
    <row r="31" spans="1:8" x14ac:dyDescent="0.25">
      <c r="A31" t="str">
        <f>"03-05-2026 13:59:12"</f>
        <v>03-05-2026 13:59:12</v>
      </c>
      <c r="B31" t="str">
        <f>"03 May 2026"</f>
        <v>03 May 2026</v>
      </c>
      <c r="C31" t="str">
        <f>""</f>
        <v/>
      </c>
      <c r="D31" t="s">
        <v>24</v>
      </c>
      <c r="E31">
        <v>280</v>
      </c>
      <c r="F31" s="1">
        <v>5000</v>
      </c>
      <c r="H31" s="1">
        <v>-3890876.58</v>
      </c>
    </row>
    <row r="32" spans="1:8" x14ac:dyDescent="0.25">
      <c r="A32" t="str">
        <f>"04-05-2026 22:15:58"</f>
        <v>04-05-2026 22:15:58</v>
      </c>
      <c r="B32" t="str">
        <f>"04 May 2026"</f>
        <v>04 May 2026</v>
      </c>
      <c r="C32" t="str">
        <f>""</f>
        <v/>
      </c>
      <c r="D32" t="s">
        <v>25</v>
      </c>
      <c r="E32">
        <v>280</v>
      </c>
      <c r="G32" s="1">
        <v>587899</v>
      </c>
      <c r="H32" s="1">
        <v>-3302977.58</v>
      </c>
    </row>
    <row r="33" spans="1:8" x14ac:dyDescent="0.25">
      <c r="A33" t="str">
        <f>"04-05-2026 22:23:13"</f>
        <v>04-05-2026 22:23:13</v>
      </c>
      <c r="B33" t="str">
        <f>"04 May 2026"</f>
        <v>04 May 2026</v>
      </c>
      <c r="C33" t="str">
        <f>""</f>
        <v/>
      </c>
      <c r="D33" t="s">
        <v>26</v>
      </c>
      <c r="E33">
        <v>280</v>
      </c>
      <c r="F33" s="1">
        <v>26000</v>
      </c>
      <c r="H33" s="1">
        <v>-3328977.58</v>
      </c>
    </row>
    <row r="34" spans="1:8" x14ac:dyDescent="0.25">
      <c r="A34" t="str">
        <f>"04-05-2026 22:23:13"</f>
        <v>04-05-2026 22:23:13</v>
      </c>
      <c r="B34" t="str">
        <f>"05 May 2026"</f>
        <v>05 May 2026</v>
      </c>
      <c r="C34" t="str">
        <f>""</f>
        <v/>
      </c>
      <c r="D34" t="s">
        <v>10</v>
      </c>
      <c r="E34">
        <v>280</v>
      </c>
      <c r="F34">
        <v>6</v>
      </c>
      <c r="H34" s="1">
        <v>-3328983.58</v>
      </c>
    </row>
    <row r="35" spans="1:8" x14ac:dyDescent="0.25">
      <c r="A35" t="str">
        <f>"04-05-2026 22:25:01"</f>
        <v>04-05-2026 22:25:01</v>
      </c>
      <c r="B35" t="str">
        <f>"04 May 2026"</f>
        <v>04 May 2026</v>
      </c>
      <c r="C35" t="str">
        <f>""</f>
        <v/>
      </c>
      <c r="D35" t="s">
        <v>27</v>
      </c>
      <c r="E35">
        <v>280</v>
      </c>
      <c r="F35" s="1">
        <v>3744</v>
      </c>
      <c r="H35" s="1">
        <v>-3332727.58</v>
      </c>
    </row>
    <row r="36" spans="1:8" x14ac:dyDescent="0.25">
      <c r="A36" t="str">
        <f>"04-05-2026 22:25:01"</f>
        <v>04-05-2026 22:25:01</v>
      </c>
      <c r="B36" t="str">
        <f>"05 May 2026"</f>
        <v>05 May 2026</v>
      </c>
      <c r="C36" t="str">
        <f>""</f>
        <v/>
      </c>
      <c r="D36" t="s">
        <v>10</v>
      </c>
      <c r="E36">
        <v>280</v>
      </c>
      <c r="F36">
        <v>3</v>
      </c>
      <c r="H36" s="1">
        <v>-3332730.58</v>
      </c>
    </row>
    <row r="37" spans="1:8" x14ac:dyDescent="0.25">
      <c r="A37" t="str">
        <f>"05-05-2026 21:07:12"</f>
        <v>05-05-2026 21:07:12</v>
      </c>
      <c r="B37" t="str">
        <f>"05 May 2026"</f>
        <v>05 May 2026</v>
      </c>
      <c r="C37" t="str">
        <f>""</f>
        <v/>
      </c>
      <c r="D37" t="s">
        <v>28</v>
      </c>
      <c r="E37">
        <v>280</v>
      </c>
      <c r="G37" s="1">
        <v>417655</v>
      </c>
      <c r="H37" s="1">
        <v>-2915075.58</v>
      </c>
    </row>
    <row r="38" spans="1:8" x14ac:dyDescent="0.25">
      <c r="A38" t="str">
        <f>"05-05-2026 21:23:30"</f>
        <v>05-05-2026 21:23:30</v>
      </c>
      <c r="B38" t="str">
        <f>"05 May 2026"</f>
        <v>05 May 2026</v>
      </c>
      <c r="C38" t="str">
        <f>""</f>
        <v/>
      </c>
      <c r="D38" t="s">
        <v>29</v>
      </c>
      <c r="E38">
        <v>280</v>
      </c>
      <c r="F38" s="1">
        <v>200000</v>
      </c>
      <c r="H38" s="1">
        <v>-3115075.58</v>
      </c>
    </row>
    <row r="39" spans="1:8" x14ac:dyDescent="0.25">
      <c r="A39" t="str">
        <f>"05-05-2026 21:23:30"</f>
        <v>05-05-2026 21:23:30</v>
      </c>
      <c r="B39" t="str">
        <f>"06 May 2026"</f>
        <v>06 May 2026</v>
      </c>
      <c r="C39" t="str">
        <f>""</f>
        <v/>
      </c>
      <c r="D39" t="s">
        <v>10</v>
      </c>
      <c r="E39">
        <v>280</v>
      </c>
      <c r="F39">
        <v>17</v>
      </c>
      <c r="H39" s="1">
        <v>-3115092.58</v>
      </c>
    </row>
    <row r="40" spans="1:8" x14ac:dyDescent="0.25">
      <c r="A40" t="str">
        <f>"05-05-2026 21:29:32"</f>
        <v>05-05-2026 21:29:32</v>
      </c>
      <c r="B40" t="str">
        <f>"05 May 2026"</f>
        <v>05 May 2026</v>
      </c>
      <c r="C40" t="str">
        <f>""</f>
        <v/>
      </c>
      <c r="D40" t="s">
        <v>30</v>
      </c>
      <c r="E40">
        <v>280</v>
      </c>
      <c r="F40" s="1">
        <v>54000</v>
      </c>
      <c r="H40" s="1">
        <v>-3169092.58</v>
      </c>
    </row>
    <row r="41" spans="1:8" x14ac:dyDescent="0.25">
      <c r="A41" t="str">
        <f>"05-05-2026 21:29:32"</f>
        <v>05-05-2026 21:29:32</v>
      </c>
      <c r="B41" t="str">
        <f>"06 May 2026"</f>
        <v>06 May 2026</v>
      </c>
      <c r="C41" t="str">
        <f>""</f>
        <v/>
      </c>
      <c r="D41" t="s">
        <v>10</v>
      </c>
      <c r="E41">
        <v>280</v>
      </c>
      <c r="F41">
        <v>6</v>
      </c>
      <c r="H41" s="1">
        <v>-3169098.58</v>
      </c>
    </row>
    <row r="42" spans="1:8" x14ac:dyDescent="0.25">
      <c r="A42" t="str">
        <f>"05-05-2026 21:32:50"</f>
        <v>05-05-2026 21:32:50</v>
      </c>
      <c r="B42" t="str">
        <f>"05 May 2026"</f>
        <v>05 May 2026</v>
      </c>
      <c r="C42" t="str">
        <f>""</f>
        <v/>
      </c>
      <c r="D42" t="s">
        <v>31</v>
      </c>
      <c r="E42">
        <v>280</v>
      </c>
      <c r="F42" s="1">
        <v>20400</v>
      </c>
      <c r="H42" s="1">
        <v>-3189498.58</v>
      </c>
    </row>
    <row r="43" spans="1:8" x14ac:dyDescent="0.25">
      <c r="A43" t="str">
        <f>"05-05-2026 21:32:50"</f>
        <v>05-05-2026 21:32:50</v>
      </c>
      <c r="B43" t="str">
        <f>"06 May 2026"</f>
        <v>06 May 2026</v>
      </c>
      <c r="C43" t="str">
        <f>""</f>
        <v/>
      </c>
      <c r="D43" t="s">
        <v>10</v>
      </c>
      <c r="E43">
        <v>280</v>
      </c>
      <c r="F43">
        <v>6</v>
      </c>
      <c r="H43" s="1">
        <v>-3189504.58</v>
      </c>
    </row>
    <row r="44" spans="1:8" x14ac:dyDescent="0.25">
      <c r="A44" t="str">
        <f>"05-05-2026 23:10:50"</f>
        <v>05-05-2026 23:10:50</v>
      </c>
      <c r="B44" t="str">
        <f>"05 May 2026"</f>
        <v>05 May 2026</v>
      </c>
      <c r="C44" t="str">
        <f>""</f>
        <v/>
      </c>
      <c r="D44" t="s">
        <v>32</v>
      </c>
      <c r="E44">
        <v>280</v>
      </c>
      <c r="F44" s="1">
        <v>1770</v>
      </c>
      <c r="H44" s="1">
        <v>-3191274.58</v>
      </c>
    </row>
    <row r="45" spans="1:8" x14ac:dyDescent="0.25">
      <c r="A45" t="str">
        <f>"06-05-2026 23:06:32"</f>
        <v>06-05-2026 23:06:32</v>
      </c>
      <c r="B45" t="str">
        <f>"06 May 2026"</f>
        <v>06 May 2026</v>
      </c>
      <c r="C45" t="str">
        <f>""</f>
        <v/>
      </c>
      <c r="D45" t="s">
        <v>33</v>
      </c>
      <c r="E45">
        <v>280</v>
      </c>
      <c r="F45" s="1">
        <v>133421.37</v>
      </c>
      <c r="H45" s="1">
        <v>-3324695.95</v>
      </c>
    </row>
    <row r="46" spans="1:8" x14ac:dyDescent="0.25">
      <c r="A46" t="str">
        <f>"07-05-2026 12:07:17"</f>
        <v>07-05-2026 12:07:17</v>
      </c>
      <c r="B46" t="str">
        <f t="shared" ref="B46:B59" si="1">"07 May 2026"</f>
        <v>07 May 2026</v>
      </c>
      <c r="C46" t="str">
        <f>""</f>
        <v/>
      </c>
      <c r="D46" t="s">
        <v>34</v>
      </c>
      <c r="E46">
        <v>280</v>
      </c>
      <c r="F46" s="1">
        <v>200000</v>
      </c>
      <c r="H46" s="1">
        <v>-3524695.95</v>
      </c>
    </row>
    <row r="47" spans="1:8" x14ac:dyDescent="0.25">
      <c r="A47" t="str">
        <f>"07-05-2026 12:07:17"</f>
        <v>07-05-2026 12:07:17</v>
      </c>
      <c r="B47" t="str">
        <f t="shared" si="1"/>
        <v>07 May 2026</v>
      </c>
      <c r="C47" t="str">
        <f>""</f>
        <v/>
      </c>
      <c r="D47" t="s">
        <v>10</v>
      </c>
      <c r="E47">
        <v>280</v>
      </c>
      <c r="F47">
        <v>17</v>
      </c>
      <c r="H47" s="1">
        <v>-3524712.95</v>
      </c>
    </row>
    <row r="48" spans="1:8" x14ac:dyDescent="0.25">
      <c r="A48" t="str">
        <f>"07-05-2026 12:12:52"</f>
        <v>07-05-2026 12:12:52</v>
      </c>
      <c r="B48" t="str">
        <f t="shared" si="1"/>
        <v>07 May 2026</v>
      </c>
      <c r="C48" t="str">
        <f>""</f>
        <v/>
      </c>
      <c r="D48" t="s">
        <v>35</v>
      </c>
      <c r="E48">
        <v>280</v>
      </c>
      <c r="F48" s="1">
        <v>154344</v>
      </c>
      <c r="H48" s="1">
        <v>-3679056.95</v>
      </c>
    </row>
    <row r="49" spans="1:8" x14ac:dyDescent="0.25">
      <c r="A49" t="str">
        <f>"07-05-2026 12:12:52"</f>
        <v>07-05-2026 12:12:52</v>
      </c>
      <c r="B49" t="str">
        <f t="shared" si="1"/>
        <v>07 May 2026</v>
      </c>
      <c r="C49" t="str">
        <f>""</f>
        <v/>
      </c>
      <c r="D49" t="s">
        <v>10</v>
      </c>
      <c r="E49">
        <v>280</v>
      </c>
      <c r="F49">
        <v>17</v>
      </c>
      <c r="H49" s="1">
        <v>-3679073.95</v>
      </c>
    </row>
    <row r="50" spans="1:8" x14ac:dyDescent="0.25">
      <c r="A50" t="str">
        <f>"07-05-2026 12:20:03"</f>
        <v>07-05-2026 12:20:03</v>
      </c>
      <c r="B50" t="str">
        <f t="shared" si="1"/>
        <v>07 May 2026</v>
      </c>
      <c r="C50" t="str">
        <f>""</f>
        <v/>
      </c>
      <c r="D50" t="s">
        <v>36</v>
      </c>
      <c r="E50">
        <v>280</v>
      </c>
      <c r="F50" s="1">
        <v>14000</v>
      </c>
      <c r="H50" s="1">
        <v>-3693073.95</v>
      </c>
    </row>
    <row r="51" spans="1:8" x14ac:dyDescent="0.25">
      <c r="A51" t="str">
        <f>"07-05-2026 12:20:03"</f>
        <v>07-05-2026 12:20:03</v>
      </c>
      <c r="B51" t="str">
        <f t="shared" si="1"/>
        <v>07 May 2026</v>
      </c>
      <c r="C51" t="str">
        <f>""</f>
        <v/>
      </c>
      <c r="D51" t="s">
        <v>10</v>
      </c>
      <c r="E51">
        <v>280</v>
      </c>
      <c r="F51">
        <v>6</v>
      </c>
      <c r="H51" s="1">
        <v>-3693079.95</v>
      </c>
    </row>
    <row r="52" spans="1:8" x14ac:dyDescent="0.25">
      <c r="A52" t="str">
        <f>"07-05-2026 12:23:29"</f>
        <v>07-05-2026 12:23:29</v>
      </c>
      <c r="B52" t="str">
        <f t="shared" si="1"/>
        <v>07 May 2026</v>
      </c>
      <c r="C52" t="str">
        <f>""</f>
        <v/>
      </c>
      <c r="D52" t="s">
        <v>37</v>
      </c>
      <c r="E52">
        <v>280</v>
      </c>
      <c r="F52" s="1">
        <v>10620</v>
      </c>
      <c r="H52" s="1">
        <v>-3703699.95</v>
      </c>
    </row>
    <row r="53" spans="1:8" x14ac:dyDescent="0.25">
      <c r="A53" t="str">
        <f>"07-05-2026 12:23:29"</f>
        <v>07-05-2026 12:23:29</v>
      </c>
      <c r="B53" t="str">
        <f t="shared" si="1"/>
        <v>07 May 2026</v>
      </c>
      <c r="C53" t="str">
        <f>""</f>
        <v/>
      </c>
      <c r="D53" t="s">
        <v>10</v>
      </c>
      <c r="E53">
        <v>280</v>
      </c>
      <c r="F53">
        <v>6</v>
      </c>
      <c r="H53" s="1">
        <v>-3703705.95</v>
      </c>
    </row>
    <row r="54" spans="1:8" x14ac:dyDescent="0.25">
      <c r="A54" t="str">
        <f>"07-05-2026 12:29:48"</f>
        <v>07-05-2026 12:29:48</v>
      </c>
      <c r="B54" t="str">
        <f t="shared" si="1"/>
        <v>07 May 2026</v>
      </c>
      <c r="C54" t="str">
        <f>""</f>
        <v/>
      </c>
      <c r="D54" t="s">
        <v>38</v>
      </c>
      <c r="E54">
        <v>280</v>
      </c>
      <c r="F54" s="1">
        <v>103950</v>
      </c>
      <c r="H54" s="1">
        <v>-3807655.95</v>
      </c>
    </row>
    <row r="55" spans="1:8" x14ac:dyDescent="0.25">
      <c r="A55" t="str">
        <f>"07-05-2026 12:29:48"</f>
        <v>07-05-2026 12:29:48</v>
      </c>
      <c r="B55" t="str">
        <f t="shared" si="1"/>
        <v>07 May 2026</v>
      </c>
      <c r="C55" t="str">
        <f>""</f>
        <v/>
      </c>
      <c r="D55" t="s">
        <v>10</v>
      </c>
      <c r="E55">
        <v>280</v>
      </c>
      <c r="F55">
        <v>17</v>
      </c>
      <c r="H55" s="1">
        <v>-3807672.95</v>
      </c>
    </row>
    <row r="56" spans="1:8" x14ac:dyDescent="0.25">
      <c r="A56" t="str">
        <f>"07-05-2026 15:22:43"</f>
        <v>07-05-2026 15:22:43</v>
      </c>
      <c r="B56" t="str">
        <f t="shared" si="1"/>
        <v>07 May 2026</v>
      </c>
      <c r="C56" t="str">
        <f>""</f>
        <v/>
      </c>
      <c r="D56" t="s">
        <v>39</v>
      </c>
      <c r="E56">
        <v>280</v>
      </c>
      <c r="F56" s="1">
        <v>2855</v>
      </c>
      <c r="H56" s="1">
        <v>-3810527.95</v>
      </c>
    </row>
    <row r="57" spans="1:8" x14ac:dyDescent="0.25">
      <c r="A57" t="str">
        <f>"07-05-2026 15:22:43"</f>
        <v>07-05-2026 15:22:43</v>
      </c>
      <c r="B57" t="str">
        <f t="shared" si="1"/>
        <v>07 May 2026</v>
      </c>
      <c r="C57" t="str">
        <f>""</f>
        <v/>
      </c>
      <c r="D57" t="s">
        <v>10</v>
      </c>
      <c r="E57">
        <v>280</v>
      </c>
      <c r="F57">
        <v>3</v>
      </c>
      <c r="H57" s="1">
        <v>-3810530.95</v>
      </c>
    </row>
    <row r="58" spans="1:8" x14ac:dyDescent="0.25">
      <c r="A58" t="str">
        <f>"07-05-2026 17:08:32"</f>
        <v>07-05-2026 17:08:32</v>
      </c>
      <c r="B58" t="str">
        <f t="shared" si="1"/>
        <v>07 May 2026</v>
      </c>
      <c r="C58" t="str">
        <f>""</f>
        <v/>
      </c>
      <c r="D58" t="s">
        <v>40</v>
      </c>
      <c r="E58">
        <v>280</v>
      </c>
      <c r="F58" s="1">
        <v>65769.36</v>
      </c>
      <c r="H58" s="1">
        <v>-3876300.31</v>
      </c>
    </row>
    <row r="59" spans="1:8" x14ac:dyDescent="0.25">
      <c r="A59" t="str">
        <f>"07-05-2026 22:03:52"</f>
        <v>07-05-2026 22:03:52</v>
      </c>
      <c r="B59" t="str">
        <f t="shared" si="1"/>
        <v>07 May 2026</v>
      </c>
      <c r="C59" t="str">
        <f>""</f>
        <v/>
      </c>
      <c r="D59" t="s">
        <v>41</v>
      </c>
      <c r="E59">
        <v>280</v>
      </c>
      <c r="F59" s="1">
        <v>120268</v>
      </c>
      <c r="H59" s="1">
        <v>-3996568.31</v>
      </c>
    </row>
    <row r="60" spans="1:8" x14ac:dyDescent="0.25">
      <c r="A60" t="str">
        <f>"08-05-2026 14:49:53"</f>
        <v>08-05-2026 14:49:53</v>
      </c>
      <c r="B60" t="str">
        <f t="shared" ref="B60:B84" si="2">"08 May 2026"</f>
        <v>08 May 2026</v>
      </c>
      <c r="C60" t="str">
        <f>""</f>
        <v/>
      </c>
      <c r="D60" t="s">
        <v>42</v>
      </c>
      <c r="E60">
        <v>280</v>
      </c>
      <c r="G60" s="1">
        <v>2013017</v>
      </c>
      <c r="H60" s="1">
        <v>-1983551.31</v>
      </c>
    </row>
    <row r="61" spans="1:8" x14ac:dyDescent="0.25">
      <c r="A61" t="str">
        <f>"08-05-2026 15:09:33"</f>
        <v>08-05-2026 15:09:33</v>
      </c>
      <c r="B61" t="str">
        <f t="shared" si="2"/>
        <v>08 May 2026</v>
      </c>
      <c r="C61" t="str">
        <f>""</f>
        <v/>
      </c>
      <c r="D61" t="s">
        <v>43</v>
      </c>
      <c r="E61">
        <v>280</v>
      </c>
      <c r="F61" s="1">
        <v>38125</v>
      </c>
      <c r="H61" s="1">
        <v>-2021676.31</v>
      </c>
    </row>
    <row r="62" spans="1:8" x14ac:dyDescent="0.25">
      <c r="A62" t="str">
        <f>"08-05-2026 15:09:33"</f>
        <v>08-05-2026 15:09:33</v>
      </c>
      <c r="B62" t="str">
        <f t="shared" si="2"/>
        <v>08 May 2026</v>
      </c>
      <c r="C62" t="str">
        <f>""</f>
        <v/>
      </c>
      <c r="D62" t="s">
        <v>10</v>
      </c>
      <c r="E62">
        <v>280</v>
      </c>
      <c r="F62">
        <v>6</v>
      </c>
      <c r="H62" s="1">
        <v>-2021682.31</v>
      </c>
    </row>
    <row r="63" spans="1:8" x14ac:dyDescent="0.25">
      <c r="A63" t="str">
        <f>"08-05-2026 15:11:56"</f>
        <v>08-05-2026 15:11:56</v>
      </c>
      <c r="B63" t="str">
        <f t="shared" si="2"/>
        <v>08 May 2026</v>
      </c>
      <c r="C63" t="str">
        <f>""</f>
        <v/>
      </c>
      <c r="D63" t="s">
        <v>44</v>
      </c>
      <c r="E63">
        <v>280</v>
      </c>
      <c r="F63" s="1">
        <v>33000</v>
      </c>
      <c r="H63" s="1">
        <v>-2054682.31</v>
      </c>
    </row>
    <row r="64" spans="1:8" x14ac:dyDescent="0.25">
      <c r="A64" t="str">
        <f>"08-05-2026 15:11:56"</f>
        <v>08-05-2026 15:11:56</v>
      </c>
      <c r="B64" t="str">
        <f t="shared" si="2"/>
        <v>08 May 2026</v>
      </c>
      <c r="C64" t="str">
        <f>""</f>
        <v/>
      </c>
      <c r="D64" t="s">
        <v>10</v>
      </c>
      <c r="E64">
        <v>280</v>
      </c>
      <c r="F64">
        <v>6</v>
      </c>
      <c r="H64" s="1">
        <v>-2054688.31</v>
      </c>
    </row>
    <row r="65" spans="1:8" x14ac:dyDescent="0.25">
      <c r="A65" t="str">
        <f>"08-05-2026 15:15:39"</f>
        <v>08-05-2026 15:15:39</v>
      </c>
      <c r="B65" t="str">
        <f t="shared" si="2"/>
        <v>08 May 2026</v>
      </c>
      <c r="C65" t="str">
        <f>""</f>
        <v/>
      </c>
      <c r="D65" t="s">
        <v>45</v>
      </c>
      <c r="E65">
        <v>280</v>
      </c>
      <c r="F65" s="1">
        <v>3944</v>
      </c>
      <c r="H65" s="1">
        <v>-2058632.31</v>
      </c>
    </row>
    <row r="66" spans="1:8" x14ac:dyDescent="0.25">
      <c r="A66" t="str">
        <f>"08-05-2026 15:15:40"</f>
        <v>08-05-2026 15:15:40</v>
      </c>
      <c r="B66" t="str">
        <f t="shared" si="2"/>
        <v>08 May 2026</v>
      </c>
      <c r="C66" t="str">
        <f>""</f>
        <v/>
      </c>
      <c r="D66" t="s">
        <v>10</v>
      </c>
      <c r="E66">
        <v>280</v>
      </c>
      <c r="F66">
        <v>3</v>
      </c>
      <c r="H66" s="1">
        <v>-2058635.31</v>
      </c>
    </row>
    <row r="67" spans="1:8" x14ac:dyDescent="0.25">
      <c r="A67" t="str">
        <f>"08-05-2026 15:18:18"</f>
        <v>08-05-2026 15:18:18</v>
      </c>
      <c r="B67" t="str">
        <f t="shared" si="2"/>
        <v>08 May 2026</v>
      </c>
      <c r="C67" t="str">
        <f>""</f>
        <v/>
      </c>
      <c r="D67" t="s">
        <v>46</v>
      </c>
      <c r="E67">
        <v>280</v>
      </c>
      <c r="F67" s="1">
        <v>7888</v>
      </c>
      <c r="H67" s="1">
        <v>-2066523.31</v>
      </c>
    </row>
    <row r="68" spans="1:8" x14ac:dyDescent="0.25">
      <c r="A68" t="str">
        <f>"08-05-2026 15:18:18"</f>
        <v>08-05-2026 15:18:18</v>
      </c>
      <c r="B68" t="str">
        <f t="shared" si="2"/>
        <v>08 May 2026</v>
      </c>
      <c r="C68" t="str">
        <f>""</f>
        <v/>
      </c>
      <c r="D68" t="s">
        <v>10</v>
      </c>
      <c r="E68">
        <v>280</v>
      </c>
      <c r="F68">
        <v>3</v>
      </c>
      <c r="H68" s="1">
        <v>-2066526.31</v>
      </c>
    </row>
    <row r="69" spans="1:8" x14ac:dyDescent="0.25">
      <c r="A69" t="str">
        <f>"08-05-2026 15:21:33"</f>
        <v>08-05-2026 15:21:33</v>
      </c>
      <c r="B69" t="str">
        <f t="shared" si="2"/>
        <v>08 May 2026</v>
      </c>
      <c r="C69" t="str">
        <f>""</f>
        <v/>
      </c>
      <c r="D69" t="s">
        <v>47</v>
      </c>
      <c r="E69">
        <v>280</v>
      </c>
      <c r="F69" s="1">
        <v>5743</v>
      </c>
      <c r="H69" s="1">
        <v>-2072269.31</v>
      </c>
    </row>
    <row r="70" spans="1:8" x14ac:dyDescent="0.25">
      <c r="A70" t="str">
        <f>"08-05-2026 15:21:33"</f>
        <v>08-05-2026 15:21:33</v>
      </c>
      <c r="B70" t="str">
        <f t="shared" si="2"/>
        <v>08 May 2026</v>
      </c>
      <c r="C70" t="str">
        <f>""</f>
        <v/>
      </c>
      <c r="D70" t="s">
        <v>10</v>
      </c>
      <c r="E70">
        <v>280</v>
      </c>
      <c r="F70">
        <v>3</v>
      </c>
      <c r="H70" s="1">
        <v>-2072272.31</v>
      </c>
    </row>
    <row r="71" spans="1:8" x14ac:dyDescent="0.25">
      <c r="A71" t="str">
        <f>"08-05-2026 15:23:50"</f>
        <v>08-05-2026 15:23:50</v>
      </c>
      <c r="B71" t="str">
        <f t="shared" si="2"/>
        <v>08 May 2026</v>
      </c>
      <c r="C71" t="str">
        <f>""</f>
        <v/>
      </c>
      <c r="D71" t="s">
        <v>48</v>
      </c>
      <c r="E71">
        <v>280</v>
      </c>
      <c r="F71" s="1">
        <v>44000</v>
      </c>
      <c r="H71" s="1">
        <v>-2116272.31</v>
      </c>
    </row>
    <row r="72" spans="1:8" x14ac:dyDescent="0.25">
      <c r="A72" t="str">
        <f>"08-05-2026 15:23:50"</f>
        <v>08-05-2026 15:23:50</v>
      </c>
      <c r="B72" t="str">
        <f t="shared" si="2"/>
        <v>08 May 2026</v>
      </c>
      <c r="C72" t="str">
        <f>""</f>
        <v/>
      </c>
      <c r="D72" t="s">
        <v>10</v>
      </c>
      <c r="E72">
        <v>280</v>
      </c>
      <c r="F72">
        <v>6</v>
      </c>
      <c r="H72" s="1">
        <v>-2116278.31</v>
      </c>
    </row>
    <row r="73" spans="1:8" x14ac:dyDescent="0.25">
      <c r="A73" t="str">
        <f>"08-05-2026 15:25:04"</f>
        <v>08-05-2026 15:25:04</v>
      </c>
      <c r="B73" t="str">
        <f t="shared" si="2"/>
        <v>08 May 2026</v>
      </c>
      <c r="C73" t="str">
        <f>""</f>
        <v/>
      </c>
      <c r="D73" t="s">
        <v>49</v>
      </c>
      <c r="E73">
        <v>280</v>
      </c>
      <c r="F73" s="1">
        <v>9026</v>
      </c>
      <c r="H73" s="1">
        <v>-2125304.31</v>
      </c>
    </row>
    <row r="74" spans="1:8" x14ac:dyDescent="0.25">
      <c r="A74" t="str">
        <f>"08-05-2026 15:30:32"</f>
        <v>08-05-2026 15:30:32</v>
      </c>
      <c r="B74" t="str">
        <f t="shared" si="2"/>
        <v>08 May 2026</v>
      </c>
      <c r="C74" t="str">
        <f>""</f>
        <v/>
      </c>
      <c r="D74" t="s">
        <v>50</v>
      </c>
      <c r="E74">
        <v>280</v>
      </c>
      <c r="F74" s="1">
        <v>81200</v>
      </c>
      <c r="H74" s="1">
        <v>-2206504.31</v>
      </c>
    </row>
    <row r="75" spans="1:8" x14ac:dyDescent="0.25">
      <c r="A75" t="str">
        <f>"08-05-2026 15:30:32"</f>
        <v>08-05-2026 15:30:32</v>
      </c>
      <c r="B75" t="str">
        <f t="shared" si="2"/>
        <v>08 May 2026</v>
      </c>
      <c r="C75" t="str">
        <f>""</f>
        <v/>
      </c>
      <c r="D75" t="s">
        <v>10</v>
      </c>
      <c r="E75">
        <v>280</v>
      </c>
      <c r="F75">
        <v>6</v>
      </c>
      <c r="H75" s="1">
        <v>-2206510.31</v>
      </c>
    </row>
    <row r="76" spans="1:8" x14ac:dyDescent="0.25">
      <c r="A76" t="str">
        <f>"08-05-2026 15:38:24"</f>
        <v>08-05-2026 15:38:24</v>
      </c>
      <c r="B76" t="str">
        <f t="shared" si="2"/>
        <v>08 May 2026</v>
      </c>
      <c r="C76" t="str">
        <f>""</f>
        <v/>
      </c>
      <c r="D76" t="s">
        <v>51</v>
      </c>
      <c r="E76">
        <v>280</v>
      </c>
      <c r="F76" s="1">
        <v>48200</v>
      </c>
      <c r="H76" s="1">
        <v>-2254710.31</v>
      </c>
    </row>
    <row r="77" spans="1:8" x14ac:dyDescent="0.25">
      <c r="A77" t="str">
        <f>"08-05-2026 15:38:24"</f>
        <v>08-05-2026 15:38:24</v>
      </c>
      <c r="B77" t="str">
        <f t="shared" si="2"/>
        <v>08 May 2026</v>
      </c>
      <c r="C77" t="str">
        <f>""</f>
        <v/>
      </c>
      <c r="D77" t="s">
        <v>10</v>
      </c>
      <c r="E77">
        <v>280</v>
      </c>
      <c r="F77">
        <v>6</v>
      </c>
      <c r="H77" s="1">
        <v>-2254716.31</v>
      </c>
    </row>
    <row r="78" spans="1:8" x14ac:dyDescent="0.25">
      <c r="A78" t="str">
        <f>"08-05-2026 15:41:38"</f>
        <v>08-05-2026 15:41:38</v>
      </c>
      <c r="B78" t="str">
        <f t="shared" si="2"/>
        <v>08 May 2026</v>
      </c>
      <c r="C78" t="str">
        <f>""</f>
        <v/>
      </c>
      <c r="D78" t="s">
        <v>52</v>
      </c>
      <c r="E78">
        <v>280</v>
      </c>
      <c r="F78" s="1">
        <v>35000</v>
      </c>
      <c r="H78" s="1">
        <v>-2289716.31</v>
      </c>
    </row>
    <row r="79" spans="1:8" x14ac:dyDescent="0.25">
      <c r="A79" t="str">
        <f>"08-05-2026 15:41:38"</f>
        <v>08-05-2026 15:41:38</v>
      </c>
      <c r="B79" t="str">
        <f t="shared" si="2"/>
        <v>08 May 2026</v>
      </c>
      <c r="C79" t="str">
        <f>""</f>
        <v/>
      </c>
      <c r="D79" t="s">
        <v>10</v>
      </c>
      <c r="E79">
        <v>280</v>
      </c>
      <c r="F79">
        <v>6</v>
      </c>
      <c r="H79" s="1">
        <v>-2289722.31</v>
      </c>
    </row>
    <row r="80" spans="1:8" x14ac:dyDescent="0.25">
      <c r="A80" t="str">
        <f>"08-05-2026 15:45:02"</f>
        <v>08-05-2026 15:45:02</v>
      </c>
      <c r="B80" t="str">
        <f t="shared" si="2"/>
        <v>08 May 2026</v>
      </c>
      <c r="C80" t="str">
        <f>""</f>
        <v/>
      </c>
      <c r="D80" t="s">
        <v>53</v>
      </c>
      <c r="E80">
        <v>280</v>
      </c>
      <c r="F80" s="1">
        <v>25615</v>
      </c>
      <c r="H80" s="1">
        <v>-2315337.31</v>
      </c>
    </row>
    <row r="81" spans="1:8" x14ac:dyDescent="0.25">
      <c r="A81" t="str">
        <f>"08-05-2026 15:45:02"</f>
        <v>08-05-2026 15:45:02</v>
      </c>
      <c r="B81" t="str">
        <f t="shared" si="2"/>
        <v>08 May 2026</v>
      </c>
      <c r="C81" t="str">
        <f>""</f>
        <v/>
      </c>
      <c r="D81" t="s">
        <v>10</v>
      </c>
      <c r="E81">
        <v>280</v>
      </c>
      <c r="F81">
        <v>6</v>
      </c>
      <c r="H81" s="1">
        <v>-2315343.31</v>
      </c>
    </row>
    <row r="82" spans="1:8" x14ac:dyDescent="0.25">
      <c r="A82" t="str">
        <f>"08-05-2026 15:46:57"</f>
        <v>08-05-2026 15:46:57</v>
      </c>
      <c r="B82" t="str">
        <f t="shared" si="2"/>
        <v>08 May 2026</v>
      </c>
      <c r="C82" t="str">
        <f>""</f>
        <v/>
      </c>
      <c r="D82" t="s">
        <v>54</v>
      </c>
      <c r="E82">
        <v>280</v>
      </c>
      <c r="F82" s="1">
        <v>28933</v>
      </c>
      <c r="H82" s="1">
        <v>-2344276.31</v>
      </c>
    </row>
    <row r="83" spans="1:8" x14ac:dyDescent="0.25">
      <c r="A83" t="str">
        <f>"08-05-2026 15:46:57"</f>
        <v>08-05-2026 15:46:57</v>
      </c>
      <c r="B83" t="str">
        <f t="shared" si="2"/>
        <v>08 May 2026</v>
      </c>
      <c r="C83" t="str">
        <f>""</f>
        <v/>
      </c>
      <c r="D83" t="s">
        <v>10</v>
      </c>
      <c r="E83">
        <v>280</v>
      </c>
      <c r="F83">
        <v>6</v>
      </c>
      <c r="H83" s="1">
        <v>-2344282.31</v>
      </c>
    </row>
    <row r="84" spans="1:8" x14ac:dyDescent="0.25">
      <c r="A84" t="str">
        <f>"08-05-2026 22:25:19"</f>
        <v>08-05-2026 22:25:19</v>
      </c>
      <c r="B84" t="str">
        <f t="shared" si="2"/>
        <v>08 May 2026</v>
      </c>
      <c r="C84" t="str">
        <f>""</f>
        <v/>
      </c>
      <c r="D84" t="s">
        <v>55</v>
      </c>
      <c r="E84">
        <v>280</v>
      </c>
      <c r="F84" s="1">
        <v>16620</v>
      </c>
      <c r="H84" s="1">
        <v>-2360902.31</v>
      </c>
    </row>
    <row r="85" spans="1:8" x14ac:dyDescent="0.25">
      <c r="A85" t="str">
        <f>"08-05-2026 22:25:19"</f>
        <v>08-05-2026 22:25:19</v>
      </c>
      <c r="B85" t="str">
        <f>"09 May 2026"</f>
        <v>09 May 2026</v>
      </c>
      <c r="C85" t="str">
        <f>""</f>
        <v/>
      </c>
      <c r="D85" t="s">
        <v>10</v>
      </c>
      <c r="E85">
        <v>280</v>
      </c>
      <c r="F85">
        <v>6</v>
      </c>
      <c r="H85" s="1">
        <v>-2360908.31</v>
      </c>
    </row>
    <row r="86" spans="1:8" x14ac:dyDescent="0.25">
      <c r="A86" t="str">
        <f>"08-05-2026 22:26:53"</f>
        <v>08-05-2026 22:26:53</v>
      </c>
      <c r="B86" t="str">
        <f>"08 May 2026"</f>
        <v>08 May 2026</v>
      </c>
      <c r="C86" t="str">
        <f>""</f>
        <v/>
      </c>
      <c r="D86" t="s">
        <v>56</v>
      </c>
      <c r="E86">
        <v>280</v>
      </c>
      <c r="F86" s="1">
        <v>20400</v>
      </c>
      <c r="H86" s="1">
        <v>-2381308.31</v>
      </c>
    </row>
    <row r="87" spans="1:8" x14ac:dyDescent="0.25">
      <c r="A87" t="str">
        <f>"08-05-2026 22:26:53"</f>
        <v>08-05-2026 22:26:53</v>
      </c>
      <c r="B87" t="str">
        <f>"09 May 2026"</f>
        <v>09 May 2026</v>
      </c>
      <c r="C87" t="str">
        <f>""</f>
        <v/>
      </c>
      <c r="D87" t="s">
        <v>10</v>
      </c>
      <c r="E87">
        <v>280</v>
      </c>
      <c r="F87">
        <v>6</v>
      </c>
      <c r="H87" s="1">
        <v>-2381314.31</v>
      </c>
    </row>
    <row r="88" spans="1:8" x14ac:dyDescent="0.25">
      <c r="A88" t="str">
        <f>"09-05-2026 17:42:26"</f>
        <v>09-05-2026 17:42:26</v>
      </c>
      <c r="B88" t="str">
        <f>"09 May 2026"</f>
        <v>09 May 2026</v>
      </c>
      <c r="C88" t="str">
        <f>""</f>
        <v/>
      </c>
      <c r="D88" t="s">
        <v>57</v>
      </c>
      <c r="E88">
        <v>280</v>
      </c>
      <c r="F88" s="1">
        <v>30240</v>
      </c>
      <c r="H88" s="1">
        <v>-2411554.31</v>
      </c>
    </row>
    <row r="89" spans="1:8" x14ac:dyDescent="0.25">
      <c r="A89" t="str">
        <f>"09-05-2026 17:42:26"</f>
        <v>09-05-2026 17:42:26</v>
      </c>
      <c r="B89" t="str">
        <f>"09 May 2026"</f>
        <v>09 May 2026</v>
      </c>
      <c r="C89" t="str">
        <f>""</f>
        <v/>
      </c>
      <c r="D89" t="s">
        <v>10</v>
      </c>
      <c r="E89">
        <v>280</v>
      </c>
      <c r="F89">
        <v>6</v>
      </c>
      <c r="H89" s="1">
        <v>-2411560.31</v>
      </c>
    </row>
    <row r="90" spans="1:8" x14ac:dyDescent="0.25">
      <c r="A90" t="str">
        <f>"09-05-2026 17:43:54"</f>
        <v>09-05-2026 17:43:54</v>
      </c>
      <c r="B90" t="str">
        <f>"09 May 2026"</f>
        <v>09 May 2026</v>
      </c>
      <c r="C90" t="str">
        <f>""</f>
        <v/>
      </c>
      <c r="D90" t="s">
        <v>58</v>
      </c>
      <c r="E90">
        <v>280</v>
      </c>
      <c r="F90" s="1">
        <v>27720</v>
      </c>
      <c r="H90" s="1">
        <v>-2439280.31</v>
      </c>
    </row>
    <row r="91" spans="1:8" x14ac:dyDescent="0.25">
      <c r="A91" t="str">
        <f>"09-05-2026 17:43:54"</f>
        <v>09-05-2026 17:43:54</v>
      </c>
      <c r="B91" t="str">
        <f>"09 May 2026"</f>
        <v>09 May 2026</v>
      </c>
      <c r="C91" t="str">
        <f>""</f>
        <v/>
      </c>
      <c r="D91" t="s">
        <v>10</v>
      </c>
      <c r="E91">
        <v>280</v>
      </c>
      <c r="F91">
        <v>6</v>
      </c>
      <c r="H91" s="1">
        <v>-2439286.31</v>
      </c>
    </row>
    <row r="92" spans="1:8" x14ac:dyDescent="0.25">
      <c r="A92" t="str">
        <f>"10-05-2026 11:44:04"</f>
        <v>10-05-2026 11:44:04</v>
      </c>
      <c r="B92" t="str">
        <f>"10 May 2026"</f>
        <v>10 May 2026</v>
      </c>
      <c r="C92" t="str">
        <f>""</f>
        <v/>
      </c>
      <c r="D92" t="s">
        <v>59</v>
      </c>
      <c r="E92">
        <v>280</v>
      </c>
      <c r="F92" s="1">
        <v>5000</v>
      </c>
      <c r="H92" s="1">
        <v>-2444286.31</v>
      </c>
    </row>
    <row r="93" spans="1:8" x14ac:dyDescent="0.25">
      <c r="A93" t="str">
        <f>"11-05-2026 17:07:35"</f>
        <v>11-05-2026 17:07:35</v>
      </c>
      <c r="B93" t="str">
        <f>"11 May 2026"</f>
        <v>11 May 2026</v>
      </c>
      <c r="C93" t="str">
        <f>"001113467893"</f>
        <v>001113467893</v>
      </c>
      <c r="D93" t="s">
        <v>60</v>
      </c>
      <c r="E93">
        <v>136</v>
      </c>
      <c r="F93" s="1">
        <v>18500</v>
      </c>
      <c r="H93" s="1">
        <v>-2462786.31</v>
      </c>
    </row>
    <row r="94" spans="1:8" x14ac:dyDescent="0.25">
      <c r="A94" t="str">
        <f>"11-05-2026 18:00:42"</f>
        <v>11-05-2026 18:00:42</v>
      </c>
      <c r="B94" t="str">
        <f>"11 May 2026"</f>
        <v>11 May 2026</v>
      </c>
      <c r="C94" t="str">
        <f>""</f>
        <v/>
      </c>
      <c r="D94" t="s">
        <v>61</v>
      </c>
      <c r="E94">
        <v>280</v>
      </c>
      <c r="F94" s="1">
        <v>2525</v>
      </c>
      <c r="H94" s="1">
        <v>-2465311.31</v>
      </c>
    </row>
    <row r="95" spans="1:8" x14ac:dyDescent="0.25">
      <c r="A95" t="str">
        <f>"11-05-2026 18:00:42"</f>
        <v>11-05-2026 18:00:42</v>
      </c>
      <c r="B95" t="str">
        <f>"11 May 2026"</f>
        <v>11 May 2026</v>
      </c>
      <c r="C95" t="str">
        <f>""</f>
        <v/>
      </c>
      <c r="D95" t="s">
        <v>10</v>
      </c>
      <c r="E95">
        <v>280</v>
      </c>
      <c r="F95">
        <v>3</v>
      </c>
      <c r="H95" s="1">
        <v>-2465314.31</v>
      </c>
    </row>
    <row r="96" spans="1:8" x14ac:dyDescent="0.25">
      <c r="A96" t="str">
        <f>"12-05-2026 14:21:17"</f>
        <v>12-05-2026 14:21:17</v>
      </c>
      <c r="B96" t="str">
        <f>"12 May 2026"</f>
        <v>12 May 2026</v>
      </c>
      <c r="C96" t="str">
        <f>""</f>
        <v/>
      </c>
      <c r="D96" t="s">
        <v>62</v>
      </c>
      <c r="E96">
        <v>280</v>
      </c>
      <c r="G96" s="1">
        <v>156475</v>
      </c>
      <c r="H96" s="1">
        <v>-2308839.31</v>
      </c>
    </row>
    <row r="97" spans="1:8" x14ac:dyDescent="0.25">
      <c r="A97" t="str">
        <f>"12-05-2026 14:32:36"</f>
        <v>12-05-2026 14:32:36</v>
      </c>
      <c r="B97" t="str">
        <f>"12 May 2026"</f>
        <v>12 May 2026</v>
      </c>
      <c r="C97" t="str">
        <f>""</f>
        <v/>
      </c>
      <c r="D97" t="s">
        <v>63</v>
      </c>
      <c r="E97">
        <v>280</v>
      </c>
      <c r="F97" s="1">
        <v>3380</v>
      </c>
      <c r="H97" s="1">
        <v>-2312219.31</v>
      </c>
    </row>
    <row r="98" spans="1:8" x14ac:dyDescent="0.25">
      <c r="A98" t="str">
        <f>"12-05-2026 23:23:42"</f>
        <v>12-05-2026 23:23:42</v>
      </c>
      <c r="B98" t="str">
        <f>"12 May 2026"</f>
        <v>12 May 2026</v>
      </c>
      <c r="C98" t="str">
        <f>""</f>
        <v/>
      </c>
      <c r="D98" t="s">
        <v>64</v>
      </c>
      <c r="E98">
        <v>280</v>
      </c>
      <c r="G98" s="1">
        <v>347793</v>
      </c>
      <c r="H98" s="1">
        <v>-1964426.31</v>
      </c>
    </row>
    <row r="99" spans="1:8" x14ac:dyDescent="0.25">
      <c r="A99" t="str">
        <f>"13-05-2026 11:46:52"</f>
        <v>13-05-2026 11:46:52</v>
      </c>
      <c r="B99" t="str">
        <f>"13 May 2026"</f>
        <v>13 May 2026</v>
      </c>
      <c r="C99" t="str">
        <f>""</f>
        <v/>
      </c>
      <c r="D99" t="s">
        <v>65</v>
      </c>
      <c r="E99">
        <v>280</v>
      </c>
      <c r="F99" s="1">
        <v>5000</v>
      </c>
      <c r="H99" s="1">
        <v>-1969426.31</v>
      </c>
    </row>
    <row r="100" spans="1:8" x14ac:dyDescent="0.25">
      <c r="A100" t="str">
        <f>"14-05-2026 04:52:56"</f>
        <v>14-05-2026 04:52:56</v>
      </c>
      <c r="B100" t="str">
        <f t="shared" ref="B100:B115" si="3">"14 May 2026"</f>
        <v>14 May 2026</v>
      </c>
      <c r="C100" t="str">
        <f>""</f>
        <v/>
      </c>
      <c r="D100" t="s">
        <v>32</v>
      </c>
      <c r="E100">
        <v>280</v>
      </c>
      <c r="F100" s="1">
        <v>91011</v>
      </c>
      <c r="H100" s="1">
        <v>-2060437.31</v>
      </c>
    </row>
    <row r="101" spans="1:8" x14ac:dyDescent="0.25">
      <c r="A101" t="str">
        <f>"14-05-2026 12:38:24"</f>
        <v>14-05-2026 12:38:24</v>
      </c>
      <c r="B101" t="str">
        <f t="shared" si="3"/>
        <v>14 May 2026</v>
      </c>
      <c r="C101" t="str">
        <f>""</f>
        <v/>
      </c>
      <c r="D101" t="s">
        <v>66</v>
      </c>
      <c r="E101">
        <v>280</v>
      </c>
      <c r="G101" s="1">
        <v>53612</v>
      </c>
      <c r="H101" s="1">
        <v>-2006825.31</v>
      </c>
    </row>
    <row r="102" spans="1:8" x14ac:dyDescent="0.25">
      <c r="A102" t="str">
        <f>"14-05-2026 12:40:34"</f>
        <v>14-05-2026 12:40:34</v>
      </c>
      <c r="B102" t="str">
        <f t="shared" si="3"/>
        <v>14 May 2026</v>
      </c>
      <c r="C102" t="str">
        <f>""</f>
        <v/>
      </c>
      <c r="D102" t="s">
        <v>67</v>
      </c>
      <c r="E102">
        <v>280</v>
      </c>
      <c r="F102" s="1">
        <v>4000</v>
      </c>
      <c r="H102" s="1">
        <v>-2010825.31</v>
      </c>
    </row>
    <row r="103" spans="1:8" x14ac:dyDescent="0.25">
      <c r="A103" t="str">
        <f>"14-05-2026 12:40:34"</f>
        <v>14-05-2026 12:40:34</v>
      </c>
      <c r="B103" t="str">
        <f t="shared" si="3"/>
        <v>14 May 2026</v>
      </c>
      <c r="C103" t="str">
        <f>""</f>
        <v/>
      </c>
      <c r="D103" t="s">
        <v>10</v>
      </c>
      <c r="E103">
        <v>280</v>
      </c>
      <c r="F103">
        <v>3</v>
      </c>
      <c r="H103" s="1">
        <v>-2010828.31</v>
      </c>
    </row>
    <row r="104" spans="1:8" x14ac:dyDescent="0.25">
      <c r="A104" t="str">
        <f>"14-05-2026 12:47:07"</f>
        <v>14-05-2026 12:47:07</v>
      </c>
      <c r="B104" t="str">
        <f t="shared" si="3"/>
        <v>14 May 2026</v>
      </c>
      <c r="C104" t="str">
        <f>""</f>
        <v/>
      </c>
      <c r="D104" t="s">
        <v>68</v>
      </c>
      <c r="E104">
        <v>280</v>
      </c>
      <c r="F104" s="1">
        <v>9035</v>
      </c>
      <c r="H104" s="1">
        <v>-2019863.31</v>
      </c>
    </row>
    <row r="105" spans="1:8" x14ac:dyDescent="0.25">
      <c r="A105" t="str">
        <f>"14-05-2026 12:47:07"</f>
        <v>14-05-2026 12:47:07</v>
      </c>
      <c r="B105" t="str">
        <f t="shared" si="3"/>
        <v>14 May 2026</v>
      </c>
      <c r="C105" t="str">
        <f>""</f>
        <v/>
      </c>
      <c r="D105" t="s">
        <v>10</v>
      </c>
      <c r="E105">
        <v>280</v>
      </c>
      <c r="F105">
        <v>3</v>
      </c>
      <c r="H105" s="1">
        <v>-2019866.31</v>
      </c>
    </row>
    <row r="106" spans="1:8" x14ac:dyDescent="0.25">
      <c r="A106" t="str">
        <f>"14-05-2026 12:52:20"</f>
        <v>14-05-2026 12:52:20</v>
      </c>
      <c r="B106" t="str">
        <f t="shared" si="3"/>
        <v>14 May 2026</v>
      </c>
      <c r="C106" t="str">
        <f>""</f>
        <v/>
      </c>
      <c r="D106" t="s">
        <v>69</v>
      </c>
      <c r="E106">
        <v>280</v>
      </c>
      <c r="F106" s="1">
        <v>91124</v>
      </c>
      <c r="H106" s="1">
        <v>-2110990.31</v>
      </c>
    </row>
    <row r="107" spans="1:8" x14ac:dyDescent="0.25">
      <c r="A107" t="str">
        <f>"14-05-2026 12:52:20"</f>
        <v>14-05-2026 12:52:20</v>
      </c>
      <c r="B107" t="str">
        <f t="shared" si="3"/>
        <v>14 May 2026</v>
      </c>
      <c r="C107" t="str">
        <f>""</f>
        <v/>
      </c>
      <c r="D107" t="s">
        <v>10</v>
      </c>
      <c r="E107">
        <v>280</v>
      </c>
      <c r="F107">
        <v>6</v>
      </c>
      <c r="H107" s="1">
        <v>-2110996.31</v>
      </c>
    </row>
    <row r="108" spans="1:8" x14ac:dyDescent="0.25">
      <c r="A108" t="str">
        <f>"14-05-2026 12:55:37"</f>
        <v>14-05-2026 12:55:37</v>
      </c>
      <c r="B108" t="str">
        <f t="shared" si="3"/>
        <v>14 May 2026</v>
      </c>
      <c r="C108" t="str">
        <f>""</f>
        <v/>
      </c>
      <c r="D108" t="s">
        <v>70</v>
      </c>
      <c r="E108">
        <v>280</v>
      </c>
      <c r="F108" s="1">
        <v>10038</v>
      </c>
      <c r="H108" s="1">
        <v>-2121034.31</v>
      </c>
    </row>
    <row r="109" spans="1:8" x14ac:dyDescent="0.25">
      <c r="A109" t="str">
        <f>"14-05-2026 12:55:37"</f>
        <v>14-05-2026 12:55:37</v>
      </c>
      <c r="B109" t="str">
        <f t="shared" si="3"/>
        <v>14 May 2026</v>
      </c>
      <c r="C109" t="str">
        <f>""</f>
        <v/>
      </c>
      <c r="D109" t="s">
        <v>10</v>
      </c>
      <c r="E109">
        <v>280</v>
      </c>
      <c r="F109">
        <v>6</v>
      </c>
      <c r="H109" s="1">
        <v>-2121040.31</v>
      </c>
    </row>
    <row r="110" spans="1:8" x14ac:dyDescent="0.25">
      <c r="A110" t="str">
        <f>"14-05-2026 12:57:30"</f>
        <v>14-05-2026 12:57:30</v>
      </c>
      <c r="B110" t="str">
        <f t="shared" si="3"/>
        <v>14 May 2026</v>
      </c>
      <c r="C110" t="str">
        <f>""</f>
        <v/>
      </c>
      <c r="D110" t="s">
        <v>71</v>
      </c>
      <c r="E110">
        <v>280</v>
      </c>
      <c r="F110" s="1">
        <v>150000</v>
      </c>
      <c r="H110" s="1">
        <v>-2271040.31</v>
      </c>
    </row>
    <row r="111" spans="1:8" x14ac:dyDescent="0.25">
      <c r="A111" t="str">
        <f>"14-05-2026 12:57:30"</f>
        <v>14-05-2026 12:57:30</v>
      </c>
      <c r="B111" t="str">
        <f t="shared" si="3"/>
        <v>14 May 2026</v>
      </c>
      <c r="C111" t="str">
        <f>""</f>
        <v/>
      </c>
      <c r="D111" t="s">
        <v>10</v>
      </c>
      <c r="E111">
        <v>280</v>
      </c>
      <c r="F111">
        <v>17</v>
      </c>
      <c r="H111" s="1">
        <v>-2271057.31</v>
      </c>
    </row>
    <row r="112" spans="1:8" x14ac:dyDescent="0.25">
      <c r="A112" t="str">
        <f>"14-05-2026 13:01:52"</f>
        <v>14-05-2026 13:01:52</v>
      </c>
      <c r="B112" t="str">
        <f t="shared" si="3"/>
        <v>14 May 2026</v>
      </c>
      <c r="C112" t="str">
        <f>""</f>
        <v/>
      </c>
      <c r="D112" t="s">
        <v>72</v>
      </c>
      <c r="E112">
        <v>280</v>
      </c>
      <c r="F112" s="1">
        <v>23600</v>
      </c>
      <c r="H112" s="1">
        <v>-2294657.31</v>
      </c>
    </row>
    <row r="113" spans="1:8" x14ac:dyDescent="0.25">
      <c r="A113" t="str">
        <f>"14-05-2026 13:01:52"</f>
        <v>14-05-2026 13:01:52</v>
      </c>
      <c r="B113" t="str">
        <f t="shared" si="3"/>
        <v>14 May 2026</v>
      </c>
      <c r="C113" t="str">
        <f>""</f>
        <v/>
      </c>
      <c r="D113" t="s">
        <v>10</v>
      </c>
      <c r="E113">
        <v>280</v>
      </c>
      <c r="F113">
        <v>6</v>
      </c>
      <c r="H113" s="1">
        <v>-2294663.31</v>
      </c>
    </row>
    <row r="114" spans="1:8" x14ac:dyDescent="0.25">
      <c r="A114" t="str">
        <f>"14-05-2026 13:06:16"</f>
        <v>14-05-2026 13:06:16</v>
      </c>
      <c r="B114" t="str">
        <f t="shared" si="3"/>
        <v>14 May 2026</v>
      </c>
      <c r="C114" t="str">
        <f>""</f>
        <v/>
      </c>
      <c r="D114" t="s">
        <v>73</v>
      </c>
      <c r="E114">
        <v>280</v>
      </c>
      <c r="F114" s="1">
        <v>150000</v>
      </c>
      <c r="H114" s="1">
        <v>-2444663.31</v>
      </c>
    </row>
    <row r="115" spans="1:8" x14ac:dyDescent="0.25">
      <c r="A115" t="str">
        <f>"14-05-2026 13:06:16"</f>
        <v>14-05-2026 13:06:16</v>
      </c>
      <c r="B115" t="str">
        <f t="shared" si="3"/>
        <v>14 May 2026</v>
      </c>
      <c r="C115" t="str">
        <f>""</f>
        <v/>
      </c>
      <c r="D115" t="s">
        <v>10</v>
      </c>
      <c r="E115">
        <v>280</v>
      </c>
      <c r="F115">
        <v>17</v>
      </c>
      <c r="H115" s="1">
        <v>-2444680.31</v>
      </c>
    </row>
    <row r="116" spans="1:8" x14ac:dyDescent="0.25">
      <c r="A116" t="str">
        <f>"15-05-2026 11:16:12"</f>
        <v>15-05-2026 11:16:12</v>
      </c>
      <c r="B116" t="str">
        <f>"15 May 2026"</f>
        <v>15 May 2026</v>
      </c>
      <c r="C116" t="str">
        <f>""</f>
        <v/>
      </c>
      <c r="D116" t="s">
        <v>74</v>
      </c>
      <c r="E116">
        <v>280</v>
      </c>
      <c r="F116" s="1">
        <v>5000</v>
      </c>
      <c r="H116" s="1">
        <v>-2449680.31</v>
      </c>
    </row>
    <row r="117" spans="1:8" x14ac:dyDescent="0.25">
      <c r="A117" t="str">
        <f>"15-05-2026 11:20:22"</f>
        <v>15-05-2026 11:20:22</v>
      </c>
      <c r="B117" t="str">
        <f>"15 May 2026"</f>
        <v>15 May 2026</v>
      </c>
      <c r="C117" t="str">
        <f>""</f>
        <v/>
      </c>
      <c r="D117" t="s">
        <v>75</v>
      </c>
      <c r="E117">
        <v>280</v>
      </c>
      <c r="F117" s="1">
        <v>140420</v>
      </c>
      <c r="H117" s="1">
        <v>-2590100.31</v>
      </c>
    </row>
    <row r="118" spans="1:8" x14ac:dyDescent="0.25">
      <c r="A118" t="str">
        <f>"15-05-2026 11:20:22"</f>
        <v>15-05-2026 11:20:22</v>
      </c>
      <c r="B118" t="str">
        <f>"15 May 2026"</f>
        <v>15 May 2026</v>
      </c>
      <c r="C118" t="str">
        <f>""</f>
        <v/>
      </c>
      <c r="D118" t="s">
        <v>10</v>
      </c>
      <c r="E118">
        <v>280</v>
      </c>
      <c r="F118">
        <v>17</v>
      </c>
      <c r="H118" s="1">
        <v>-2590117.31</v>
      </c>
    </row>
    <row r="119" spans="1:8" x14ac:dyDescent="0.25">
      <c r="A119" t="str">
        <f>"15-05-2026 14:52:51"</f>
        <v>15-05-2026 14:52:51</v>
      </c>
      <c r="B119" t="str">
        <f>"15 May 2026"</f>
        <v>15 May 2026</v>
      </c>
      <c r="C119" t="str">
        <f>""</f>
        <v/>
      </c>
      <c r="D119" t="s">
        <v>76</v>
      </c>
      <c r="E119">
        <v>280</v>
      </c>
      <c r="F119" s="1">
        <v>68860</v>
      </c>
      <c r="H119" s="1">
        <v>-2658977.31</v>
      </c>
    </row>
    <row r="120" spans="1:8" x14ac:dyDescent="0.25">
      <c r="A120" t="str">
        <f>"16-05-2026 15:11:14"</f>
        <v>16-05-2026 15:11:14</v>
      </c>
      <c r="B120" t="str">
        <f t="shared" ref="B120:B128" si="4">"16 May 2026"</f>
        <v>16 May 2026</v>
      </c>
      <c r="C120" t="str">
        <f>"109824093691"</f>
        <v>109824093691</v>
      </c>
      <c r="D120" t="s">
        <v>77</v>
      </c>
      <c r="E120">
        <v>33</v>
      </c>
      <c r="G120" s="1">
        <v>36742</v>
      </c>
      <c r="H120" s="1">
        <v>-2622235.31</v>
      </c>
    </row>
    <row r="121" spans="1:8" x14ac:dyDescent="0.25">
      <c r="A121" t="str">
        <f>"16-05-2026 16:38:51"</f>
        <v>16-05-2026 16:38:51</v>
      </c>
      <c r="B121" t="str">
        <f t="shared" si="4"/>
        <v>16 May 2026</v>
      </c>
      <c r="C121" t="str">
        <f>""</f>
        <v/>
      </c>
      <c r="D121" t="s">
        <v>78</v>
      </c>
      <c r="E121">
        <v>280</v>
      </c>
      <c r="G121" s="1">
        <v>84087</v>
      </c>
      <c r="H121" s="1">
        <v>-2538148.31</v>
      </c>
    </row>
    <row r="122" spans="1:8" x14ac:dyDescent="0.25">
      <c r="A122" t="str">
        <f>"16-05-2026 16:41:12"</f>
        <v>16-05-2026 16:41:12</v>
      </c>
      <c r="B122" t="str">
        <f t="shared" si="4"/>
        <v>16 May 2026</v>
      </c>
      <c r="C122" t="str">
        <f>""</f>
        <v/>
      </c>
      <c r="D122" t="s">
        <v>79</v>
      </c>
      <c r="E122">
        <v>280</v>
      </c>
      <c r="F122" s="1">
        <v>47925</v>
      </c>
      <c r="H122" s="1">
        <v>-2586073.31</v>
      </c>
    </row>
    <row r="123" spans="1:8" x14ac:dyDescent="0.25">
      <c r="A123" t="str">
        <f>"16-05-2026 16:41:12"</f>
        <v>16-05-2026 16:41:12</v>
      </c>
      <c r="B123" t="str">
        <f t="shared" si="4"/>
        <v>16 May 2026</v>
      </c>
      <c r="C123" t="str">
        <f>""</f>
        <v/>
      </c>
      <c r="D123" t="s">
        <v>10</v>
      </c>
      <c r="E123">
        <v>280</v>
      </c>
      <c r="F123">
        <v>6</v>
      </c>
      <c r="H123" s="1">
        <v>-2586079.31</v>
      </c>
    </row>
    <row r="124" spans="1:8" x14ac:dyDescent="0.25">
      <c r="A124" t="str">
        <f>"16-05-2026 16:43:01"</f>
        <v>16-05-2026 16:43:01</v>
      </c>
      <c r="B124" t="str">
        <f t="shared" si="4"/>
        <v>16 May 2026</v>
      </c>
      <c r="C124" t="str">
        <f>"001113467894"</f>
        <v>001113467894</v>
      </c>
      <c r="D124" t="s">
        <v>60</v>
      </c>
      <c r="E124">
        <v>136</v>
      </c>
      <c r="F124" s="1">
        <v>26560</v>
      </c>
      <c r="H124" s="1">
        <v>-2612639.31</v>
      </c>
    </row>
    <row r="125" spans="1:8" x14ac:dyDescent="0.25">
      <c r="A125" t="str">
        <f>"16-05-2026 16:44:52"</f>
        <v>16-05-2026 16:44:52</v>
      </c>
      <c r="B125" t="str">
        <f t="shared" si="4"/>
        <v>16 May 2026</v>
      </c>
      <c r="C125" t="str">
        <f>""</f>
        <v/>
      </c>
      <c r="D125" t="s">
        <v>80</v>
      </c>
      <c r="E125">
        <v>280</v>
      </c>
      <c r="F125" s="1">
        <v>9224</v>
      </c>
      <c r="H125" s="1">
        <v>-2621863.31</v>
      </c>
    </row>
    <row r="126" spans="1:8" x14ac:dyDescent="0.25">
      <c r="A126" t="str">
        <f>"16-05-2026 16:44:52"</f>
        <v>16-05-2026 16:44:52</v>
      </c>
      <c r="B126" t="str">
        <f t="shared" si="4"/>
        <v>16 May 2026</v>
      </c>
      <c r="C126" t="str">
        <f>""</f>
        <v/>
      </c>
      <c r="D126" t="s">
        <v>10</v>
      </c>
      <c r="E126">
        <v>280</v>
      </c>
      <c r="F126">
        <v>3</v>
      </c>
      <c r="H126" s="1">
        <v>-2621866.31</v>
      </c>
    </row>
    <row r="127" spans="1:8" x14ac:dyDescent="0.25">
      <c r="A127" t="str">
        <f>"16-05-2026 17:16:54"</f>
        <v>16-05-2026 17:16:54</v>
      </c>
      <c r="B127" t="str">
        <f t="shared" si="4"/>
        <v>16 May 2026</v>
      </c>
      <c r="C127" t="str">
        <f>""</f>
        <v/>
      </c>
      <c r="D127" t="s">
        <v>81</v>
      </c>
      <c r="E127">
        <v>280</v>
      </c>
      <c r="F127" s="1">
        <v>56700</v>
      </c>
      <c r="H127" s="1">
        <v>-2678566.31</v>
      </c>
    </row>
    <row r="128" spans="1:8" x14ac:dyDescent="0.25">
      <c r="A128" t="str">
        <f>"16-05-2026 17:16:54"</f>
        <v>16-05-2026 17:16:54</v>
      </c>
      <c r="B128" t="str">
        <f t="shared" si="4"/>
        <v>16 May 2026</v>
      </c>
      <c r="C128" t="str">
        <f>""</f>
        <v/>
      </c>
      <c r="D128" t="s">
        <v>10</v>
      </c>
      <c r="E128">
        <v>280</v>
      </c>
      <c r="F128">
        <v>6</v>
      </c>
      <c r="H128" s="1">
        <v>-2678572.31</v>
      </c>
    </row>
    <row r="129" spans="1:8" x14ac:dyDescent="0.25">
      <c r="A129" t="str">
        <f>"17-05-2026 22:53:12"</f>
        <v>17-05-2026 22:53:12</v>
      </c>
      <c r="B129" t="str">
        <f>"17 May 2026"</f>
        <v>17 May 2026</v>
      </c>
      <c r="C129" t="str">
        <f>""</f>
        <v/>
      </c>
      <c r="D129" t="s">
        <v>82</v>
      </c>
      <c r="E129">
        <v>280</v>
      </c>
      <c r="F129" s="1">
        <v>5000</v>
      </c>
      <c r="H129" s="1">
        <v>-2683572.31</v>
      </c>
    </row>
    <row r="130" spans="1:8" x14ac:dyDescent="0.25">
      <c r="A130" t="str">
        <f>"18-05-2026 15:33:20"</f>
        <v>18-05-2026 15:33:20</v>
      </c>
      <c r="B130" t="str">
        <f t="shared" ref="B130:B142" si="5">"18 May 2026"</f>
        <v>18 May 2026</v>
      </c>
      <c r="C130" t="str">
        <f>""</f>
        <v/>
      </c>
      <c r="D130" t="s">
        <v>83</v>
      </c>
      <c r="E130">
        <v>280</v>
      </c>
      <c r="G130" s="1">
        <v>105412</v>
      </c>
      <c r="H130" s="1">
        <v>-2578160.31</v>
      </c>
    </row>
    <row r="131" spans="1:8" x14ac:dyDescent="0.25">
      <c r="A131" t="str">
        <f>"18-05-2026 15:35:52"</f>
        <v>18-05-2026 15:35:52</v>
      </c>
      <c r="B131" t="str">
        <f t="shared" si="5"/>
        <v>18 May 2026</v>
      </c>
      <c r="C131" t="str">
        <f>""</f>
        <v/>
      </c>
      <c r="D131" t="s">
        <v>84</v>
      </c>
      <c r="E131">
        <v>280</v>
      </c>
      <c r="F131" s="1">
        <v>12000</v>
      </c>
      <c r="H131" s="1">
        <v>-2590160.31</v>
      </c>
    </row>
    <row r="132" spans="1:8" x14ac:dyDescent="0.25">
      <c r="A132" t="str">
        <f>"18-05-2026 15:35:52"</f>
        <v>18-05-2026 15:35:52</v>
      </c>
      <c r="B132" t="str">
        <f t="shared" si="5"/>
        <v>18 May 2026</v>
      </c>
      <c r="C132" t="str">
        <f>""</f>
        <v/>
      </c>
      <c r="D132" t="s">
        <v>10</v>
      </c>
      <c r="E132">
        <v>280</v>
      </c>
      <c r="F132">
        <v>6</v>
      </c>
      <c r="H132" s="1">
        <v>-2590166.31</v>
      </c>
    </row>
    <row r="133" spans="1:8" x14ac:dyDescent="0.25">
      <c r="A133" t="str">
        <f>"18-05-2026 15:38:06"</f>
        <v>18-05-2026 15:38:06</v>
      </c>
      <c r="B133" t="str">
        <f t="shared" si="5"/>
        <v>18 May 2026</v>
      </c>
      <c r="C133" t="str">
        <f>""</f>
        <v/>
      </c>
      <c r="D133" t="s">
        <v>85</v>
      </c>
      <c r="E133">
        <v>280</v>
      </c>
      <c r="F133" s="1">
        <v>4525</v>
      </c>
      <c r="H133" s="1">
        <v>-2594691.31</v>
      </c>
    </row>
    <row r="134" spans="1:8" x14ac:dyDescent="0.25">
      <c r="A134" t="str">
        <f>"18-05-2026 15:38:06"</f>
        <v>18-05-2026 15:38:06</v>
      </c>
      <c r="B134" t="str">
        <f t="shared" si="5"/>
        <v>18 May 2026</v>
      </c>
      <c r="C134" t="str">
        <f>""</f>
        <v/>
      </c>
      <c r="D134" t="s">
        <v>10</v>
      </c>
      <c r="E134">
        <v>280</v>
      </c>
      <c r="F134">
        <v>3</v>
      </c>
      <c r="H134" s="1">
        <v>-2594694.31</v>
      </c>
    </row>
    <row r="135" spans="1:8" x14ac:dyDescent="0.25">
      <c r="A135" t="str">
        <f>"18-05-2026 15:40:57"</f>
        <v>18-05-2026 15:40:57</v>
      </c>
      <c r="B135" t="str">
        <f t="shared" si="5"/>
        <v>18 May 2026</v>
      </c>
      <c r="C135" t="str">
        <f>""</f>
        <v/>
      </c>
      <c r="D135" t="s">
        <v>86</v>
      </c>
      <c r="E135">
        <v>280</v>
      </c>
      <c r="F135" s="1">
        <v>30000</v>
      </c>
      <c r="H135" s="1">
        <v>-2624694.31</v>
      </c>
    </row>
    <row r="136" spans="1:8" x14ac:dyDescent="0.25">
      <c r="A136" t="str">
        <f>"18-05-2026 15:40:57"</f>
        <v>18-05-2026 15:40:57</v>
      </c>
      <c r="B136" t="str">
        <f t="shared" si="5"/>
        <v>18 May 2026</v>
      </c>
      <c r="C136" t="str">
        <f>""</f>
        <v/>
      </c>
      <c r="D136" t="s">
        <v>10</v>
      </c>
      <c r="E136">
        <v>280</v>
      </c>
      <c r="F136">
        <v>6</v>
      </c>
      <c r="H136" s="1">
        <v>-2624700.31</v>
      </c>
    </row>
    <row r="137" spans="1:8" x14ac:dyDescent="0.25">
      <c r="A137" t="str">
        <f>"18-05-2026 15:42:36"</f>
        <v>18-05-2026 15:42:36</v>
      </c>
      <c r="B137" t="str">
        <f t="shared" si="5"/>
        <v>18 May 2026</v>
      </c>
      <c r="C137" t="str">
        <f>""</f>
        <v/>
      </c>
      <c r="D137" t="s">
        <v>87</v>
      </c>
      <c r="E137">
        <v>280</v>
      </c>
      <c r="F137" s="1">
        <v>6000</v>
      </c>
      <c r="H137" s="1">
        <v>-2630700.31</v>
      </c>
    </row>
    <row r="138" spans="1:8" x14ac:dyDescent="0.25">
      <c r="A138" t="str">
        <f>"18-05-2026 15:42:36"</f>
        <v>18-05-2026 15:42:36</v>
      </c>
      <c r="B138" t="str">
        <f t="shared" si="5"/>
        <v>18 May 2026</v>
      </c>
      <c r="C138" t="str">
        <f>""</f>
        <v/>
      </c>
      <c r="D138" t="s">
        <v>10</v>
      </c>
      <c r="E138">
        <v>280</v>
      </c>
      <c r="F138">
        <v>3</v>
      </c>
      <c r="H138" s="1">
        <v>-2630703.31</v>
      </c>
    </row>
    <row r="139" spans="1:8" x14ac:dyDescent="0.25">
      <c r="A139" t="str">
        <f>"18-05-2026 15:51:24"</f>
        <v>18-05-2026 15:51:24</v>
      </c>
      <c r="B139" t="str">
        <f t="shared" si="5"/>
        <v>18 May 2026</v>
      </c>
      <c r="C139" t="str">
        <f>""</f>
        <v/>
      </c>
      <c r="D139" t="s">
        <v>88</v>
      </c>
      <c r="E139">
        <v>280</v>
      </c>
      <c r="F139" s="1">
        <v>27000</v>
      </c>
      <c r="H139" s="1">
        <v>-2657703.31</v>
      </c>
    </row>
    <row r="140" spans="1:8" x14ac:dyDescent="0.25">
      <c r="A140" t="str">
        <f>"18-05-2026 15:51:24"</f>
        <v>18-05-2026 15:51:24</v>
      </c>
      <c r="B140" t="str">
        <f t="shared" si="5"/>
        <v>18 May 2026</v>
      </c>
      <c r="C140" t="str">
        <f>""</f>
        <v/>
      </c>
      <c r="D140" t="s">
        <v>10</v>
      </c>
      <c r="E140">
        <v>280</v>
      </c>
      <c r="F140">
        <v>6</v>
      </c>
      <c r="H140" s="1">
        <v>-2657709.31</v>
      </c>
    </row>
    <row r="141" spans="1:8" x14ac:dyDescent="0.25">
      <c r="A141" t="str">
        <f>"18-05-2026 23:33:36"</f>
        <v>18-05-2026 23:33:36</v>
      </c>
      <c r="B141" t="str">
        <f t="shared" si="5"/>
        <v>18 May 2026</v>
      </c>
      <c r="C141" t="str">
        <f>""</f>
        <v/>
      </c>
      <c r="D141" t="s">
        <v>89</v>
      </c>
      <c r="E141">
        <v>280</v>
      </c>
      <c r="G141" s="1">
        <v>304822</v>
      </c>
      <c r="H141" s="1">
        <v>-2352887.31</v>
      </c>
    </row>
    <row r="142" spans="1:8" x14ac:dyDescent="0.25">
      <c r="A142" t="str">
        <f>"18-05-2026 23:43:15"</f>
        <v>18-05-2026 23:43:15</v>
      </c>
      <c r="B142" t="str">
        <f t="shared" si="5"/>
        <v>18 May 2026</v>
      </c>
      <c r="C142" t="str">
        <f>""</f>
        <v/>
      </c>
      <c r="D142" t="s">
        <v>90</v>
      </c>
      <c r="E142">
        <v>280</v>
      </c>
      <c r="F142" s="1">
        <v>303773</v>
      </c>
      <c r="H142" s="1">
        <v>-2656660.31</v>
      </c>
    </row>
    <row r="143" spans="1:8" x14ac:dyDescent="0.25">
      <c r="A143" t="str">
        <f>"18-05-2026 23:43:15"</f>
        <v>18-05-2026 23:43:15</v>
      </c>
      <c r="B143" t="str">
        <f>"19 May 2026"</f>
        <v>19 May 2026</v>
      </c>
      <c r="C143" t="str">
        <f>""</f>
        <v/>
      </c>
      <c r="D143" t="s">
        <v>10</v>
      </c>
      <c r="E143">
        <v>280</v>
      </c>
      <c r="F143">
        <v>29</v>
      </c>
      <c r="H143" s="1">
        <v>-2656689.31</v>
      </c>
    </row>
    <row r="144" spans="1:8" x14ac:dyDescent="0.25">
      <c r="A144" t="str">
        <f>"18-05-2026 23:46:28"</f>
        <v>18-05-2026 23:46:28</v>
      </c>
      <c r="B144" t="str">
        <f>"18 May 2026"</f>
        <v>18 May 2026</v>
      </c>
      <c r="C144" t="str">
        <f>""</f>
        <v/>
      </c>
      <c r="D144" t="s">
        <v>91</v>
      </c>
      <c r="E144">
        <v>280</v>
      </c>
      <c r="F144" s="1">
        <v>3380</v>
      </c>
      <c r="H144" s="1">
        <v>-2660069.31</v>
      </c>
    </row>
    <row r="145" spans="1:8" x14ac:dyDescent="0.25">
      <c r="A145" t="str">
        <f>"18-05-2026 23:46:28"</f>
        <v>18-05-2026 23:46:28</v>
      </c>
      <c r="B145" t="str">
        <f>"19 May 2026"</f>
        <v>19 May 2026</v>
      </c>
      <c r="C145" t="str">
        <f>""</f>
        <v/>
      </c>
      <c r="D145" t="s">
        <v>10</v>
      </c>
      <c r="E145">
        <v>280</v>
      </c>
      <c r="F145">
        <v>3</v>
      </c>
      <c r="H145" s="1">
        <v>-2660072.31</v>
      </c>
    </row>
    <row r="146" spans="1:8" x14ac:dyDescent="0.25">
      <c r="A146" t="str">
        <f>"19-05-2026 16:42:54"</f>
        <v>19-05-2026 16:42:54</v>
      </c>
      <c r="B146" t="str">
        <f>"19 May 2026"</f>
        <v>19 May 2026</v>
      </c>
      <c r="C146" t="str">
        <f>""</f>
        <v/>
      </c>
      <c r="D146" t="s">
        <v>92</v>
      </c>
      <c r="E146">
        <v>108</v>
      </c>
      <c r="F146" s="1">
        <v>6314</v>
      </c>
      <c r="H146" s="1">
        <v>-2666386.31</v>
      </c>
    </row>
    <row r="147" spans="1:8" x14ac:dyDescent="0.25">
      <c r="A147" t="str">
        <f>"20-05-2026 14:41:25"</f>
        <v>20-05-2026 14:41:25</v>
      </c>
      <c r="B147" t="str">
        <f>"20 May 2026"</f>
        <v>20 May 2026</v>
      </c>
      <c r="C147" t="str">
        <f>""</f>
        <v/>
      </c>
      <c r="D147" t="s">
        <v>93</v>
      </c>
      <c r="E147">
        <v>280</v>
      </c>
      <c r="G147" s="1">
        <v>137979</v>
      </c>
      <c r="H147" s="1">
        <v>-2528407.31</v>
      </c>
    </row>
    <row r="148" spans="1:8" x14ac:dyDescent="0.25">
      <c r="A148" t="str">
        <f>"21-05-2026 13:27:18"</f>
        <v>21-05-2026 13:27:18</v>
      </c>
      <c r="B148" t="str">
        <f>"21 May 2026"</f>
        <v>21 May 2026</v>
      </c>
      <c r="C148" t="str">
        <f>""</f>
        <v/>
      </c>
      <c r="D148" t="s">
        <v>94</v>
      </c>
      <c r="E148">
        <v>280</v>
      </c>
      <c r="F148" s="1">
        <v>5000</v>
      </c>
      <c r="H148" s="1">
        <v>-2533407.31</v>
      </c>
    </row>
    <row r="149" spans="1:8" x14ac:dyDescent="0.25">
      <c r="A149" t="str">
        <f>"21-05-2026 15:16:50"</f>
        <v>21-05-2026 15:16:50</v>
      </c>
      <c r="B149" t="str">
        <f>"21 May 2026"</f>
        <v>21 May 2026</v>
      </c>
      <c r="C149" t="str">
        <f>""</f>
        <v/>
      </c>
      <c r="D149" t="s">
        <v>95</v>
      </c>
      <c r="E149">
        <v>280</v>
      </c>
      <c r="G149" s="1">
        <v>97759</v>
      </c>
      <c r="H149" s="1">
        <v>-2435648.31</v>
      </c>
    </row>
    <row r="150" spans="1:8" x14ac:dyDescent="0.25">
      <c r="A150" t="str">
        <f>"21-05-2026 15:18:26"</f>
        <v>21-05-2026 15:18:26</v>
      </c>
      <c r="B150" t="str">
        <f>"21 May 2026"</f>
        <v>21 May 2026</v>
      </c>
      <c r="C150" t="str">
        <f>""</f>
        <v/>
      </c>
      <c r="D150" t="s">
        <v>96</v>
      </c>
      <c r="E150">
        <v>280</v>
      </c>
      <c r="F150" s="1">
        <v>7000</v>
      </c>
      <c r="H150" s="1">
        <v>-2442648.31</v>
      </c>
    </row>
    <row r="151" spans="1:8" x14ac:dyDescent="0.25">
      <c r="A151" t="str">
        <f>"21-05-2026 15:18:26"</f>
        <v>21-05-2026 15:18:26</v>
      </c>
      <c r="B151" t="str">
        <f>"21 May 2026"</f>
        <v>21 May 2026</v>
      </c>
      <c r="C151" t="str">
        <f>""</f>
        <v/>
      </c>
      <c r="D151" t="s">
        <v>10</v>
      </c>
      <c r="E151">
        <v>280</v>
      </c>
      <c r="F151">
        <v>3</v>
      </c>
      <c r="H151" s="1">
        <v>-2442651.31</v>
      </c>
    </row>
    <row r="152" spans="1:8" x14ac:dyDescent="0.25">
      <c r="A152" t="str">
        <f>"22-05-2026 11:02:45"</f>
        <v>22-05-2026 11:02:45</v>
      </c>
      <c r="B152" t="str">
        <f t="shared" ref="B152:B160" si="6">"22 May 2026"</f>
        <v>22 May 2026</v>
      </c>
      <c r="C152" t="str">
        <f>""</f>
        <v/>
      </c>
      <c r="D152" t="s">
        <v>97</v>
      </c>
      <c r="E152">
        <v>280</v>
      </c>
      <c r="G152" s="1">
        <v>95202</v>
      </c>
      <c r="H152" s="1">
        <v>-2347449.31</v>
      </c>
    </row>
    <row r="153" spans="1:8" x14ac:dyDescent="0.25">
      <c r="A153" t="str">
        <f>"22-05-2026 11:11:56"</f>
        <v>22-05-2026 11:11:56</v>
      </c>
      <c r="B153" t="str">
        <f t="shared" si="6"/>
        <v>22 May 2026</v>
      </c>
      <c r="C153" t="str">
        <f>""</f>
        <v/>
      </c>
      <c r="D153" t="s">
        <v>98</v>
      </c>
      <c r="E153">
        <v>280</v>
      </c>
      <c r="F153" s="1">
        <v>250000</v>
      </c>
      <c r="H153" s="1">
        <v>-2597449.31</v>
      </c>
    </row>
    <row r="154" spans="1:8" x14ac:dyDescent="0.25">
      <c r="A154" t="str">
        <f>"22-05-2026 11:11:56"</f>
        <v>22-05-2026 11:11:56</v>
      </c>
      <c r="B154" t="str">
        <f t="shared" si="6"/>
        <v>22 May 2026</v>
      </c>
      <c r="C154" t="str">
        <f>""</f>
        <v/>
      </c>
      <c r="D154" t="s">
        <v>10</v>
      </c>
      <c r="E154">
        <v>280</v>
      </c>
      <c r="F154">
        <v>29</v>
      </c>
      <c r="H154" s="1">
        <v>-2597478.31</v>
      </c>
    </row>
    <row r="155" spans="1:8" x14ac:dyDescent="0.25">
      <c r="A155" t="str">
        <f>"22-05-2026 11:17:55"</f>
        <v>22-05-2026 11:17:55</v>
      </c>
      <c r="B155" t="str">
        <f t="shared" si="6"/>
        <v>22 May 2026</v>
      </c>
      <c r="C155" t="str">
        <f>""</f>
        <v/>
      </c>
      <c r="D155" t="s">
        <v>99</v>
      </c>
      <c r="E155">
        <v>280</v>
      </c>
      <c r="F155" s="1">
        <v>26542</v>
      </c>
      <c r="H155" s="1">
        <v>-2624020.31</v>
      </c>
    </row>
    <row r="156" spans="1:8" x14ac:dyDescent="0.25">
      <c r="A156" t="str">
        <f>"22-05-2026 11:17:55"</f>
        <v>22-05-2026 11:17:55</v>
      </c>
      <c r="B156" t="str">
        <f t="shared" si="6"/>
        <v>22 May 2026</v>
      </c>
      <c r="C156" t="str">
        <f>""</f>
        <v/>
      </c>
      <c r="D156" t="s">
        <v>10</v>
      </c>
      <c r="E156">
        <v>280</v>
      </c>
      <c r="F156">
        <v>6</v>
      </c>
      <c r="H156" s="1">
        <v>-2624026.31</v>
      </c>
    </row>
    <row r="157" spans="1:8" x14ac:dyDescent="0.25">
      <c r="A157" t="str">
        <f>"22-05-2026 17:05:16"</f>
        <v>22-05-2026 17:05:16</v>
      </c>
      <c r="B157" t="str">
        <f t="shared" si="6"/>
        <v>22 May 2026</v>
      </c>
      <c r="C157" t="str">
        <f>""</f>
        <v/>
      </c>
      <c r="D157" t="s">
        <v>100</v>
      </c>
      <c r="E157">
        <v>280</v>
      </c>
      <c r="F157" s="1">
        <v>1967</v>
      </c>
      <c r="H157" s="1">
        <v>-2625993.31</v>
      </c>
    </row>
    <row r="158" spans="1:8" x14ac:dyDescent="0.25">
      <c r="A158" t="str">
        <f>"22-05-2026 17:05:16"</f>
        <v>22-05-2026 17:05:16</v>
      </c>
      <c r="B158" t="str">
        <f t="shared" si="6"/>
        <v>22 May 2026</v>
      </c>
      <c r="C158" t="str">
        <f>""</f>
        <v/>
      </c>
      <c r="D158" t="s">
        <v>10</v>
      </c>
      <c r="E158">
        <v>280</v>
      </c>
      <c r="F158">
        <v>3</v>
      </c>
      <c r="H158" s="1">
        <v>-2625996.31</v>
      </c>
    </row>
    <row r="159" spans="1:8" x14ac:dyDescent="0.25">
      <c r="A159" t="str">
        <f>"22-05-2026 23:12:31"</f>
        <v>22-05-2026 23:12:31</v>
      </c>
      <c r="B159" t="str">
        <f t="shared" si="6"/>
        <v>22 May 2026</v>
      </c>
      <c r="C159" t="str">
        <f>""</f>
        <v/>
      </c>
      <c r="D159" t="s">
        <v>101</v>
      </c>
      <c r="E159">
        <v>280</v>
      </c>
      <c r="G159" s="1">
        <v>191207</v>
      </c>
      <c r="H159" s="1">
        <v>-2434789.31</v>
      </c>
    </row>
    <row r="160" spans="1:8" x14ac:dyDescent="0.25">
      <c r="A160" t="str">
        <f>"22-05-2026 23:16:31"</f>
        <v>22-05-2026 23:16:31</v>
      </c>
      <c r="B160" t="str">
        <f t="shared" si="6"/>
        <v>22 May 2026</v>
      </c>
      <c r="C160" t="str">
        <f>""</f>
        <v/>
      </c>
      <c r="D160" t="s">
        <v>102</v>
      </c>
      <c r="E160">
        <v>280</v>
      </c>
      <c r="F160" s="1">
        <v>4050</v>
      </c>
      <c r="H160" s="1">
        <v>-2438839.31</v>
      </c>
    </row>
    <row r="161" spans="1:8" x14ac:dyDescent="0.25">
      <c r="A161" t="str">
        <f>"22-05-2026 23:16:31"</f>
        <v>22-05-2026 23:16:31</v>
      </c>
      <c r="B161" t="str">
        <f>"23 May 2026"</f>
        <v>23 May 2026</v>
      </c>
      <c r="C161" t="str">
        <f>""</f>
        <v/>
      </c>
      <c r="D161" t="s">
        <v>10</v>
      </c>
      <c r="E161">
        <v>280</v>
      </c>
      <c r="F161">
        <v>3</v>
      </c>
      <c r="H161" s="1">
        <v>-2438842.31</v>
      </c>
    </row>
    <row r="162" spans="1:8" x14ac:dyDescent="0.25">
      <c r="A162" t="str">
        <f>"22-05-2026 23:24:25"</f>
        <v>22-05-2026 23:24:25</v>
      </c>
      <c r="B162" t="str">
        <f>"22 May 2026"</f>
        <v>22 May 2026</v>
      </c>
      <c r="C162" t="str">
        <f>""</f>
        <v/>
      </c>
      <c r="D162" t="s">
        <v>103</v>
      </c>
      <c r="E162">
        <v>280</v>
      </c>
      <c r="F162" s="1">
        <v>6500</v>
      </c>
      <c r="H162" s="1">
        <v>-2445342.31</v>
      </c>
    </row>
    <row r="163" spans="1:8" x14ac:dyDescent="0.25">
      <c r="A163" t="str">
        <f>"22-05-2026 23:24:25"</f>
        <v>22-05-2026 23:24:25</v>
      </c>
      <c r="B163" t="str">
        <f>"23 May 2026"</f>
        <v>23 May 2026</v>
      </c>
      <c r="C163" t="str">
        <f>""</f>
        <v/>
      </c>
      <c r="D163" t="s">
        <v>10</v>
      </c>
      <c r="E163">
        <v>280</v>
      </c>
      <c r="F163">
        <v>3</v>
      </c>
      <c r="H163" s="1">
        <v>-2445345.31</v>
      </c>
    </row>
    <row r="164" spans="1:8" x14ac:dyDescent="0.25">
      <c r="A164" t="str">
        <f>"22-05-2026 23:28:51"</f>
        <v>22-05-2026 23:28:51</v>
      </c>
      <c r="B164" t="str">
        <f>"22 May 2026"</f>
        <v>22 May 2026</v>
      </c>
      <c r="C164" t="str">
        <f>""</f>
        <v/>
      </c>
      <c r="D164" t="s">
        <v>104</v>
      </c>
      <c r="E164">
        <v>280</v>
      </c>
      <c r="F164" s="1">
        <v>5000</v>
      </c>
      <c r="H164" s="1">
        <v>-2450345.31</v>
      </c>
    </row>
    <row r="165" spans="1:8" x14ac:dyDescent="0.25">
      <c r="A165" t="str">
        <f>"22-05-2026 23:28:51"</f>
        <v>22-05-2026 23:28:51</v>
      </c>
      <c r="B165" t="str">
        <f>"23 May 2026"</f>
        <v>23 May 2026</v>
      </c>
      <c r="C165" t="str">
        <f>""</f>
        <v/>
      </c>
      <c r="D165" t="s">
        <v>10</v>
      </c>
      <c r="E165">
        <v>280</v>
      </c>
      <c r="F165">
        <v>3</v>
      </c>
      <c r="H165" s="1">
        <v>-2450348.31</v>
      </c>
    </row>
    <row r="166" spans="1:8" x14ac:dyDescent="0.25">
      <c r="A166" t="str">
        <f>"22-05-2026 23:31:14"</f>
        <v>22-05-2026 23:31:14</v>
      </c>
      <c r="B166" t="str">
        <f>"22 May 2026"</f>
        <v>22 May 2026</v>
      </c>
      <c r="C166" t="str">
        <f>""</f>
        <v/>
      </c>
      <c r="D166" t="s">
        <v>105</v>
      </c>
      <c r="E166">
        <v>280</v>
      </c>
      <c r="F166" s="1">
        <v>8750</v>
      </c>
      <c r="H166" s="1">
        <v>-2459098.31</v>
      </c>
    </row>
    <row r="167" spans="1:8" x14ac:dyDescent="0.25">
      <c r="A167" t="str">
        <f>"22-05-2026 23:31:14"</f>
        <v>22-05-2026 23:31:14</v>
      </c>
      <c r="B167" t="str">
        <f>"23 May 2026"</f>
        <v>23 May 2026</v>
      </c>
      <c r="C167" t="str">
        <f>""</f>
        <v/>
      </c>
      <c r="D167" t="s">
        <v>10</v>
      </c>
      <c r="E167">
        <v>280</v>
      </c>
      <c r="F167">
        <v>3</v>
      </c>
      <c r="H167" s="1">
        <v>-2459101.31</v>
      </c>
    </row>
    <row r="168" spans="1:8" x14ac:dyDescent="0.25">
      <c r="A168" t="str">
        <f>"22-05-2026 23:32:58"</f>
        <v>22-05-2026 23:32:58</v>
      </c>
      <c r="B168" t="str">
        <f>"22 May 2026"</f>
        <v>22 May 2026</v>
      </c>
      <c r="C168" t="str">
        <f>""</f>
        <v/>
      </c>
      <c r="D168" t="s">
        <v>106</v>
      </c>
      <c r="E168">
        <v>280</v>
      </c>
      <c r="F168" s="1">
        <v>7600</v>
      </c>
      <c r="H168" s="1">
        <v>-2466701.31</v>
      </c>
    </row>
    <row r="169" spans="1:8" x14ac:dyDescent="0.25">
      <c r="A169" t="str">
        <f>"22-05-2026 23:32:58"</f>
        <v>22-05-2026 23:32:58</v>
      </c>
      <c r="B169" t="str">
        <f>"23 May 2026"</f>
        <v>23 May 2026</v>
      </c>
      <c r="C169" t="str">
        <f>""</f>
        <v/>
      </c>
      <c r="D169" t="s">
        <v>10</v>
      </c>
      <c r="E169">
        <v>280</v>
      </c>
      <c r="F169">
        <v>3</v>
      </c>
      <c r="H169" s="1">
        <v>-2466704.31</v>
      </c>
    </row>
    <row r="170" spans="1:8" x14ac:dyDescent="0.25">
      <c r="A170" t="str">
        <f>"22-05-2026 23:35:28"</f>
        <v>22-05-2026 23:35:28</v>
      </c>
      <c r="B170" t="str">
        <f>"22 May 2026"</f>
        <v>22 May 2026</v>
      </c>
      <c r="C170" t="str">
        <f>""</f>
        <v/>
      </c>
      <c r="D170" t="s">
        <v>107</v>
      </c>
      <c r="E170">
        <v>280</v>
      </c>
      <c r="F170" s="1">
        <v>5681</v>
      </c>
      <c r="H170" s="1">
        <v>-2472385.31</v>
      </c>
    </row>
    <row r="171" spans="1:8" x14ac:dyDescent="0.25">
      <c r="A171" t="str">
        <f>"22-05-2026 23:35:28"</f>
        <v>22-05-2026 23:35:28</v>
      </c>
      <c r="B171" t="str">
        <f>"23 May 2026"</f>
        <v>23 May 2026</v>
      </c>
      <c r="C171" t="str">
        <f>""</f>
        <v/>
      </c>
      <c r="D171" t="s">
        <v>10</v>
      </c>
      <c r="E171">
        <v>280</v>
      </c>
      <c r="F171">
        <v>3</v>
      </c>
      <c r="H171" s="1">
        <v>-2472388.31</v>
      </c>
    </row>
    <row r="172" spans="1:8" x14ac:dyDescent="0.25">
      <c r="A172" t="str">
        <f>"22-05-2026 23:36:27"</f>
        <v>22-05-2026 23:36:27</v>
      </c>
      <c r="B172" t="str">
        <f>"22 May 2026"</f>
        <v>22 May 2026</v>
      </c>
      <c r="C172" t="str">
        <f>""</f>
        <v/>
      </c>
      <c r="D172" t="s">
        <v>108</v>
      </c>
      <c r="E172">
        <v>280</v>
      </c>
      <c r="F172" s="1">
        <v>1613</v>
      </c>
      <c r="H172" s="1">
        <v>-2474001.31</v>
      </c>
    </row>
    <row r="173" spans="1:8" x14ac:dyDescent="0.25">
      <c r="A173" t="str">
        <f>"22-05-2026 23:36:27"</f>
        <v>22-05-2026 23:36:27</v>
      </c>
      <c r="B173" t="str">
        <f>"23 May 2026"</f>
        <v>23 May 2026</v>
      </c>
      <c r="C173" t="str">
        <f>""</f>
        <v/>
      </c>
      <c r="D173" t="s">
        <v>10</v>
      </c>
      <c r="E173">
        <v>280</v>
      </c>
      <c r="F173">
        <v>3</v>
      </c>
      <c r="H173" s="1">
        <v>-2474004.31</v>
      </c>
    </row>
    <row r="174" spans="1:8" x14ac:dyDescent="0.25">
      <c r="A174" t="str">
        <f>"22-05-2026 23:37:35"</f>
        <v>22-05-2026 23:37:35</v>
      </c>
      <c r="B174" t="str">
        <f>"22 May 2026"</f>
        <v>22 May 2026</v>
      </c>
      <c r="C174" t="str">
        <f>""</f>
        <v/>
      </c>
      <c r="D174" t="s">
        <v>109</v>
      </c>
      <c r="E174">
        <v>280</v>
      </c>
      <c r="F174" s="1">
        <v>9499</v>
      </c>
      <c r="H174" s="1">
        <v>-2483503.31</v>
      </c>
    </row>
    <row r="175" spans="1:8" x14ac:dyDescent="0.25">
      <c r="A175" t="str">
        <f>"22-05-2026 23:37:35"</f>
        <v>22-05-2026 23:37:35</v>
      </c>
      <c r="B175" t="str">
        <f>"23 May 2026"</f>
        <v>23 May 2026</v>
      </c>
      <c r="C175" t="str">
        <f>""</f>
        <v/>
      </c>
      <c r="D175" t="s">
        <v>10</v>
      </c>
      <c r="E175">
        <v>280</v>
      </c>
      <c r="F175">
        <v>3</v>
      </c>
      <c r="H175" s="1">
        <v>-2483506.31</v>
      </c>
    </row>
    <row r="176" spans="1:8" x14ac:dyDescent="0.25">
      <c r="A176" t="str">
        <f>"24-05-2026 10:45:27"</f>
        <v>24-05-2026 10:45:27</v>
      </c>
      <c r="B176" t="str">
        <f>"24 May 2026"</f>
        <v>24 May 2026</v>
      </c>
      <c r="C176" t="str">
        <f>""</f>
        <v/>
      </c>
      <c r="D176" t="s">
        <v>110</v>
      </c>
      <c r="E176">
        <v>280</v>
      </c>
      <c r="F176" s="1">
        <v>5000</v>
      </c>
      <c r="H176" s="1">
        <v>-2488506.31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PC3</dc:creator>
  <cp:lastModifiedBy>PC3</cp:lastModifiedBy>
  <dcterms:created xsi:type="dcterms:W3CDTF">2026-05-27T13:04:43Z</dcterms:created>
  <dcterms:modified xsi:type="dcterms:W3CDTF">2026-05-27T13:17:07Z</dcterms:modified>
</cp:coreProperties>
</file>